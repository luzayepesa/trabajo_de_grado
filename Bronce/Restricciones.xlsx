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1\AppData\Local\Microsoft\Windows\INetCache\Content.Outlook\Q1GL3KDZ\"/>
    </mc:Choice>
  </mc:AlternateContent>
  <xr:revisionPtr revIDLastSave="0" documentId="13_ncr:1_{7F9585B8-7E29-49CC-A207-93A82D2902C5}" xr6:coauthVersionLast="47" xr6:coauthVersionMax="47" xr10:uidLastSave="{00000000-0000-0000-0000-000000000000}"/>
  <bookViews>
    <workbookView xWindow="20370" yWindow="-120" windowWidth="21840" windowHeight="13140" activeTab="3" xr2:uid="{E883D557-E3DF-4583-AD58-8565985E563F}"/>
  </bookViews>
  <sheets>
    <sheet name="Flujo" sheetId="9" r:id="rId1"/>
    <sheet name="Matriz 20252" sheetId="7" r:id="rId2"/>
    <sheet name="Reglas" sheetId="2" r:id="rId3"/>
    <sheet name="Cupos" sheetId="3" r:id="rId4"/>
    <sheet name="TD asignacion" sheetId="5" r:id="rId5"/>
    <sheet name="Matriz 20251" sheetId="8" r:id="rId6"/>
  </sheets>
  <externalReferences>
    <externalReference r:id="rId7"/>
    <externalReference r:id="rId8"/>
  </externalReferences>
  <definedNames>
    <definedName name="_xlnm._FilterDatabase" localSheetId="3" hidden="1">Cupos!$A$2:$K$31</definedName>
    <definedName name="DiasCategorias" localSheetId="3">#REF!</definedName>
    <definedName name="DiasCategorias" localSheetId="1">#REF!</definedName>
    <definedName name="DiasCategorias">#REF!</definedName>
    <definedName name="FechaInicio">'[1]Calendario Monitores 2017'!$B$1</definedName>
  </definedNames>
  <calcPr calcId="191029"/>
  <pivotCaches>
    <pivotCache cacheId="2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3" l="1"/>
  <c r="B43" i="3"/>
  <c r="B49" i="8"/>
  <c r="B47" i="8"/>
  <c r="B41" i="8"/>
  <c r="B37" i="8"/>
  <c r="D29" i="8"/>
  <c r="C22" i="8"/>
  <c r="B15" i="8"/>
  <c r="B12" i="8"/>
  <c r="C49" i="7" l="1"/>
  <c r="B43" i="7"/>
  <c r="B39" i="7"/>
  <c r="D28" i="7"/>
  <c r="B22" i="7"/>
  <c r="B15" i="7"/>
  <c r="B12" i="7"/>
  <c r="H30" i="5" l="1"/>
  <c r="I29" i="5"/>
  <c r="J29" i="5" s="1"/>
  <c r="I28" i="5"/>
  <c r="I4" i="5"/>
  <c r="I5" i="5"/>
  <c r="I6" i="5"/>
  <c r="J6" i="5" s="1"/>
  <c r="I7" i="5"/>
  <c r="J7" i="5" s="1"/>
  <c r="I8" i="5"/>
  <c r="I9" i="5"/>
  <c r="I10" i="5"/>
  <c r="I11" i="5"/>
  <c r="J11" i="5" s="1"/>
  <c r="I12" i="5"/>
  <c r="I13" i="5"/>
  <c r="I14" i="5"/>
  <c r="I15" i="5"/>
  <c r="J15" i="5" s="1"/>
  <c r="I16" i="5"/>
  <c r="I17" i="5"/>
  <c r="J17" i="5" s="1"/>
  <c r="I18" i="5"/>
  <c r="J18" i="5" s="1"/>
  <c r="I19" i="5"/>
  <c r="J19" i="5" s="1"/>
  <c r="I20" i="5"/>
  <c r="J20" i="5" s="1"/>
  <c r="I21" i="5"/>
  <c r="I22" i="5"/>
  <c r="I23" i="5"/>
  <c r="J23" i="5" s="1"/>
  <c r="I24" i="5"/>
  <c r="I25" i="5"/>
  <c r="I26" i="5"/>
  <c r="J26" i="5" s="1"/>
  <c r="I27" i="5"/>
  <c r="J27" i="5" s="1"/>
  <c r="I3" i="5"/>
  <c r="J3" i="5" s="1"/>
  <c r="J4" i="5"/>
  <c r="J28" i="5"/>
  <c r="H29" i="5"/>
  <c r="L28" i="5"/>
  <c r="M27" i="5"/>
  <c r="N27" i="5" s="1"/>
  <c r="K27" i="5"/>
  <c r="M26" i="5"/>
  <c r="N26" i="5" s="1"/>
  <c r="K26" i="5"/>
  <c r="M25" i="5"/>
  <c r="N25" i="5" s="1"/>
  <c r="K25" i="5"/>
  <c r="J25" i="5"/>
  <c r="M24" i="5"/>
  <c r="N24" i="5" s="1"/>
  <c r="K24" i="5"/>
  <c r="J24" i="5"/>
  <c r="M23" i="5"/>
  <c r="N23" i="5" s="1"/>
  <c r="K23" i="5"/>
  <c r="M22" i="5"/>
  <c r="N22" i="5" s="1"/>
  <c r="K22" i="5"/>
  <c r="J22" i="5"/>
  <c r="M21" i="5"/>
  <c r="N21" i="5" s="1"/>
  <c r="K21" i="5"/>
  <c r="J21" i="5"/>
  <c r="M20" i="5"/>
  <c r="N20" i="5" s="1"/>
  <c r="K20" i="5"/>
  <c r="M19" i="5"/>
  <c r="N19" i="5" s="1"/>
  <c r="K19" i="5"/>
  <c r="M18" i="5"/>
  <c r="N18" i="5" s="1"/>
  <c r="K18" i="5"/>
  <c r="M17" i="5"/>
  <c r="N17" i="5" s="1"/>
  <c r="K17" i="5"/>
  <c r="M16" i="5"/>
  <c r="N16" i="5" s="1"/>
  <c r="K16" i="5"/>
  <c r="J16" i="5"/>
  <c r="M15" i="5"/>
  <c r="N15" i="5" s="1"/>
  <c r="K15" i="5"/>
  <c r="M14" i="5"/>
  <c r="N14" i="5" s="1"/>
  <c r="K14" i="5"/>
  <c r="J14" i="5"/>
  <c r="M13" i="5"/>
  <c r="N13" i="5" s="1"/>
  <c r="K13" i="5"/>
  <c r="J13" i="5"/>
  <c r="M12" i="5"/>
  <c r="N12" i="5" s="1"/>
  <c r="K12" i="5"/>
  <c r="J12" i="5"/>
  <c r="M11" i="5"/>
  <c r="N11" i="5" s="1"/>
  <c r="K11" i="5"/>
  <c r="M10" i="5"/>
  <c r="N10" i="5" s="1"/>
  <c r="K10" i="5"/>
  <c r="J10" i="5"/>
  <c r="M9" i="5"/>
  <c r="N9" i="5" s="1"/>
  <c r="K9" i="5"/>
  <c r="J9" i="5"/>
  <c r="M8" i="5"/>
  <c r="N8" i="5" s="1"/>
  <c r="K8" i="5"/>
  <c r="J8" i="5"/>
  <c r="M7" i="5"/>
  <c r="N7" i="5" s="1"/>
  <c r="K7" i="5"/>
  <c r="M6" i="5"/>
  <c r="N6" i="5" s="1"/>
  <c r="K6" i="5"/>
  <c r="M5" i="5"/>
  <c r="N5" i="5" s="1"/>
  <c r="K5" i="5"/>
  <c r="J5" i="5"/>
  <c r="M4" i="5"/>
  <c r="N4" i="5" s="1"/>
  <c r="K4" i="5"/>
  <c r="M3" i="5"/>
  <c r="N3" i="5" s="1"/>
  <c r="K3" i="5"/>
  <c r="K28" i="5" l="1"/>
  <c r="J29" i="3" l="1"/>
  <c r="I29" i="3"/>
  <c r="H29" i="3"/>
  <c r="E29" i="3"/>
  <c r="D29" i="3"/>
  <c r="C29" i="3"/>
  <c r="B29" i="3"/>
  <c r="F28" i="3"/>
  <c r="F27" i="3"/>
  <c r="F26" i="3"/>
  <c r="F25" i="3"/>
  <c r="F24" i="3"/>
  <c r="F23" i="3"/>
  <c r="F22" i="3"/>
  <c r="F21" i="3"/>
  <c r="F20" i="3"/>
  <c r="F19" i="3"/>
  <c r="F18" i="3"/>
  <c r="F17" i="3"/>
  <c r="F16" i="3"/>
  <c r="F15" i="3"/>
  <c r="F14" i="3"/>
  <c r="F13" i="3"/>
  <c r="F12" i="3"/>
  <c r="F11" i="3"/>
  <c r="F10" i="3"/>
  <c r="F9" i="3"/>
  <c r="F8" i="3"/>
  <c r="F7" i="3"/>
  <c r="F6" i="3"/>
  <c r="F5" i="3"/>
  <c r="F4" i="3"/>
  <c r="F3" i="3"/>
  <c r="F29" i="3" l="1"/>
</calcChain>
</file>

<file path=xl/sharedStrings.xml><?xml version="1.0" encoding="utf-8"?>
<sst xmlns="http://schemas.openxmlformats.org/spreadsheetml/2006/main" count="372" uniqueCount="300">
  <si>
    <t>MATRIZ DE SELECCIÓN DE BENEFICIADOS</t>
  </si>
  <si>
    <t>Criterio</t>
  </si>
  <si>
    <t>Puntuación</t>
  </si>
  <si>
    <t>Notas últimos años</t>
  </si>
  <si>
    <t>Puntaje Global Saber 11</t>
  </si>
  <si>
    <t>Estrato socio económico</t>
  </si>
  <si>
    <t>Análisis económico</t>
  </si>
  <si>
    <t>Corresponde a la evaluación socioeconómica identificado en el formulario de aplicación (puntuar de 1 a 20)</t>
  </si>
  <si>
    <t>Entrevista Jefes Programa</t>
  </si>
  <si>
    <t>Análisis extracurriculares, orientación vocacional y desempeño en la entrevista</t>
  </si>
  <si>
    <t>Perfil psicosocial, personal y familiar</t>
  </si>
  <si>
    <t>Análisis psicosocial, de habilidades personales, y de su grupo familiar</t>
  </si>
  <si>
    <t>Total</t>
  </si>
  <si>
    <t>Estrato 1</t>
  </si>
  <si>
    <t>Estrato 2</t>
  </si>
  <si>
    <t>Estrato 3</t>
  </si>
  <si>
    <t>Estrato 4</t>
  </si>
  <si>
    <t>Pruebas Saber 11 (ICFES)</t>
  </si>
  <si>
    <t>Superior a 360</t>
  </si>
  <si>
    <t>Entre 330 y 360</t>
  </si>
  <si>
    <t xml:space="preserve">Entre 300 y 329 </t>
  </si>
  <si>
    <t>Menor a 300</t>
  </si>
  <si>
    <t>Promedio de Notas del colegio de Matematica y Lenguaje</t>
  </si>
  <si>
    <t>Calificaciones de 0 a 5</t>
  </si>
  <si>
    <t>Calificaciones de 0 a 50</t>
  </si>
  <si>
    <t>Calificaciones de 0 a 10</t>
  </si>
  <si>
    <t>Calificaciones de 0 a 100</t>
  </si>
  <si>
    <t>De 0 a 7</t>
  </si>
  <si>
    <t>Puntos</t>
  </si>
  <si>
    <t>Mayor o igual a 4,5</t>
  </si>
  <si>
    <t>Mayor o igual a 45</t>
  </si>
  <si>
    <t>Mayor o igual a 9</t>
  </si>
  <si>
    <t>Mayor o igual a 90</t>
  </si>
  <si>
    <t>Mayor a 6,3</t>
  </si>
  <si>
    <t>Entre 4,0 y 4,49</t>
  </si>
  <si>
    <t>Entre 40 y 44,9</t>
  </si>
  <si>
    <t>Entre 8,0 y 8,99</t>
  </si>
  <si>
    <t>Entre 80 y 89,9</t>
  </si>
  <si>
    <t>Entre 5,6 y 6,29</t>
  </si>
  <si>
    <t>Entre 3,5 y 3,99</t>
  </si>
  <si>
    <t>Entre 35 y 39,9</t>
  </si>
  <si>
    <t>Entre 7 de 7,99</t>
  </si>
  <si>
    <t>Entre 70 de 79,9</t>
  </si>
  <si>
    <t>Entre 4,9 y 5,59</t>
  </si>
  <si>
    <t>Entre 3,0 y 3,49</t>
  </si>
  <si>
    <t>Entre 30 y 34,9</t>
  </si>
  <si>
    <t>Entre 6 y 6,99</t>
  </si>
  <si>
    <t>Entre 60 y 69,9</t>
  </si>
  <si>
    <t>Entre 4,2 y 4,89</t>
  </si>
  <si>
    <t>Menor a 3,0</t>
  </si>
  <si>
    <t>Menor a 30</t>
  </si>
  <si>
    <t>Menor a 6</t>
  </si>
  <si>
    <t>Menor a 60</t>
  </si>
  <si>
    <t>Menor a 4,2</t>
  </si>
  <si>
    <t>Para TEX tener en cuenta el promedio y se evalua en el mismo rango</t>
  </si>
  <si>
    <t>Para los que adjuntan o diligencian solo notas de un grado, restar 2 puntos</t>
  </si>
  <si>
    <t>Cruce de ingresos, propiedades, tipo de IE y tipo de vivienda</t>
  </si>
  <si>
    <t>Prueba psicométrica</t>
  </si>
  <si>
    <t>35 o mas</t>
  </si>
  <si>
    <t>Entre 26 y 34</t>
  </si>
  <si>
    <t>Entre 20 y 25</t>
  </si>
  <si>
    <t>Menor a 20</t>
  </si>
  <si>
    <t>A estos marcar como Desfavorable /en riesgo</t>
  </si>
  <si>
    <t>Puntaje entrevista del pregrado</t>
  </si>
  <si>
    <t>Promedio de entrevista</t>
  </si>
  <si>
    <t>Examen audición Música</t>
  </si>
  <si>
    <t>De 46,6 en adelante</t>
  </si>
  <si>
    <t>10 puntos</t>
  </si>
  <si>
    <t>De 42 a 46,59</t>
  </si>
  <si>
    <t>9 puntos</t>
  </si>
  <si>
    <t>De 37 a 41,9</t>
  </si>
  <si>
    <t>8 puntos</t>
  </si>
  <si>
    <t>De 35 a 36,9</t>
  </si>
  <si>
    <t>7 puntos</t>
  </si>
  <si>
    <t>Menor a 35</t>
  </si>
  <si>
    <t>Menor a 7 puntos</t>
  </si>
  <si>
    <t>Puntos para análisis económico</t>
  </si>
  <si>
    <t xml:space="preserve">Castigar en 1 punto a los que ponen arrendada pero si tienen propiedades, o dice que no tiene prop. pero ponen propia </t>
  </si>
  <si>
    <t>Tipo IE</t>
  </si>
  <si>
    <t>Publico</t>
  </si>
  <si>
    <t>Privado</t>
  </si>
  <si>
    <t xml:space="preserve">La vivienda donde resides es: </t>
  </si>
  <si>
    <t>Arrendada</t>
  </si>
  <si>
    <t>Familiar</t>
  </si>
  <si>
    <t>Propia</t>
  </si>
  <si>
    <t>Total ingresos padres</t>
  </si>
  <si>
    <t>Menor o igual 3,500,000</t>
  </si>
  <si>
    <t>mas de 3,500 y menor o igual a 4500</t>
  </si>
  <si>
    <t>Mas 4,500 a 5,500,000</t>
  </si>
  <si>
    <t>Mas de 5,500mm a 7mm</t>
  </si>
  <si>
    <t>Mas de 7mm a 10mm</t>
  </si>
  <si>
    <t>Mas de 10mm</t>
  </si>
  <si>
    <t>Propiedades (casa y apartamento)</t>
  </si>
  <si>
    <t>Sino tiene o max vale 30mm</t>
  </si>
  <si>
    <t>Si tiene 1 propiedad</t>
  </si>
  <si>
    <t>Mas de 1</t>
  </si>
  <si>
    <t>Si la propiedad vale mas de 30 a 100m</t>
  </si>
  <si>
    <t>Si la propiedad vale de 100 a 200</t>
  </si>
  <si>
    <t>De 200 a 350</t>
  </si>
  <si>
    <t>Mas de 350</t>
  </si>
  <si>
    <t>Beca sugerida solo por el puntaje socioeconomico</t>
  </si>
  <si>
    <t>Mayor a 19</t>
  </si>
  <si>
    <t>80-100%</t>
  </si>
  <si>
    <t>De 18,1 a 19</t>
  </si>
  <si>
    <t>De 17 a 18</t>
  </si>
  <si>
    <t>De 14,1 a 16,9</t>
  </si>
  <si>
    <t>Menor a 14</t>
  </si>
  <si>
    <t>Cupos por %</t>
  </si>
  <si>
    <t>% beca</t>
  </si>
  <si>
    <t># cupos DIAF</t>
  </si>
  <si>
    <t>Simulación económica</t>
  </si>
  <si>
    <t>Mayor o igual al 80</t>
  </si>
  <si>
    <t>Becas del 100%</t>
  </si>
  <si>
    <t>Mayor o igual a 85</t>
  </si>
  <si>
    <t>Becasdel 80%</t>
  </si>
  <si>
    <t>Menores a 80 hasta 70</t>
  </si>
  <si>
    <t xml:space="preserve">menores a 70 y mayores  60 </t>
  </si>
  <si>
    <t>Beca del 70%</t>
  </si>
  <si>
    <t>menores a  85 hasta 70</t>
  </si>
  <si>
    <t>Menores a 60- hasta 50</t>
  </si>
  <si>
    <t>Beca del 60%</t>
  </si>
  <si>
    <t>menores a  70 hasta 60</t>
  </si>
  <si>
    <t>menores 90 hasta 70</t>
  </si>
  <si>
    <t>Menores a 70 hasta 60</t>
  </si>
  <si>
    <t>Beca del 50%</t>
  </si>
  <si>
    <t>Mayor o igual a 70</t>
  </si>
  <si>
    <t>Beca del 40%</t>
  </si>
  <si>
    <t>Pregrado</t>
  </si>
  <si>
    <t>Prom. Asignación (promedio sin 20242)</t>
  </si>
  <si>
    <t>Administración de Negocios</t>
  </si>
  <si>
    <t>Biología</t>
  </si>
  <si>
    <t>Ciencias Políticas</t>
  </si>
  <si>
    <t>Comunicación Social</t>
  </si>
  <si>
    <t>Contaduría Pública</t>
  </si>
  <si>
    <t>Derecho</t>
  </si>
  <si>
    <t>Diseño Interactivo</t>
  </si>
  <si>
    <t>Diseño Urbano y Gesti Hábitat</t>
  </si>
  <si>
    <t>Economía</t>
  </si>
  <si>
    <t>Finanzas</t>
  </si>
  <si>
    <t>Geología</t>
  </si>
  <si>
    <t>Ingeniería Agronómica</t>
  </si>
  <si>
    <t>Ingeniería Civil</t>
  </si>
  <si>
    <t>Ingeniería Diseño de Producto</t>
  </si>
  <si>
    <t>Ingeniería de Procesos</t>
  </si>
  <si>
    <t>Ingeniería de Producción</t>
  </si>
  <si>
    <t>Ingeniería de Sistemas</t>
  </si>
  <si>
    <t>Ingeniería Física</t>
  </si>
  <si>
    <t>Ingeniería Matemática</t>
  </si>
  <si>
    <t>Ingeniería Mecánica</t>
  </si>
  <si>
    <t>Literatura</t>
  </si>
  <si>
    <t>Mercadeo</t>
  </si>
  <si>
    <t>Música</t>
  </si>
  <si>
    <t>Negocios Internacionales</t>
  </si>
  <si>
    <t>Psicología</t>
  </si>
  <si>
    <t>Ingeniería Industrial</t>
  </si>
  <si>
    <t>Total general</t>
  </si>
  <si>
    <t>total</t>
  </si>
  <si>
    <t>Se deja el estimado de cupos DIAF dado que el promedio es inferior</t>
  </si>
  <si>
    <t>Becas Otorgadas por cohorte por pregrado</t>
  </si>
  <si>
    <t>Cupos DIAF 20252</t>
  </si>
  <si>
    <t>Cumplen req Talento 20252</t>
  </si>
  <si>
    <t>Prom. % de uso por pregrado</t>
  </si>
  <si>
    <t>Proyección de uso 20252</t>
  </si>
  <si>
    <t>Asignadas BT 20252</t>
  </si>
  <si>
    <t>Beca</t>
  </si>
  <si>
    <t>Ingreso</t>
  </si>
  <si>
    <t>Total Admitidos</t>
  </si>
  <si>
    <t>Beneficiarios otras becas</t>
  </si>
  <si>
    <t>Diferencia</t>
  </si>
  <si>
    <t>Cupos diaf</t>
  </si>
  <si>
    <t>001-Administración de Negocios</t>
  </si>
  <si>
    <t>002-Negocios Internacionales</t>
  </si>
  <si>
    <t>003-Economía</t>
  </si>
  <si>
    <t>010-Ingeniería de Sistemas</t>
  </si>
  <si>
    <t>011-Contaduría Pública</t>
  </si>
  <si>
    <t>012-Ingeniería de Producción</t>
  </si>
  <si>
    <t>013-Ingeniería Civil</t>
  </si>
  <si>
    <t>014-Ingeniería Mecánica</t>
  </si>
  <si>
    <t>015-Geología</t>
  </si>
  <si>
    <t>083-Música</t>
  </si>
  <si>
    <t>084-Derecho</t>
  </si>
  <si>
    <t>085-Ingeniería Diseño de Producto</t>
  </si>
  <si>
    <t>101-Ingeniería Matemática</t>
  </si>
  <si>
    <t>111-Ciencias Políticas</t>
  </si>
  <si>
    <t>112-Comunicación Social</t>
  </si>
  <si>
    <t>113-Ingeniería Física</t>
  </si>
  <si>
    <t>168-Psicología</t>
  </si>
  <si>
    <t>169-Mercadeo</t>
  </si>
  <si>
    <t>183-Biología</t>
  </si>
  <si>
    <t>199-Finanzas</t>
  </si>
  <si>
    <t>220-Literatura</t>
  </si>
  <si>
    <t>230-Ingeniería Agronómica</t>
  </si>
  <si>
    <t>237-Diseño Interactivo</t>
  </si>
  <si>
    <t>240-Diseño Urbano y Gesti Hábitat</t>
  </si>
  <si>
    <t>260-Ingeniería Industrial</t>
  </si>
  <si>
    <t>Cupos DIAF</t>
  </si>
  <si>
    <t>Proy. Uso 50%</t>
  </si>
  <si>
    <t>Notas once y decimo</t>
  </si>
  <si>
    <t>Saber 11</t>
  </si>
  <si>
    <t>Ensayo</t>
  </si>
  <si>
    <t>Entrevista</t>
  </si>
  <si>
    <t>Análisis psicosocial, de orientación vocacional del aspirante, de su grupo de apoyo, salud mental, entre otros</t>
  </si>
  <si>
    <t>Pruebas de 20142 en adelante</t>
  </si>
  <si>
    <t>Pruebas de 2006 
a 20141</t>
  </si>
  <si>
    <t>Superior a 72</t>
  </si>
  <si>
    <t>Entre 331 y 360</t>
  </si>
  <si>
    <t>Entre 66 y 71</t>
  </si>
  <si>
    <t>Entre 310 y 330</t>
  </si>
  <si>
    <t>Entre 62 y 65</t>
  </si>
  <si>
    <t xml:space="preserve">Entre 300 y 309 </t>
  </si>
  <si>
    <t>Entre 60 y 61 puntos</t>
  </si>
  <si>
    <t>Notas del grado 11 y 10</t>
  </si>
  <si>
    <t>Calificaciones cualitativas</t>
  </si>
  <si>
    <t>De 0 a 20</t>
  </si>
  <si>
    <t>Superior</t>
  </si>
  <si>
    <t>Mayor a 18</t>
  </si>
  <si>
    <t>Alto/Sobresaliente</t>
  </si>
  <si>
    <t>De 5,6 a 6,29</t>
  </si>
  <si>
    <t>De 16 a 17,9</t>
  </si>
  <si>
    <t>Entre 3,6 y 3,99</t>
  </si>
  <si>
    <t>Entre 7,20 y 7,99</t>
  </si>
  <si>
    <t>Básico (puntaje 10)</t>
  </si>
  <si>
    <t>De 14,4 a 16,9</t>
  </si>
  <si>
    <t>Entre 3,4 y 3,59</t>
  </si>
  <si>
    <t>Entre 6,8 de 7,19</t>
  </si>
  <si>
    <t>Entre 3,0 y 3,39</t>
  </si>
  <si>
    <t>Entre 6 y 6,79</t>
  </si>
  <si>
    <t>Bajo</t>
  </si>
  <si>
    <t>Título</t>
  </si>
  <si>
    <t>Introducción</t>
  </si>
  <si>
    <t>Argumentación</t>
  </si>
  <si>
    <t>Conclusión</t>
  </si>
  <si>
    <t>Redacción y escritura</t>
  </si>
  <si>
    <t>Aspecto psicosocial y vocacional</t>
  </si>
  <si>
    <t>5 puntos para cada item</t>
  </si>
  <si>
    <t>Propia o familiar</t>
  </si>
  <si>
    <t>Menor a 3,500,000</t>
  </si>
  <si>
    <t>De 3,500,000 a 5,000,000</t>
  </si>
  <si>
    <t xml:space="preserve">De 5,000,000 a 7,000,000 </t>
  </si>
  <si>
    <t>De 7,000,000 a 10000000</t>
  </si>
  <si>
    <t>Mas de 10</t>
  </si>
  <si>
    <t>Sino tiene</t>
  </si>
  <si>
    <t>Si la propiedad vale de 2 a 100m</t>
  </si>
  <si>
    <t>Mayor a 19 puntos</t>
  </si>
  <si>
    <t>De 18,6 a 19 puntos</t>
  </si>
  <si>
    <t>De 18,1 a 18,5 puntos</t>
  </si>
  <si>
    <t>De 15,6 a 18 puntos</t>
  </si>
  <si>
    <t>Menor o igual a 15,5</t>
  </si>
  <si>
    <t>Revisar como incluir la variable de foráneo en el análisis económico</t>
  </si>
  <si>
    <t>Para Nutresa puntajes por pregrado, mujer y foráneo</t>
  </si>
  <si>
    <t>Revisar la variable de quienes trabajan o quien responde economicamente por el aspirante no son los papas</t>
  </si>
  <si>
    <t>Criterios de eliminación por no cumplimiento de requisitos</t>
  </si>
  <si>
    <t>ICFES menor a 300 o en un año menor a 20142</t>
  </si>
  <si>
    <t>Estrato 5 y 6</t>
  </si>
  <si>
    <t xml:space="preserve">Que haya finalizado un pregrado (en eafit o en otra IES), sea porque esta declarado en el documento o se encontró en los filtros con informática. </t>
  </si>
  <si>
    <t>Extemporaneos</t>
  </si>
  <si>
    <t>Formularios incompletos (no llegaron al final, o no adjuntaron los documentos obligatorios)</t>
  </si>
  <si>
    <t>No se han graduado del colegio</t>
  </si>
  <si>
    <t>Tambien los que han estudiado en Eafit de 20241 hacia atrás, dado que es para NUEVOS</t>
  </si>
  <si>
    <t>Filtros internos iniciales para definir quienes continúan en proceso</t>
  </si>
  <si>
    <t>Filtro por propiedades</t>
  </si>
  <si>
    <t xml:space="preserve">Filtro de ingresos familiares </t>
  </si>
  <si>
    <t>Filtro por rendimiento académico</t>
  </si>
  <si>
    <t>Filtro por cupos por pregrado</t>
  </si>
  <si>
    <t>CON NUEVO PROCESO SELECCIÓN</t>
  </si>
  <si>
    <t>Propuesta asignacion becas 20/06/2025</t>
  </si>
  <si>
    <t>Mayor o igual a 80</t>
  </si>
  <si>
    <t>Menores a  70 mayor a 60</t>
  </si>
  <si>
    <t>Menores a 80</t>
  </si>
  <si>
    <t>Puntos total matriz</t>
  </si>
  <si>
    <t>Se busca que este factor sea máximo del 60%</t>
  </si>
  <si>
    <t>Algunas consideraciones</t>
  </si>
  <si>
    <t>Validacion de ICFES con estrategia</t>
  </si>
  <si>
    <t>Recopilacion de datos de admision y postulacion a becas</t>
  </si>
  <si>
    <t>Audición de música y recomendaciones de Jefe pregrado</t>
  </si>
  <si>
    <t>Se afinó el modelo de análisis socioeconómico y la matriz de ponderación con el cambio en el proceso de admisión</t>
  </si>
  <si>
    <t>Cupos Diseño Urbano e Ing. Industrial</t>
  </si>
  <si>
    <t>Tipos de admisión como CRE y TEX</t>
  </si>
  <si>
    <t>Mejoras a implementar para la siguiente corrida</t>
  </si>
  <si>
    <t>Etiquetas de fila</t>
  </si>
  <si>
    <t>Cuenta de Nombre completo</t>
  </si>
  <si>
    <t>Cumple Talento</t>
  </si>
  <si>
    <t>Descartado por foraneo e ingresos bajos</t>
  </si>
  <si>
    <t>Descartado por ingresos</t>
  </si>
  <si>
    <t>Descartado por ingresos altos (15)</t>
  </si>
  <si>
    <t>Descartado por ingresos altos (insc)</t>
  </si>
  <si>
    <t>Descartado por ingresos y colegio</t>
  </si>
  <si>
    <t>Descartado por propiedades</t>
  </si>
  <si>
    <t>Descartado por Prueba psicometrica</t>
  </si>
  <si>
    <t>Descartado por rendimiento icfes</t>
  </si>
  <si>
    <t>Descartado por rendimiento notas</t>
  </si>
  <si>
    <t>Descartado, pago matricula</t>
  </si>
  <si>
    <t>Descartado, renuncia del proceso</t>
  </si>
  <si>
    <t>Otras consideraciones</t>
  </si>
  <si>
    <t>Se busca que todos los pregrados tengan al menos 1 beca del 100%</t>
  </si>
  <si>
    <t xml:space="preserve">El balance de 60% beca y 40% se mira a nivel global y tambien por pregrado. </t>
  </si>
  <si>
    <t>La asignacion final de la beca se va ajustando de acuerdo a los postulantes, vs los cupos por % y por pregrado, buscando que se cumplan las 2 reglas anteriores</t>
  </si>
  <si>
    <t>Normalmente se asigna el triple de cupos a los establecidos para estos pregrados, que es donde se postulan mas aspirantes según la historia</t>
  </si>
  <si>
    <t>Para estos pregrados que son nuevos se debe validar SIEMPRE con la DIAF si se pueden asignar becas o no</t>
  </si>
  <si>
    <t>Son pregrados costosos, y si bien dicen 1 solo cupo, se asignan de acuerdo a la masa de candidatos y se validan con la DIAF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</si>
</sst>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
  </numFmts>
  <fonts count="13"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6"/>
      <color theme="1"/>
      <name val="Aptos Narrow"/>
      <family val="2"/>
      <scheme val="minor"/>
    </font>
    <font>
      <i/>
      <sz val="11"/>
      <color theme="2" tint="-0.499984740745262"/>
      <name val="Aptos Narrow"/>
      <family val="2"/>
      <scheme val="minor"/>
    </font>
    <font>
      <sz val="11"/>
      <name val="Aptos Narrow"/>
      <family val="2"/>
      <scheme val="minor"/>
    </font>
    <font>
      <i/>
      <sz val="11"/>
      <name val="Aptos Narrow"/>
      <family val="2"/>
      <scheme val="minor"/>
    </font>
    <font>
      <i/>
      <sz val="11"/>
      <color theme="1"/>
      <name val="Aptos Narrow"/>
      <family val="2"/>
      <scheme val="minor"/>
    </font>
    <font>
      <sz val="11"/>
      <color indexed="8"/>
      <name val="Aptos Narrow"/>
      <family val="2"/>
      <scheme val="minor"/>
    </font>
    <font>
      <b/>
      <sz val="11"/>
      <color indexed="8"/>
      <name val="Aptos Narrow"/>
      <family val="2"/>
      <scheme val="minor"/>
    </font>
    <font>
      <b/>
      <sz val="11"/>
      <color rgb="FF000000"/>
      <name val="Calibri"/>
      <family val="2"/>
    </font>
    <font>
      <sz val="11"/>
      <name val="Aptos Narrow"/>
      <family val="2"/>
    </font>
  </fonts>
  <fills count="19">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5" tint="0.79998168889431442"/>
        <bgColor indexed="64"/>
      </patternFill>
    </fill>
    <fill>
      <patternFill patternType="solid">
        <fgColor rgb="FFFCF68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0.249977111117893"/>
        <bgColor theme="4" tint="0.79998168889431442"/>
      </patternFill>
    </fill>
    <fill>
      <patternFill patternType="solid">
        <fgColor rgb="FFE7E6E6"/>
        <bgColor rgb="FF000000"/>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 fillId="0" borderId="0"/>
    <xf numFmtId="43" fontId="1" fillId="0" borderId="0" applyFont="0" applyFill="0" applyBorder="0" applyAlignment="0" applyProtection="0"/>
    <xf numFmtId="0" fontId="9" fillId="0" borderId="0"/>
    <xf numFmtId="9" fontId="1" fillId="0" borderId="0" applyFont="0" applyFill="0" applyBorder="0" applyAlignment="0" applyProtection="0"/>
    <xf numFmtId="9" fontId="1" fillId="0" borderId="0" applyFont="0" applyFill="0" applyBorder="0" applyAlignment="0" applyProtection="0"/>
    <xf numFmtId="0" fontId="12" fillId="0" borderId="0"/>
  </cellStyleXfs>
  <cellXfs count="120">
    <xf numFmtId="0" fontId="0" fillId="0" borderId="0" xfId="0"/>
    <xf numFmtId="0" fontId="1" fillId="0" borderId="0" xfId="1" applyAlignment="1">
      <alignment vertical="center"/>
    </xf>
    <xf numFmtId="0" fontId="3" fillId="0" borderId="0" xfId="1" applyFont="1" applyAlignment="1">
      <alignment vertical="center"/>
    </xf>
    <xf numFmtId="0" fontId="3" fillId="2" borderId="1" xfId="1" applyFont="1" applyFill="1" applyBorder="1" applyAlignment="1">
      <alignment horizontal="center" vertical="center"/>
    </xf>
    <xf numFmtId="0" fontId="1" fillId="0" borderId="1" xfId="1" applyBorder="1"/>
    <xf numFmtId="1" fontId="1" fillId="0" borderId="1" xfId="1" applyNumberFormat="1" applyBorder="1" applyAlignment="1">
      <alignment horizontal="center"/>
    </xf>
    <xf numFmtId="0" fontId="2" fillId="0" borderId="0" xfId="1" applyFont="1" applyAlignment="1">
      <alignment vertical="center"/>
    </xf>
    <xf numFmtId="0" fontId="5" fillId="0" borderId="0" xfId="1" applyFont="1" applyAlignment="1">
      <alignment vertical="center"/>
    </xf>
    <xf numFmtId="0" fontId="3" fillId="0" borderId="1" xfId="1" applyFont="1" applyBorder="1" applyAlignment="1">
      <alignment vertical="center"/>
    </xf>
    <xf numFmtId="1" fontId="3" fillId="0" borderId="1" xfId="1" applyNumberFormat="1" applyFont="1" applyBorder="1" applyAlignment="1">
      <alignment horizontal="center" vertical="center"/>
    </xf>
    <xf numFmtId="1" fontId="3" fillId="0" borderId="0" xfId="1" applyNumberFormat="1" applyFont="1" applyAlignment="1">
      <alignment horizontal="center" vertical="center"/>
    </xf>
    <xf numFmtId="0" fontId="1" fillId="0" borderId="0" xfId="1" applyAlignment="1">
      <alignment horizontal="center" vertical="center"/>
    </xf>
    <xf numFmtId="0" fontId="3" fillId="2" borderId="0" xfId="1" applyFont="1" applyFill="1" applyAlignment="1">
      <alignment horizontal="center" vertical="center"/>
    </xf>
    <xf numFmtId="1" fontId="3" fillId="2" borderId="0" xfId="1" applyNumberFormat="1" applyFont="1" applyFill="1" applyAlignment="1">
      <alignment horizontal="center" vertical="center"/>
    </xf>
    <xf numFmtId="1" fontId="6" fillId="0" borderId="0" xfId="2" applyNumberFormat="1" applyFont="1" applyBorder="1" applyAlignment="1">
      <alignment horizontal="center" vertical="center"/>
    </xf>
    <xf numFmtId="1" fontId="0" fillId="0" borderId="0" xfId="2" applyNumberFormat="1" applyFont="1" applyBorder="1" applyAlignment="1">
      <alignment horizontal="center" vertical="center"/>
    </xf>
    <xf numFmtId="9" fontId="1" fillId="0" borderId="0" xfId="1" applyNumberFormat="1" applyAlignment="1">
      <alignment vertical="center"/>
    </xf>
    <xf numFmtId="2" fontId="1" fillId="0" borderId="0" xfId="1" applyNumberFormat="1" applyAlignment="1">
      <alignment vertical="center"/>
    </xf>
    <xf numFmtId="0" fontId="3" fillId="2" borderId="0" xfId="1" applyFont="1" applyFill="1" applyAlignment="1">
      <alignment horizontal="center" vertical="center" wrapText="1"/>
    </xf>
    <xf numFmtId="1" fontId="3" fillId="2" borderId="0" xfId="1" applyNumberFormat="1" applyFont="1" applyFill="1" applyAlignment="1">
      <alignment horizontal="center" vertical="center" wrapText="1"/>
    </xf>
    <xf numFmtId="1" fontId="6" fillId="0" borderId="0" xfId="2" applyNumberFormat="1" applyFont="1" applyAlignment="1">
      <alignment horizontal="center" vertical="center"/>
    </xf>
    <xf numFmtId="0" fontId="6" fillId="0" borderId="0" xfId="1" applyFont="1" applyAlignment="1">
      <alignment vertical="center"/>
    </xf>
    <xf numFmtId="0" fontId="7" fillId="0" borderId="0" xfId="1" applyFont="1" applyAlignment="1">
      <alignment vertical="center"/>
    </xf>
    <xf numFmtId="9" fontId="6" fillId="0" borderId="0" xfId="1" applyNumberFormat="1" applyFont="1" applyAlignment="1">
      <alignment horizontal="center" vertical="center"/>
    </xf>
    <xf numFmtId="0" fontId="8" fillId="0" borderId="0" xfId="1" applyFont="1" applyAlignment="1">
      <alignment vertical="center"/>
    </xf>
    <xf numFmtId="164" fontId="1" fillId="0" borderId="0" xfId="1" applyNumberFormat="1" applyAlignment="1">
      <alignment horizontal="center" vertical="center"/>
    </xf>
    <xf numFmtId="0" fontId="0" fillId="0" borderId="0" xfId="1" applyFont="1" applyAlignment="1">
      <alignment vertical="center"/>
    </xf>
    <xf numFmtId="1" fontId="1" fillId="0" borderId="0" xfId="1" applyNumberFormat="1" applyAlignment="1">
      <alignment vertical="center"/>
    </xf>
    <xf numFmtId="0" fontId="9" fillId="0" borderId="0" xfId="3" applyAlignment="1">
      <alignment horizontal="left" vertical="center"/>
    </xf>
    <xf numFmtId="0" fontId="1" fillId="0" borderId="0" xfId="1"/>
    <xf numFmtId="0" fontId="3" fillId="3" borderId="0" xfId="1" applyFont="1" applyFill="1" applyAlignment="1">
      <alignment horizontal="left" vertical="center" wrapText="1"/>
    </xf>
    <xf numFmtId="0" fontId="9" fillId="3" borderId="1" xfId="3" applyFill="1" applyBorder="1" applyAlignment="1">
      <alignment horizontal="left" vertical="center"/>
    </xf>
    <xf numFmtId="0" fontId="0" fillId="0" borderId="0" xfId="1" applyFont="1"/>
    <xf numFmtId="0" fontId="9" fillId="3" borderId="1" xfId="3" applyFill="1" applyBorder="1" applyAlignment="1">
      <alignment horizontal="left" vertical="center" wrapText="1"/>
    </xf>
    <xf numFmtId="0" fontId="1" fillId="0" borderId="0" xfId="1" applyAlignment="1">
      <alignment vertical="center" wrapText="1"/>
    </xf>
    <xf numFmtId="0" fontId="1" fillId="0" borderId="0" xfId="1" applyAlignment="1">
      <alignment horizontal="left"/>
    </xf>
    <xf numFmtId="0" fontId="3" fillId="3" borderId="0" xfId="1" applyFont="1" applyFill="1"/>
    <xf numFmtId="0" fontId="1" fillId="3" borderId="0" xfId="1" applyFill="1" applyAlignment="1">
      <alignment vertical="center"/>
    </xf>
    <xf numFmtId="9" fontId="1" fillId="0" borderId="0" xfId="1" applyNumberFormat="1" applyAlignment="1">
      <alignment horizontal="left"/>
    </xf>
    <xf numFmtId="0" fontId="3" fillId="0" borderId="0" xfId="0" applyFont="1" applyAlignment="1">
      <alignment vertical="center" wrapText="1"/>
    </xf>
    <xf numFmtId="0" fontId="3" fillId="0" borderId="0" xfId="0" applyFont="1" applyAlignment="1">
      <alignment horizontal="center" vertical="center" wrapText="1"/>
    </xf>
    <xf numFmtId="9"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0" borderId="1" xfId="0" applyBorder="1"/>
    <xf numFmtId="9" fontId="0" fillId="4" borderId="1" xfId="0" applyNumberFormat="1" applyFill="1" applyBorder="1" applyAlignment="1">
      <alignment horizontal="left" vertical="center"/>
    </xf>
    <xf numFmtId="0" fontId="0" fillId="4" borderId="1" xfId="0" applyFill="1" applyBorder="1" applyAlignment="1">
      <alignment horizontal="left" vertical="center" wrapText="1"/>
    </xf>
    <xf numFmtId="9" fontId="0" fillId="2" borderId="1" xfId="0" applyNumberFormat="1" applyFill="1" applyBorder="1" applyAlignment="1">
      <alignment horizontal="left" vertical="center"/>
    </xf>
    <xf numFmtId="0" fontId="0" fillId="2" borderId="1" xfId="0" applyFill="1" applyBorder="1" applyAlignment="1">
      <alignment horizontal="left" vertical="center" wrapText="1"/>
    </xf>
    <xf numFmtId="9" fontId="0" fillId="6" borderId="1" xfId="0" applyNumberFormat="1" applyFill="1" applyBorder="1" applyAlignment="1">
      <alignment horizontal="left" vertical="center"/>
    </xf>
    <xf numFmtId="0" fontId="0" fillId="6" borderId="1" xfId="0" applyFill="1" applyBorder="1" applyAlignment="1">
      <alignment horizontal="left" vertical="center" wrapText="1"/>
    </xf>
    <xf numFmtId="9" fontId="0" fillId="7" borderId="1" xfId="0" applyNumberFormat="1" applyFill="1" applyBorder="1" applyAlignment="1">
      <alignment horizontal="left" vertical="center"/>
    </xf>
    <xf numFmtId="0" fontId="0" fillId="7" borderId="1" xfId="0" applyFill="1" applyBorder="1" applyAlignment="1">
      <alignment horizontal="left" vertical="center" wrapText="1"/>
    </xf>
    <xf numFmtId="0" fontId="0" fillId="0" borderId="0" xfId="0" applyAlignment="1">
      <alignment vertical="center" wrapText="1"/>
    </xf>
    <xf numFmtId="0" fontId="3" fillId="0" borderId="0" xfId="0" applyFont="1"/>
    <xf numFmtId="0" fontId="0" fillId="0" borderId="0" xfId="0" applyAlignment="1">
      <alignment horizontal="center"/>
    </xf>
    <xf numFmtId="0" fontId="9" fillId="0" borderId="0" xfId="3"/>
    <xf numFmtId="0" fontId="9" fillId="8" borderId="0" xfId="3" applyFill="1" applyAlignment="1">
      <alignment horizontal="center"/>
    </xf>
    <xf numFmtId="0" fontId="9" fillId="0" borderId="0" xfId="3" applyAlignment="1">
      <alignment horizontal="center"/>
    </xf>
    <xf numFmtId="0" fontId="3" fillId="8" borderId="0" xfId="3" applyFont="1" applyFill="1" applyAlignment="1">
      <alignment horizontal="center" vertical="center" wrapText="1"/>
    </xf>
    <xf numFmtId="0" fontId="3" fillId="9" borderId="0" xfId="3" applyFont="1" applyFill="1" applyAlignment="1">
      <alignment horizontal="center" vertical="center" wrapText="1"/>
    </xf>
    <xf numFmtId="0" fontId="9" fillId="0" borderId="0" xfId="3" applyAlignment="1">
      <alignment horizontal="center" vertical="center" wrapText="1"/>
    </xf>
    <xf numFmtId="1" fontId="9" fillId="0" borderId="0" xfId="3" applyNumberFormat="1" applyAlignment="1">
      <alignment horizontal="center"/>
    </xf>
    <xf numFmtId="0" fontId="6" fillId="0" borderId="0" xfId="3" applyFont="1" applyAlignment="1">
      <alignment horizontal="center"/>
    </xf>
    <xf numFmtId="1" fontId="9" fillId="10" borderId="0" xfId="3" applyNumberFormat="1" applyFill="1" applyAlignment="1">
      <alignment horizontal="center"/>
    </xf>
    <xf numFmtId="0" fontId="3" fillId="8" borderId="0" xfId="3" applyFont="1" applyFill="1"/>
    <xf numFmtId="0" fontId="10" fillId="8" borderId="0" xfId="3" applyFont="1" applyFill="1" applyAlignment="1">
      <alignment horizontal="center"/>
    </xf>
    <xf numFmtId="1" fontId="10" fillId="8" borderId="0" xfId="3" applyNumberFormat="1" applyFont="1" applyFill="1" applyAlignment="1">
      <alignment horizontal="center"/>
    </xf>
    <xf numFmtId="0" fontId="3" fillId="11" borderId="1" xfId="3" applyFont="1" applyFill="1" applyBorder="1" applyAlignment="1">
      <alignment horizontal="center" vertical="center" wrapText="1"/>
    </xf>
    <xf numFmtId="9" fontId="9" fillId="0" borderId="1" xfId="4" applyFont="1" applyBorder="1" applyAlignment="1">
      <alignment horizontal="center" vertical="center"/>
    </xf>
    <xf numFmtId="0" fontId="1" fillId="0" borderId="1" xfId="3" applyFont="1" applyBorder="1" applyAlignment="1">
      <alignment horizontal="center" vertical="center"/>
    </xf>
    <xf numFmtId="0" fontId="9" fillId="13" borderId="0" xfId="3" applyFill="1"/>
    <xf numFmtId="0" fontId="3" fillId="3" borderId="0" xfId="3" applyFont="1" applyFill="1" applyAlignment="1">
      <alignment horizontal="center" vertical="center" wrapText="1"/>
    </xf>
    <xf numFmtId="0" fontId="0" fillId="14" borderId="0" xfId="0" applyFill="1" applyAlignment="1">
      <alignment horizontal="center" vertical="center"/>
    </xf>
    <xf numFmtId="0" fontId="3" fillId="8" borderId="0" xfId="0" applyFont="1" applyFill="1" applyAlignment="1">
      <alignment horizontal="center" vertical="center" wrapText="1"/>
    </xf>
    <xf numFmtId="9" fontId="9" fillId="0" borderId="0" xfId="4" applyFont="1" applyFill="1" applyAlignment="1">
      <alignment horizontal="center"/>
    </xf>
    <xf numFmtId="9" fontId="1" fillId="0" borderId="0" xfId="4" applyFont="1" applyFill="1" applyAlignment="1">
      <alignment horizontal="center" vertical="center" wrapText="1"/>
    </xf>
    <xf numFmtId="0" fontId="0" fillId="8" borderId="0" xfId="0" applyFill="1" applyAlignment="1">
      <alignment horizontal="center"/>
    </xf>
    <xf numFmtId="9" fontId="3" fillId="14" borderId="0" xfId="4" applyFont="1" applyFill="1" applyAlignment="1">
      <alignment horizontal="center" vertical="center" wrapText="1"/>
    </xf>
    <xf numFmtId="0" fontId="0" fillId="8" borderId="0" xfId="0" applyFill="1" applyAlignment="1">
      <alignment horizontal="left"/>
    </xf>
    <xf numFmtId="0" fontId="0" fillId="0" borderId="0" xfId="0" applyAlignment="1">
      <alignment horizontal="left"/>
    </xf>
    <xf numFmtId="0" fontId="3" fillId="4" borderId="0" xfId="0" applyFont="1" applyFill="1" applyAlignment="1">
      <alignment vertical="center"/>
    </xf>
    <xf numFmtId="9" fontId="3" fillId="4" borderId="0" xfId="0" applyNumberFormat="1" applyFont="1" applyFill="1" applyAlignment="1">
      <alignment horizontal="center" vertical="center"/>
    </xf>
    <xf numFmtId="0" fontId="0" fillId="4" borderId="0" xfId="0" applyFill="1" applyAlignment="1">
      <alignment horizontal="left"/>
    </xf>
    <xf numFmtId="0" fontId="0" fillId="4" borderId="0" xfId="0" applyFill="1" applyAlignment="1">
      <alignment horizontal="center"/>
    </xf>
    <xf numFmtId="9" fontId="3" fillId="8" borderId="0" xfId="4" applyFont="1" applyFill="1" applyAlignment="1">
      <alignment horizontal="center" vertical="center" wrapText="1"/>
    </xf>
    <xf numFmtId="0" fontId="9" fillId="0" borderId="1" xfId="3" applyBorder="1" applyAlignment="1">
      <alignment horizontal="center"/>
    </xf>
    <xf numFmtId="1" fontId="11" fillId="12" borderId="1" xfId="4" applyNumberFormat="1" applyFont="1" applyFill="1" applyBorder="1" applyAlignment="1">
      <alignment horizontal="center" vertical="center"/>
    </xf>
    <xf numFmtId="9" fontId="1" fillId="0" borderId="0" xfId="1" applyNumberFormat="1" applyAlignment="1">
      <alignment horizontal="left" vertical="center"/>
    </xf>
    <xf numFmtId="0" fontId="3" fillId="2" borderId="4" xfId="1" applyFont="1" applyFill="1" applyBorder="1" applyAlignment="1">
      <alignment vertical="center"/>
    </xf>
    <xf numFmtId="0" fontId="3" fillId="2" borderId="4" xfId="1" applyFont="1" applyFill="1" applyBorder="1" applyAlignment="1">
      <alignment horizontal="center" vertical="center"/>
    </xf>
    <xf numFmtId="0" fontId="1" fillId="0" borderId="4" xfId="1" applyBorder="1" applyAlignment="1">
      <alignment horizontal="center" vertical="center"/>
    </xf>
    <xf numFmtId="1" fontId="6" fillId="0" borderId="4" xfId="2" applyNumberFormat="1" applyFont="1" applyBorder="1" applyAlignment="1">
      <alignment horizontal="center" vertical="center"/>
    </xf>
    <xf numFmtId="1" fontId="0" fillId="0" borderId="4" xfId="2" applyNumberFormat="1" applyFont="1" applyBorder="1" applyAlignment="1">
      <alignment horizontal="center" vertical="center"/>
    </xf>
    <xf numFmtId="0" fontId="3" fillId="2" borderId="0" xfId="1" applyFont="1" applyFill="1" applyAlignment="1">
      <alignment horizontal="left" vertical="center" wrapText="1"/>
    </xf>
    <xf numFmtId="0" fontId="9" fillId="0" borderId="1" xfId="3" applyBorder="1" applyAlignment="1">
      <alignment horizontal="left" vertical="center"/>
    </xf>
    <xf numFmtId="0" fontId="3" fillId="16" borderId="0" xfId="1" applyFont="1" applyFill="1"/>
    <xf numFmtId="0" fontId="1" fillId="16" borderId="0" xfId="1" applyFill="1" applyAlignment="1">
      <alignment vertical="center"/>
    </xf>
    <xf numFmtId="9" fontId="9" fillId="0" borderId="0" xfId="5" applyFont="1" applyAlignment="1">
      <alignment horizontal="center"/>
    </xf>
    <xf numFmtId="9" fontId="9" fillId="0" borderId="0" xfId="3" applyNumberFormat="1" applyAlignment="1">
      <alignment horizontal="center"/>
    </xf>
    <xf numFmtId="0" fontId="4" fillId="2" borderId="0" xfId="1" applyFont="1" applyFill="1" applyAlignment="1">
      <alignment horizontal="center" vertical="center"/>
    </xf>
    <xf numFmtId="0" fontId="3" fillId="2" borderId="0" xfId="1" applyFont="1" applyFill="1" applyAlignment="1">
      <alignment horizontal="center" vertical="center"/>
    </xf>
    <xf numFmtId="9"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3" fillId="0" borderId="0" xfId="0" applyFont="1" applyAlignment="1">
      <alignment vertical="center" wrapText="1"/>
    </xf>
    <xf numFmtId="9" fontId="0" fillId="0" borderId="2" xfId="0" applyNumberFormat="1" applyBorder="1" applyAlignment="1">
      <alignment horizontal="center" vertical="center" wrapText="1"/>
    </xf>
    <xf numFmtId="9" fontId="0" fillId="0" borderId="3"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9" fontId="0" fillId="5" borderId="1" xfId="0" applyNumberFormat="1" applyFill="1" applyBorder="1" applyAlignment="1">
      <alignment horizontal="center" vertical="center" wrapText="1"/>
    </xf>
    <xf numFmtId="0" fontId="0" fillId="5" borderId="1" xfId="0" applyFill="1" applyBorder="1" applyAlignment="1">
      <alignment horizontal="center" vertical="center" wrapText="1"/>
    </xf>
    <xf numFmtId="0" fontId="9" fillId="8" borderId="0" xfId="3" applyFill="1" applyAlignment="1">
      <alignment horizontal="center"/>
    </xf>
    <xf numFmtId="0" fontId="10" fillId="15" borderId="0" xfId="3" applyFont="1" applyFill="1" applyAlignment="1">
      <alignment horizontal="center" vertical="center" wrapText="1"/>
    </xf>
    <xf numFmtId="1" fontId="10" fillId="15" borderId="0" xfId="3" applyNumberFormat="1" applyFont="1" applyFill="1" applyAlignment="1">
      <alignment horizontal="center" vertical="center"/>
    </xf>
    <xf numFmtId="0" fontId="0" fillId="0" borderId="0" xfId="0" applyAlignment="1">
      <alignment vertical="center"/>
    </xf>
    <xf numFmtId="0" fontId="3" fillId="0" borderId="0" xfId="0" applyFont="1" applyAlignment="1">
      <alignment vertical="center"/>
    </xf>
    <xf numFmtId="0" fontId="9" fillId="17" borderId="0" xfId="3" applyFill="1"/>
    <xf numFmtId="0" fontId="9" fillId="14" borderId="0" xfId="3" applyFill="1"/>
    <xf numFmtId="0" fontId="9" fillId="18" borderId="0" xfId="3" applyFill="1"/>
  </cellXfs>
  <cellStyles count="7">
    <cellStyle name="Millares 2" xfId="2" xr:uid="{8A3159BB-1275-4A75-B67A-1F77B89B7D8C}"/>
    <cellStyle name="Normal" xfId="0" builtinId="0"/>
    <cellStyle name="Normal 2 2" xfId="1" xr:uid="{F89807CB-59E3-45EA-93EA-E6C53D3BC646}"/>
    <cellStyle name="Normal 2 2 2" xfId="3" xr:uid="{58A965F4-EF8D-441F-B82A-A784E0F15D6D}"/>
    <cellStyle name="Normal 3" xfId="6" xr:uid="{48ED10BA-E8FA-4610-BE37-BD373F31E508}"/>
    <cellStyle name="Porcentaje" xfId="5" builtinId="5"/>
    <cellStyle name="Porcentaje 2" xfId="4" xr:uid="{82254006-0BFC-454B-9098-325F46404C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1</xdr:row>
      <xdr:rowOff>133350</xdr:rowOff>
    </xdr:from>
    <xdr:to>
      <xdr:col>7</xdr:col>
      <xdr:colOff>675188</xdr:colOff>
      <xdr:row>27</xdr:row>
      <xdr:rowOff>123207</xdr:rowOff>
    </xdr:to>
    <xdr:pic>
      <xdr:nvPicPr>
        <xdr:cNvPr id="3" name="Imagen 2">
          <a:extLst>
            <a:ext uri="{FF2B5EF4-FFF2-40B4-BE49-F238E27FC236}">
              <a16:creationId xmlns:a16="http://schemas.microsoft.com/office/drawing/2014/main" id="{EEA4F82C-3025-4B56-B8D6-06E2A8EF1355}"/>
            </a:ext>
          </a:extLst>
        </xdr:cNvPr>
        <xdr:cNvPicPr>
          <a:picLocks noChangeAspect="1"/>
        </xdr:cNvPicPr>
      </xdr:nvPicPr>
      <xdr:blipFill>
        <a:blip xmlns:r="http://schemas.openxmlformats.org/officeDocument/2006/relationships" r:embed="rId1"/>
        <a:stretch>
          <a:fillRect/>
        </a:stretch>
      </xdr:blipFill>
      <xdr:spPr>
        <a:xfrm>
          <a:off x="828675" y="4324350"/>
          <a:ext cx="8695238" cy="494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afit.sharepoint.com/P%20arboleda/Monitor&#237;as/Calendario%20Monitores%202017.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eafit.sharepoint.com/sites/direcciondllohumano/dlloestudiantil/Documentos%20compartidos/Beneficios%20estudiantiles/Becas/Becas%20Talento%20EAFIT/Convocatoria/20252/Comit&#233;s/Convocatoria%20BT%20y%20aliados%2020252.xlsx" TargetMode="External"/><Relationship Id="rId1" Type="http://schemas.openxmlformats.org/officeDocument/2006/relationships/externalLinkPath" Target="https://eafit.sharepoint.com/sites/direcciondllohumano/dlloestudiantil/Documentos%20compartidos/Beneficios%20estudiantiles/Becas/Becas%20Talento%20EAFIT/Convocatoria/20252/Comit&#233;s/Convocatoria%20BT%20y%20aliados%202025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io Monitores 2017"/>
      <sheetName val="Calendario Monitores 20171"/>
      <sheetName val="Calendario 20172"/>
    </sheetNames>
    <sheetDataSet>
      <sheetData sheetId="0">
        <row r="1">
          <cell r="B1">
            <v>0</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vocatoria"/>
      <sheetName val="Resumen"/>
      <sheetName val="Caracterizacion"/>
      <sheetName val="Hoja1"/>
      <sheetName val="Post. admitidos"/>
      <sheetName val="Ben Nutresa"/>
      <sheetName val="Cupos"/>
      <sheetName val="Caract. NUTRESA"/>
      <sheetName val="TD asignacion"/>
      <sheetName val="Cupos x pregrado"/>
      <sheetName val="Matriz pond."/>
      <sheetName val="Pregrados priorizados"/>
      <sheetName val="36 presel. nutresa"/>
    </sheetNames>
    <sheetDataSet>
      <sheetData sheetId="0"/>
      <sheetData sheetId="1"/>
      <sheetData sheetId="2">
        <row r="6">
          <cell r="A6" t="str">
            <v>001-Administración de Negocios</v>
          </cell>
          <cell r="B6">
            <v>41</v>
          </cell>
        </row>
        <row r="7">
          <cell r="A7" t="str">
            <v>002-Negocios Internacionales</v>
          </cell>
          <cell r="B7">
            <v>37</v>
          </cell>
        </row>
        <row r="8">
          <cell r="A8" t="str">
            <v>003-Economía</v>
          </cell>
          <cell r="B8">
            <v>13</v>
          </cell>
        </row>
        <row r="9">
          <cell r="A9" t="str">
            <v>004-Ingeniería de Procesos</v>
          </cell>
          <cell r="B9">
            <v>1</v>
          </cell>
        </row>
        <row r="10">
          <cell r="A10" t="str">
            <v>010-Ingeniería de Sistemas</v>
          </cell>
          <cell r="B10">
            <v>71</v>
          </cell>
        </row>
        <row r="11">
          <cell r="A11" t="str">
            <v>011-Contaduría Pública</v>
          </cell>
          <cell r="B11">
            <v>6</v>
          </cell>
        </row>
        <row r="12">
          <cell r="A12" t="str">
            <v>012-Ingeniería de Producción</v>
          </cell>
          <cell r="B12">
            <v>2</v>
          </cell>
        </row>
        <row r="13">
          <cell r="A13" t="str">
            <v>013-Ingeniería Civil</v>
          </cell>
          <cell r="B13">
            <v>8</v>
          </cell>
        </row>
        <row r="14">
          <cell r="A14" t="str">
            <v>014-Ingeniería Mecánica</v>
          </cell>
          <cell r="B14">
            <v>12</v>
          </cell>
        </row>
        <row r="15">
          <cell r="A15" t="str">
            <v>015-Geología</v>
          </cell>
          <cell r="B15">
            <v>2</v>
          </cell>
        </row>
        <row r="16">
          <cell r="A16" t="str">
            <v>083-Música</v>
          </cell>
          <cell r="B16">
            <v>8</v>
          </cell>
        </row>
        <row r="17">
          <cell r="A17" t="str">
            <v>084-Derecho</v>
          </cell>
          <cell r="B17">
            <v>33</v>
          </cell>
        </row>
        <row r="18">
          <cell r="A18" t="str">
            <v>085-Ingeniería Diseño de Producto</v>
          </cell>
          <cell r="B18">
            <v>20</v>
          </cell>
        </row>
        <row r="19">
          <cell r="A19" t="str">
            <v>101-Ingeniería Matemática</v>
          </cell>
          <cell r="B19">
            <v>2</v>
          </cell>
        </row>
        <row r="20">
          <cell r="A20" t="str">
            <v>111-Ciencias Políticas</v>
          </cell>
          <cell r="B20">
            <v>3</v>
          </cell>
        </row>
        <row r="21">
          <cell r="A21" t="str">
            <v>112-Comunicación Social</v>
          </cell>
          <cell r="B21">
            <v>18</v>
          </cell>
        </row>
        <row r="22">
          <cell r="A22" t="str">
            <v>113-Ingeniería Física</v>
          </cell>
          <cell r="B22">
            <v>3</v>
          </cell>
        </row>
        <row r="23">
          <cell r="A23" t="str">
            <v>168-Psicología</v>
          </cell>
          <cell r="B23">
            <v>9</v>
          </cell>
        </row>
        <row r="24">
          <cell r="A24" t="str">
            <v>169-Mercadeo</v>
          </cell>
          <cell r="B24">
            <v>45</v>
          </cell>
        </row>
        <row r="25">
          <cell r="A25" t="str">
            <v>183-Biología</v>
          </cell>
          <cell r="B25">
            <v>11</v>
          </cell>
        </row>
        <row r="26">
          <cell r="A26" t="str">
            <v>199-Finanzas</v>
          </cell>
          <cell r="B26">
            <v>31</v>
          </cell>
        </row>
        <row r="27">
          <cell r="A27" t="str">
            <v>220-Literatura</v>
          </cell>
          <cell r="B27">
            <v>2</v>
          </cell>
        </row>
        <row r="28">
          <cell r="A28" t="str">
            <v>230-Ingeniería Agronómica</v>
          </cell>
          <cell r="B28">
            <v>2</v>
          </cell>
        </row>
        <row r="29">
          <cell r="A29" t="str">
            <v>237-Diseño Interactivo</v>
          </cell>
          <cell r="B29">
            <v>23</v>
          </cell>
        </row>
        <row r="30">
          <cell r="A30" t="str">
            <v>240-Diseño Urbano y Gesti Hábitat</v>
          </cell>
          <cell r="B30">
            <v>3</v>
          </cell>
        </row>
        <row r="31">
          <cell r="A31" t="str">
            <v>260-Ingeniería Industrial</v>
          </cell>
          <cell r="B31">
            <v>7</v>
          </cell>
        </row>
        <row r="32">
          <cell r="A32" t="str">
            <v>Total general</v>
          </cell>
          <cell r="B32">
            <v>413</v>
          </cell>
        </row>
      </sheetData>
      <sheetData sheetId="3"/>
      <sheetData sheetId="4"/>
      <sheetData sheetId="5">
        <row r="3">
          <cell r="A3">
            <v>1017931141</v>
          </cell>
        </row>
      </sheetData>
      <sheetData sheetId="6">
        <row r="2">
          <cell r="I2" t="str">
            <v>010-Ingeniería de Sistemas</v>
          </cell>
          <cell r="J2">
            <v>52</v>
          </cell>
          <cell r="K2" t="e">
            <v>#N/A</v>
          </cell>
          <cell r="L2">
            <v>71</v>
          </cell>
          <cell r="M2">
            <v>19</v>
          </cell>
          <cell r="N2">
            <v>0.26760563380281688</v>
          </cell>
          <cell r="O2">
            <v>16</v>
          </cell>
        </row>
        <row r="3">
          <cell r="I3" t="str">
            <v>169-Mercadeo</v>
          </cell>
          <cell r="J3">
            <v>35</v>
          </cell>
          <cell r="K3" t="e">
            <v>#N/A</v>
          </cell>
          <cell r="L3">
            <v>45</v>
          </cell>
          <cell r="M3">
            <v>10</v>
          </cell>
          <cell r="N3">
            <v>0.22222222222222221</v>
          </cell>
          <cell r="O3">
            <v>5</v>
          </cell>
        </row>
        <row r="4">
          <cell r="I4" t="str">
            <v>001-Administración de Negocios</v>
          </cell>
          <cell r="J4">
            <v>32</v>
          </cell>
          <cell r="K4" t="e">
            <v>#N/A</v>
          </cell>
          <cell r="L4">
            <v>41</v>
          </cell>
          <cell r="M4">
            <v>9</v>
          </cell>
          <cell r="N4">
            <v>0.21951219512195122</v>
          </cell>
          <cell r="O4">
            <v>32</v>
          </cell>
        </row>
        <row r="5">
          <cell r="I5" t="str">
            <v>002-Negocios Internacionales</v>
          </cell>
          <cell r="J5">
            <v>25</v>
          </cell>
          <cell r="K5" t="e">
            <v>#N/A</v>
          </cell>
          <cell r="L5">
            <v>37</v>
          </cell>
          <cell r="M5">
            <v>12</v>
          </cell>
          <cell r="N5">
            <v>0.32432432432432434</v>
          </cell>
          <cell r="O5">
            <v>10</v>
          </cell>
        </row>
        <row r="6">
          <cell r="I6" t="str">
            <v>084-Derecho</v>
          </cell>
          <cell r="J6">
            <v>28</v>
          </cell>
          <cell r="K6" t="e">
            <v>#N/A</v>
          </cell>
          <cell r="L6">
            <v>33</v>
          </cell>
          <cell r="M6">
            <v>5</v>
          </cell>
          <cell r="N6">
            <v>0.15151515151515152</v>
          </cell>
          <cell r="O6">
            <v>16</v>
          </cell>
        </row>
        <row r="7">
          <cell r="I7" t="str">
            <v>199-Finanzas</v>
          </cell>
          <cell r="J7">
            <v>25</v>
          </cell>
          <cell r="K7" t="e">
            <v>#N/A</v>
          </cell>
          <cell r="L7">
            <v>31</v>
          </cell>
          <cell r="M7">
            <v>6</v>
          </cell>
          <cell r="N7">
            <v>0.19354838709677419</v>
          </cell>
          <cell r="O7">
            <v>15</v>
          </cell>
        </row>
        <row r="8">
          <cell r="I8" t="str">
            <v>237-Diseño Interactivo</v>
          </cell>
          <cell r="J8">
            <v>16</v>
          </cell>
          <cell r="K8" t="e">
            <v>#N/A</v>
          </cell>
          <cell r="L8">
            <v>23</v>
          </cell>
          <cell r="M8">
            <v>7</v>
          </cell>
          <cell r="N8">
            <v>0.30434782608695654</v>
          </cell>
          <cell r="O8">
            <v>10</v>
          </cell>
        </row>
        <row r="9">
          <cell r="I9" t="str">
            <v>112-Comunicación Social</v>
          </cell>
          <cell r="J9">
            <v>15</v>
          </cell>
          <cell r="K9" t="e">
            <v>#N/A</v>
          </cell>
          <cell r="L9">
            <v>18</v>
          </cell>
          <cell r="M9">
            <v>3</v>
          </cell>
          <cell r="N9">
            <v>0.16666666666666666</v>
          </cell>
          <cell r="O9">
            <v>12</v>
          </cell>
        </row>
        <row r="10">
          <cell r="I10" t="str">
            <v>085-Ingeniería Diseño de Producto</v>
          </cell>
          <cell r="J10">
            <v>10</v>
          </cell>
          <cell r="K10" t="e">
            <v>#N/A</v>
          </cell>
          <cell r="L10">
            <v>20</v>
          </cell>
          <cell r="M10">
            <v>10</v>
          </cell>
          <cell r="N10">
            <v>0.5</v>
          </cell>
          <cell r="O10">
            <v>1</v>
          </cell>
        </row>
        <row r="11">
          <cell r="I11" t="str">
            <v>003-Economía</v>
          </cell>
          <cell r="J11">
            <v>9</v>
          </cell>
          <cell r="K11" t="e">
            <v>#N/A</v>
          </cell>
          <cell r="L11">
            <v>13</v>
          </cell>
          <cell r="M11">
            <v>4</v>
          </cell>
          <cell r="N11">
            <v>0.30769230769230771</v>
          </cell>
          <cell r="O11">
            <v>12</v>
          </cell>
        </row>
        <row r="12">
          <cell r="I12" t="str">
            <v>183-Biología</v>
          </cell>
          <cell r="J12">
            <v>10</v>
          </cell>
          <cell r="K12" t="e">
            <v>#N/A</v>
          </cell>
          <cell r="L12">
            <v>11</v>
          </cell>
          <cell r="M12">
            <v>1</v>
          </cell>
          <cell r="N12">
            <v>9.0909090909090912E-2</v>
          </cell>
          <cell r="O12">
            <v>7</v>
          </cell>
        </row>
        <row r="13">
          <cell r="I13" t="str">
            <v>168-Psicología</v>
          </cell>
          <cell r="J13">
            <v>8</v>
          </cell>
          <cell r="K13" t="e">
            <v>#N/A</v>
          </cell>
          <cell r="L13">
            <v>9</v>
          </cell>
          <cell r="M13">
            <v>1</v>
          </cell>
          <cell r="N13">
            <v>0.1111111111111111</v>
          </cell>
          <cell r="O13">
            <v>15</v>
          </cell>
        </row>
        <row r="14">
          <cell r="I14" t="str">
            <v>014-Ingeniería Mecánica</v>
          </cell>
          <cell r="J14">
            <v>8</v>
          </cell>
          <cell r="K14" t="e">
            <v>#N/A</v>
          </cell>
          <cell r="L14">
            <v>12</v>
          </cell>
          <cell r="M14">
            <v>4</v>
          </cell>
          <cell r="N14">
            <v>0.33333333333333331</v>
          </cell>
          <cell r="O14">
            <v>16</v>
          </cell>
        </row>
        <row r="15">
          <cell r="I15" t="str">
            <v>083-Música</v>
          </cell>
          <cell r="J15">
            <v>8</v>
          </cell>
          <cell r="K15" t="e">
            <v>#N/A</v>
          </cell>
          <cell r="L15">
            <v>8</v>
          </cell>
          <cell r="M15">
            <v>0</v>
          </cell>
          <cell r="N15">
            <v>0</v>
          </cell>
          <cell r="O15">
            <v>1</v>
          </cell>
        </row>
        <row r="16">
          <cell r="I16" t="str">
            <v>011-Contaduría Pública</v>
          </cell>
          <cell r="J16">
            <v>6</v>
          </cell>
          <cell r="K16" t="e">
            <v>#N/A</v>
          </cell>
          <cell r="L16">
            <v>6</v>
          </cell>
          <cell r="M16">
            <v>0</v>
          </cell>
          <cell r="N16">
            <v>0</v>
          </cell>
          <cell r="O16">
            <v>16</v>
          </cell>
        </row>
        <row r="17">
          <cell r="I17" t="str">
            <v>260-Ingeniería Industrial</v>
          </cell>
          <cell r="J17">
            <v>7</v>
          </cell>
          <cell r="K17" t="e">
            <v>#N/A</v>
          </cell>
          <cell r="L17">
            <v>7</v>
          </cell>
          <cell r="M17">
            <v>0</v>
          </cell>
          <cell r="N17">
            <v>0</v>
          </cell>
          <cell r="O17">
            <v>0</v>
          </cell>
        </row>
        <row r="18">
          <cell r="I18" t="str">
            <v>013-Ingeniería Civil</v>
          </cell>
          <cell r="J18">
            <v>8</v>
          </cell>
          <cell r="K18" t="e">
            <v>#N/A</v>
          </cell>
          <cell r="L18">
            <v>8</v>
          </cell>
          <cell r="M18">
            <v>0</v>
          </cell>
          <cell r="N18">
            <v>0</v>
          </cell>
          <cell r="O18">
            <v>16</v>
          </cell>
        </row>
        <row r="19">
          <cell r="I19" t="str">
            <v>111-Ciencias Políticas</v>
          </cell>
          <cell r="J19">
            <v>2</v>
          </cell>
          <cell r="K19" t="e">
            <v>#N/A</v>
          </cell>
          <cell r="L19">
            <v>3</v>
          </cell>
          <cell r="M19">
            <v>1</v>
          </cell>
          <cell r="N19">
            <v>0.33333333333333331</v>
          </cell>
          <cell r="O19">
            <v>16</v>
          </cell>
        </row>
        <row r="20">
          <cell r="I20" t="str">
            <v>015-Geología</v>
          </cell>
          <cell r="J20">
            <v>2</v>
          </cell>
          <cell r="K20" t="e">
            <v>#N/A</v>
          </cell>
          <cell r="L20">
            <v>2</v>
          </cell>
          <cell r="M20">
            <v>0</v>
          </cell>
          <cell r="N20">
            <v>0</v>
          </cell>
          <cell r="O20">
            <v>10</v>
          </cell>
        </row>
        <row r="21">
          <cell r="I21" t="str">
            <v>113-Ingeniería Física</v>
          </cell>
          <cell r="J21">
            <v>2</v>
          </cell>
          <cell r="K21" t="e">
            <v>#N/A</v>
          </cell>
          <cell r="L21">
            <v>3</v>
          </cell>
          <cell r="M21">
            <v>1</v>
          </cell>
          <cell r="N21">
            <v>0.33333333333333331</v>
          </cell>
          <cell r="O21">
            <v>16</v>
          </cell>
        </row>
        <row r="22">
          <cell r="I22" t="str">
            <v>240-Diseño Urbano y Gesti Hábitat</v>
          </cell>
          <cell r="J22">
            <v>2</v>
          </cell>
          <cell r="K22" t="e">
            <v>#N/A</v>
          </cell>
          <cell r="L22">
            <v>3</v>
          </cell>
          <cell r="M22">
            <v>1</v>
          </cell>
          <cell r="N22">
            <v>0.33333333333333331</v>
          </cell>
          <cell r="O22">
            <v>0</v>
          </cell>
        </row>
        <row r="23">
          <cell r="I23" t="str">
            <v>012-Ingeniería de Producción</v>
          </cell>
          <cell r="J23">
            <v>2</v>
          </cell>
          <cell r="K23" t="e">
            <v>#N/A</v>
          </cell>
          <cell r="L23">
            <v>2</v>
          </cell>
          <cell r="M23">
            <v>0</v>
          </cell>
          <cell r="N23">
            <v>0</v>
          </cell>
          <cell r="O23">
            <v>10</v>
          </cell>
        </row>
        <row r="24">
          <cell r="I24" t="str">
            <v>230-Ingeniería Agronómica</v>
          </cell>
          <cell r="J24">
            <v>1</v>
          </cell>
          <cell r="K24" t="e">
            <v>#N/A</v>
          </cell>
          <cell r="L24">
            <v>2</v>
          </cell>
          <cell r="M24">
            <v>1</v>
          </cell>
          <cell r="N24">
            <v>0.5</v>
          </cell>
          <cell r="O24">
            <v>1</v>
          </cell>
        </row>
        <row r="25">
          <cell r="I25" t="str">
            <v>220-Literatura</v>
          </cell>
          <cell r="J25">
            <v>1</v>
          </cell>
          <cell r="K25" t="e">
            <v>#N/A</v>
          </cell>
          <cell r="L25">
            <v>2</v>
          </cell>
          <cell r="M25">
            <v>1</v>
          </cell>
          <cell r="N25">
            <v>0.5</v>
          </cell>
          <cell r="O25">
            <v>20</v>
          </cell>
        </row>
        <row r="26">
          <cell r="I26" t="str">
            <v>101-Ingeniería Matemática</v>
          </cell>
          <cell r="J26">
            <v>1</v>
          </cell>
          <cell r="K26" t="e">
            <v>#N/A</v>
          </cell>
          <cell r="L26">
            <v>2</v>
          </cell>
          <cell r="M26">
            <v>1</v>
          </cell>
          <cell r="N26">
            <v>0.5</v>
          </cell>
          <cell r="O26">
            <v>15</v>
          </cell>
        </row>
      </sheetData>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eafit.sharepoint.com/sites/direcciondllohumano/dlloestudiantil/Documentos%20compartidos/Beneficios%20estudiantiles/Becas/Becas%20Talento%20EAFIT/Convocatoria/20252/Comit&#233;s/Comite_seleccion_final_BT_2025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1" refreshedDate="45834.755201851855" createdVersion="8" refreshedVersion="8" minRefreshableVersion="3" recordCount="413" xr:uid="{C9415348-EE7F-475F-8992-67ED007D3BD5}">
  <cacheSource type="worksheet">
    <worksheetSource ref="A2:ID415" sheet="Post. admitidos" r:id="rId2"/>
  </cacheSource>
  <cacheFields count="238">
    <cacheField name="Tipo Dcto" numFmtId="0">
      <sharedItems/>
    </cacheField>
    <cacheField name="Doc identidad" numFmtId="0">
      <sharedItems containsSemiMixedTypes="0" containsString="0" containsNumber="1" containsInteger="1" minValue="1210961" maxValue="1201262300"/>
    </cacheField>
    <cacheField name="Id Estudiante" numFmtId="0">
      <sharedItems/>
    </cacheField>
    <cacheField name="Nombre completo" numFmtId="0">
      <sharedItems/>
    </cacheField>
    <cacheField name="Tipo Admisión" numFmtId="0">
      <sharedItems/>
    </cacheField>
    <cacheField name="FILTRO TALENTO" numFmtId="0">
      <sharedItems count="18">
        <s v="No cumple, ya finalizo un pregrado"/>
        <s v="Cumple Talento"/>
        <s v="Descartado por rendimiento icfes"/>
        <s v="Descartado por Prueba psicometrica"/>
        <s v="Descartado por propiedades"/>
        <s v="Beneficiario nutresa"/>
        <s v="Descartado por ingresos"/>
        <s v="Descartado por ingresos altos (15)"/>
        <s v="Preseleccionado Alvaro Uribe"/>
        <s v="No cumple, estrato 5 o 6"/>
        <s v="Descartado, pago matricula"/>
        <s v="Descartado por ingresos y colegio"/>
        <s v="Descartado por ingresos altos (insc)"/>
        <s v="Preseleccionado KYSKAS"/>
        <s v="Descartado por rendimiento notas"/>
        <s v="No cumple, ICFES anterior a 2014"/>
        <s v="Descartado por foraneo e ingresos bajos"/>
        <s v="Descartado, renuncia del proceso"/>
      </sharedItems>
    </cacheField>
    <cacheField name="FILTRO NUTRESA" numFmtId="0">
      <sharedItems/>
    </cacheField>
    <cacheField name="Alertas" numFmtId="0">
      <sharedItems containsBlank="1"/>
    </cacheField>
    <cacheField name="Estado Convocatoria" numFmtId="0">
      <sharedItems/>
    </cacheField>
    <cacheField name="Corte de admisión" numFmtId="0">
      <sharedItems/>
    </cacheField>
    <cacheField name="Tipificación activación" numFmtId="0">
      <sharedItems/>
    </cacheField>
    <cacheField name="Correo" numFmtId="0">
      <sharedItems/>
    </cacheField>
    <cacheField name="Email_Institucional" numFmtId="0">
      <sharedItems/>
    </cacheField>
    <cacheField name="Email" numFmtId="0">
      <sharedItems/>
    </cacheField>
    <cacheField name="Cel de contacto" numFmtId="0">
      <sharedItems/>
    </cacheField>
    <cacheField name="Última FechaInscripcion" numFmtId="14">
      <sharedItems containsSemiMixedTypes="0" containsNonDate="0" containsDate="1" containsString="0" minDate="2025-03-05T00:00:00" maxDate="2025-06-07T00:00:00"/>
    </cacheField>
    <cacheField name="Estado Inscripción" numFmtId="0">
      <sharedItems/>
    </cacheField>
    <cacheField name="ProgramaAcad" numFmtId="0">
      <sharedItems/>
    </cacheField>
    <cacheField name="Escuela" numFmtId="0">
      <sharedItems/>
    </cacheField>
    <cacheField name="Fecha Nacto." numFmtId="0">
      <sharedItems containsDate="1" containsMixedTypes="1" minDate="1986-12-11T00:00:00" maxDate="2009-10-14T00:00:00"/>
    </cacheField>
    <cacheField name="Edad" numFmtId="1">
      <sharedItems containsSemiMixedTypes="0" containsString="0" containsNumber="1" containsInteger="1" minValue="16" maxValue="38"/>
    </cacheField>
    <cacheField name="Nacimiento Depto" numFmtId="0">
      <sharedItems/>
    </cacheField>
    <cacheField name="Nacimiento Ciudad" numFmtId="0">
      <sharedItems/>
    </cacheField>
    <cacheField name="Género" numFmtId="0">
      <sharedItems/>
    </cacheField>
    <cacheField name="Estado Civil" numFmtId="0">
      <sharedItems/>
    </cacheField>
    <cacheField name="Vic. Conflicto Armado" numFmtId="0">
      <sharedItems/>
    </cacheField>
    <cacheField name="Vic. Desplazamiento" numFmtId="0">
      <sharedItems/>
    </cacheField>
    <cacheField name="Ciudad Desplazamiento" numFmtId="0">
      <sharedItems containsMixedTypes="1" containsNumber="1" containsInteger="1" minValue="0" maxValue="0"/>
    </cacheField>
    <cacheField name="Discapacidad" numFmtId="0">
      <sharedItems/>
    </cacheField>
    <cacheField name="Tipo Discapacidad" numFmtId="0">
      <sharedItems/>
    </cacheField>
    <cacheField name="Grupo Étnico" numFmtId="0">
      <sharedItems/>
    </cacheField>
    <cacheField name="Desc Grupo Étnico" numFmtId="0">
      <sharedItems/>
    </cacheField>
    <cacheField name="Grupo Minorista" numFmtId="0">
      <sharedItems/>
    </cacheField>
    <cacheField name="Desc Grupo Minorista" numFmtId="0">
      <sharedItems/>
    </cacheField>
    <cacheField name="Aspirante_a_Beca_Tiene_Hijos" numFmtId="0">
      <sharedItems/>
    </cacheField>
    <cacheField name="Telefono" numFmtId="0">
      <sharedItems/>
    </cacheField>
    <cacheField name="Celular" numFmtId="0">
      <sharedItems/>
    </cacheField>
    <cacheField name="Estrato" numFmtId="0">
      <sharedItems/>
    </cacheField>
    <cacheField name="Dirección" numFmtId="0">
      <sharedItems/>
    </cacheField>
    <cacheField name="Departamento residencia" numFmtId="0">
      <sharedItems/>
    </cacheField>
    <cacheField name="Ciudad residencia" numFmtId="0">
      <sharedItems/>
    </cacheField>
    <cacheField name="Si_es_Foraneo_Ya_Sabe_Donde_Vivira_o_con_Quien" numFmtId="0">
      <sharedItems/>
    </cacheField>
    <cacheField name="Tipo vivienda" numFmtId="0">
      <sharedItems/>
    </cacheField>
    <cacheField name="Presentó Saber 11" numFmtId="0">
      <sharedItems/>
    </cacheField>
    <cacheField name="Año Saber 11" numFmtId="0">
      <sharedItems containsMixedTypes="1" containsNumber="1" containsInteger="1" minValue="2023" maxValue="2025"/>
    </cacheField>
    <cacheField name="Registro Saber 11" numFmtId="0">
      <sharedItems/>
    </cacheField>
    <cacheField name="Puntaje global" numFmtId="0">
      <sharedItems containsMixedTypes="1" containsNumber="1" containsInteger="1" minValue="185" maxValue="449"/>
    </cacheField>
    <cacheField name="Matemáticas" numFmtId="0">
      <sharedItems containsMixedTypes="1" containsNumber="1" containsInteger="1" minValue="26" maxValue="100"/>
    </cacheField>
    <cacheField name="Lectura crítica" numFmtId="0">
      <sharedItems containsMixedTypes="1" containsNumber="1" containsInteger="1" minValue="35" maxValue="100"/>
    </cacheField>
    <cacheField name="Tipo institución" numFmtId="0">
      <sharedItems/>
    </cacheField>
    <cacheField name="Colegio" numFmtId="0">
      <sharedItems/>
    </cacheField>
    <cacheField name="Año colegio" numFmtId="0">
      <sharedItems containsSemiMixedTypes="0" containsString="0" containsNumber="1" containsInteger="1" minValue="2003" maxValue="2025"/>
    </cacheField>
    <cacheField name="Depto colegio" numFmtId="0">
      <sharedItems containsBlank="1"/>
    </cacheField>
    <cacheField name="Ciudad colegio" numFmtId="0">
      <sharedItems/>
    </cacheField>
    <cacheField name="Título colegio" numFmtId="0">
      <sharedItems containsMixedTypes="1" containsNumber="1" containsInteger="1" minValue="0" maxValue="0"/>
    </cacheField>
    <cacheField name="Tipo bachiller" numFmtId="0">
      <sharedItems containsMixedTypes="1" containsNumber="1" containsInteger="1" minValue="0" maxValue="0"/>
    </cacheField>
    <cacheField name="Información Colegio Epik" numFmtId="0">
      <sharedItems containsBlank="1" longText="1"/>
    </cacheField>
    <cacheField name="Último Grado" numFmtId="0">
      <sharedItems containsMixedTypes="1" containsNumber="1" containsInteger="1" minValue="0" maxValue="0"/>
    </cacheField>
    <cacheField name="Escala Eval." numFmtId="0">
      <sharedItems containsMixedTypes="1" containsNumber="1" containsInteger="1" minValue="0" maxValue="0"/>
    </cacheField>
    <cacheField name="Escala para matriz" numFmtId="0">
      <sharedItems/>
    </cacheField>
    <cacheField name="NOTA_9_FÍSICA" numFmtId="0">
      <sharedItems containsBlank="1"/>
    </cacheField>
    <cacheField name="NOTA_10_FÍSICA" numFmtId="0">
      <sharedItems containsBlank="1"/>
    </cacheField>
    <cacheField name="NOTA_11_FÍSICA" numFmtId="0">
      <sharedItems containsBlank="1"/>
    </cacheField>
    <cacheField name="NOTA_9_QUÍMICA" numFmtId="0">
      <sharedItems containsBlank="1"/>
    </cacheField>
    <cacheField name="NOTA_10_QUÍMICA" numFmtId="0">
      <sharedItems containsBlank="1"/>
    </cacheField>
    <cacheField name="NOTA_11_QUÍMICA" numFmtId="0">
      <sharedItems containsBlank="1"/>
    </cacheField>
    <cacheField name="NOTA_9_MATEMÁTICAS" numFmtId="0">
      <sharedItems containsString="0" containsBlank="1" containsNumber="1" minValue="3" maxValue="100"/>
    </cacheField>
    <cacheField name="NOTA_10_MATEMÁTICAS" numFmtId="0">
      <sharedItems containsString="0" containsBlank="1" containsNumber="1" minValue="3" maxValue="100"/>
    </cacheField>
    <cacheField name="NOTA_11_MATEMÁTICAS" numFmtId="0">
      <sharedItems containsString="0" containsBlank="1" containsNumber="1" minValue="3" maxValue="91"/>
    </cacheField>
    <cacheField name="NOTA_9_LENGUAJE" numFmtId="0">
      <sharedItems containsString="0" containsBlank="1" containsNumber="1" minValue="3" maxValue="100"/>
    </cacheField>
    <cacheField name="NOTA_10_LENGUAJE" numFmtId="0">
      <sharedItems containsString="0" containsBlank="1" containsNumber="1" minValue="3" maxValue="95"/>
    </cacheField>
    <cacheField name="NOTA_11_LENGUAJE" numFmtId="0">
      <sharedItems containsString="0" containsBlank="1" containsNumber="1" minValue="3" maxValue="91"/>
    </cacheField>
    <cacheField name="NOTA_9_INGLÉS" numFmtId="0">
      <sharedItems containsBlank="1"/>
    </cacheField>
    <cacheField name="NOTA_10_INGLÉS" numFmtId="0">
      <sharedItems containsBlank="1"/>
    </cacheField>
    <cacheField name="NOTA_11_INGLÉS" numFmtId="0">
      <sharedItems containsBlank="1"/>
    </cacheField>
    <cacheField name="NOTA_9_FILOSOFÍA" numFmtId="0">
      <sharedItems containsBlank="1"/>
    </cacheField>
    <cacheField name="NOTA_10_FILOSOFÍA" numFmtId="0">
      <sharedItems containsBlank="1"/>
    </cacheField>
    <cacheField name="NOTA_11_FILOSOFÍA" numFmtId="0">
      <sharedItems containsBlank="1"/>
    </cacheField>
    <cacheField name="NOTA_9_SOCIALES" numFmtId="0">
      <sharedItems containsBlank="1"/>
    </cacheField>
    <cacheField name="NOTA_10_SOCIALES" numFmtId="0">
      <sharedItems containsBlank="1"/>
    </cacheField>
    <cacheField name="NOTA_11_SOCIALES" numFmtId="0">
      <sharedItems containsBlank="1"/>
    </cacheField>
    <cacheField name="Notas del colegio" numFmtId="0">
      <sharedItems/>
    </cacheField>
    <cacheField name="Promedio notas" numFmtId="0">
      <sharedItems containsSemiMixedTypes="0" containsString="0" containsNumber="1" minValue="0" maxValue="94"/>
    </cacheField>
    <cacheField name="Estudios preg otra institución" numFmtId="0">
      <sharedItems/>
    </cacheField>
    <cacheField name="Detalle Otros Estudios" numFmtId="0">
      <sharedItems longText="1"/>
    </cacheField>
    <cacheField name="NIVEL OTROS ESTUDIOS" numFmtId="0">
      <sharedItems containsMixedTypes="1" containsNumber="1" containsInteger="1" minValue="0" maxValue="0"/>
    </cacheField>
    <cacheField name="NOMBRE OTROS ESTUDIOS" numFmtId="0">
      <sharedItems containsMixedTypes="1" containsNumber="1" containsInteger="1" minValue="0" maxValue="0"/>
    </cacheField>
    <cacheField name="Estudios_Pregrado_Finalizados" numFmtId="0">
      <sharedItems/>
    </cacheField>
    <cacheField name="Entrevista Extracurriculares_VALOR" numFmtId="0">
      <sharedItems containsMixedTypes="1" containsNumber="1" containsInteger="1" minValue="30" maxValue="50"/>
    </cacheField>
    <cacheField name="Actividades extracurriculares_COMENTARIO" numFmtId="0">
      <sharedItems containsBlank="1"/>
    </cacheField>
    <cacheField name="Aptitud vocacional_VALOR" numFmtId="0">
      <sharedItems containsMixedTypes="1" containsNumber="1" containsInteger="1" minValue="35" maxValue="50"/>
    </cacheField>
    <cacheField name="Aptitud vocacional_COMENTARIO" numFmtId="0">
      <sharedItems containsBlank="1"/>
    </cacheField>
    <cacheField name="Desempeño en la entrevista/audición_VALOR" numFmtId="0">
      <sharedItems containsMixedTypes="1" containsNumber="1" containsInteger="1" minValue="35" maxValue="50"/>
    </cacheField>
    <cacheField name="Desempeño en la entrevista/audición_COMENTARIO" numFmtId="0">
      <sharedItems containsBlank="1"/>
    </cacheField>
    <cacheField name="Comentario Entrevistador" numFmtId="0">
      <sharedItems containsBlank="1" containsMixedTypes="1" containsNumber="1" containsInteger="1" minValue="0" maxValue="0" longText="1"/>
    </cacheField>
    <cacheField name="PROMEDIO ENTREVISTA" numFmtId="2">
      <sharedItems containsMixedTypes="1" containsNumber="1" minValue="8" maxValue="50"/>
    </cacheField>
    <cacheField name="Tipo entrevista" numFmtId="2">
      <sharedItems/>
    </cacheField>
    <cacheField name="Actividades_extracurriculares_" numFmtId="0">
      <sharedItems/>
    </cacheField>
    <cacheField name="Como_se_Visualiza_en_la_Profesion_y_Como_Trasformara_su_Lugar_de_Origen" numFmtId="0">
      <sharedItems longText="1"/>
    </cacheField>
    <cacheField name="Enteró programa" numFmtId="0">
      <sharedItems/>
    </cacheField>
    <cacheField name="Elegir EAFIT" numFmtId="0">
      <sharedItems/>
    </cacheField>
    <cacheField name="Elegir programa" numFmtId="0">
      <sharedItems/>
    </cacheField>
    <cacheField name="Con_Cuantas_Personas_Vive" numFmtId="1">
      <sharedItems containsSemiMixedTypes="0" containsString="0" containsNumber="1" containsInteger="1" minValue="0" maxValue="7"/>
    </cacheField>
    <cacheField name="Num hermanos" numFmtId="0">
      <sharedItems/>
    </cacheField>
    <cacheField name="Primero ingresar SUP" numFmtId="0">
      <sharedItems/>
    </cacheField>
    <cacheField name="Familiar estudiando en eafit" numFmtId="0">
      <sharedItems/>
    </cacheField>
    <cacheField name="Ingresos mensuales" numFmtId="0">
      <sharedItems/>
    </cacheField>
    <cacheField name="Familia_con_empresa" numFmtId="0">
      <sharedItems/>
    </cacheField>
    <cacheField name="Pago recursos propios" numFmtId="0">
      <sharedItems containsMixedTypes="1" containsNumber="1" containsInteger="1" minValue="0" maxValue="0"/>
    </cacheField>
    <cacheField name="Pago financiación" numFmtId="0">
      <sharedItems containsMixedTypes="1" containsNumber="1" containsInteger="1" minValue="0" maxValue="0"/>
    </cacheField>
    <cacheField name="Cual Pago financiación" numFmtId="0">
      <sharedItems containsBlank="1"/>
    </cacheField>
    <cacheField name="Beca" numFmtId="0">
      <sharedItems containsMixedTypes="1" containsNumber="1" containsInteger="1" minValue="0" maxValue="0"/>
    </cacheField>
    <cacheField name="Cual Beca" numFmtId="0">
      <sharedItems containsBlank="1"/>
    </cacheField>
    <cacheField name="Labora actualmente" numFmtId="0">
      <sharedItems containsMixedTypes="1" containsNumber="1" containsInteger="1" minValue="0" maxValue="0"/>
    </cacheField>
    <cacheField name="Empresa" numFmtId="0">
      <sharedItems containsBlank="1" containsMixedTypes="1" containsNumber="1" containsInteger="1" minValue="0" maxValue="0"/>
    </cacheField>
    <cacheField name="Cargo" numFmtId="0">
      <sharedItems containsBlank="1" containsMixedTypes="1" containsNumber="1" containsInteger="1" minValue="0" maxValue="0"/>
    </cacheField>
    <cacheField name="Padre_Vivo" numFmtId="0">
      <sharedItems/>
    </cacheField>
    <cacheField name="Padre NombresApellidos Convocatoria" numFmtId="0">
      <sharedItems containsMixedTypes="1" containsNumber="1" containsInteger="1" minValue="0" maxValue="0"/>
    </cacheField>
    <cacheField name="Padre_EstadoCivil" numFmtId="0">
      <sharedItems containsBlank="1"/>
    </cacheField>
    <cacheField name="Padre_NivelEstudio" numFmtId="0">
      <sharedItems containsBlank="1"/>
    </cacheField>
    <cacheField name="Padre_Edad" numFmtId="0">
      <sharedItems containsBlank="1"/>
    </cacheField>
    <cacheField name="Padre Profesión/Oficio" numFmtId="0">
      <sharedItems/>
    </cacheField>
    <cacheField name="Padre SituaciónLaboral" numFmtId="0">
      <sharedItems/>
    </cacheField>
    <cacheField name="Padre CargoActividad" numFmtId="0">
      <sharedItems containsBlank="1"/>
    </cacheField>
    <cacheField name="Padre EmpresaLabora" numFmtId="0">
      <sharedItems/>
    </cacheField>
    <cacheField name="Padre IngresoMensual" numFmtId="165">
      <sharedItems containsString="0" containsBlank="1" containsNumber="1" containsInteger="1" minValue="0" maxValue="76400000"/>
    </cacheField>
    <cacheField name="Padre  Vive_con_el_aspirante" numFmtId="0">
      <sharedItems/>
    </cacheField>
    <cacheField name="Padre_RespPago" numFmtId="0">
      <sharedItems containsBlank="1"/>
    </cacheField>
    <cacheField name="Padre_ApyEcon" numFmtId="0">
      <sharedItems containsBlank="1"/>
    </cacheField>
    <cacheField name="Padre Observaciones" numFmtId="0">
      <sharedItems longText="1"/>
    </cacheField>
    <cacheField name="Madre Viva" numFmtId="0">
      <sharedItems/>
    </cacheField>
    <cacheField name="Madre NombresApellidos Convocatoria" numFmtId="0">
      <sharedItems/>
    </cacheField>
    <cacheField name="Madre_EstadoCivil" numFmtId="0">
      <sharedItems containsBlank="1"/>
    </cacheField>
    <cacheField name="Madre_NivelEstudio" numFmtId="0">
      <sharedItems containsBlank="1"/>
    </cacheField>
    <cacheField name="Madre_Edad" numFmtId="0">
      <sharedItems containsBlank="1"/>
    </cacheField>
    <cacheField name="Madre ProfesiónOficio" numFmtId="0">
      <sharedItems/>
    </cacheField>
    <cacheField name="Madre SituaciónLaboral" numFmtId="0">
      <sharedItems/>
    </cacheField>
    <cacheField name="Madre CargoActividad" numFmtId="0">
      <sharedItems containsBlank="1"/>
    </cacheField>
    <cacheField name="Madre EmpresaLabora" numFmtId="0">
      <sharedItems/>
    </cacheField>
    <cacheField name="Madre IngresoMensual" numFmtId="165">
      <sharedItems containsString="0" containsBlank="1" containsNumber="1" containsInteger="1" minValue="0" maxValue="36415746"/>
    </cacheField>
    <cacheField name="Madre_vive_con_el_aspirante" numFmtId="0">
      <sharedItems/>
    </cacheField>
    <cacheField name="Madre_RespPago" numFmtId="0">
      <sharedItems containsBlank="1"/>
    </cacheField>
    <cacheField name="Madre_ApyEcon" numFmtId="0">
      <sharedItems containsBlank="1"/>
    </cacheField>
    <cacheField name="Madre Observaciones" numFmtId="0">
      <sharedItems containsBlank="1" longText="1"/>
    </cacheField>
    <cacheField name="Total Ingresos de los padres" numFmtId="165">
      <sharedItems containsSemiMixedTypes="0" containsString="0" containsNumber="1" containsInteger="1" minValue="0" maxValue="84200000"/>
    </cacheField>
    <cacheField name="Vive_con_personas_diferentes_a_los_Padres" numFmtId="0">
      <sharedItems/>
    </cacheField>
    <cacheField name="Familiar1 NombresApellidos" numFmtId="0">
      <sharedItems/>
    </cacheField>
    <cacheField name="Familiar1 Parentesco" numFmtId="0">
      <sharedItems/>
    </cacheField>
    <cacheField name="Familiar1 Edad" numFmtId="0">
      <sharedItems/>
    </cacheField>
    <cacheField name="Familiar1 Ocupacion" numFmtId="0">
      <sharedItems/>
    </cacheField>
    <cacheField name="Familiar1 Empresa" numFmtId="0">
      <sharedItems/>
    </cacheField>
    <cacheField name="Familiar1 Ingresos" numFmtId="165">
      <sharedItems containsString="0" containsBlank="1" containsNumber="1" containsInteger="1" minValue="0" maxValue="319180200"/>
    </cacheField>
    <cacheField name="Familiar1 Aporta_al_Hogar" numFmtId="0">
      <sharedItems/>
    </cacheField>
    <cacheField name="Familiar2 NombresApellidos" numFmtId="0">
      <sharedItems/>
    </cacheField>
    <cacheField name="Familiar2 Parentesco" numFmtId="0">
      <sharedItems/>
    </cacheField>
    <cacheField name="Familiar2 Edad" numFmtId="0">
      <sharedItems/>
    </cacheField>
    <cacheField name="Familiar2 Ocupacion" numFmtId="0">
      <sharedItems/>
    </cacheField>
    <cacheField name="Familiar2 Empresa" numFmtId="0">
      <sharedItems/>
    </cacheField>
    <cacheField name="Familiar2 Ingresos" numFmtId="165">
      <sharedItems containsString="0" containsBlank="1" containsNumber="1" containsInteger="1" minValue="0" maxValue="8000000"/>
    </cacheField>
    <cacheField name="Familiar2 Aporta_al_Hogar" numFmtId="0">
      <sharedItems/>
    </cacheField>
    <cacheField name="Familiar3 NombresApellidos" numFmtId="0">
      <sharedItems/>
    </cacheField>
    <cacheField name="Familiar3 Parentesco" numFmtId="0">
      <sharedItems/>
    </cacheField>
    <cacheField name="Familiar3 Edad" numFmtId="0">
      <sharedItems/>
    </cacheField>
    <cacheField name="Familiar3 Ocupacion" numFmtId="0">
      <sharedItems/>
    </cacheField>
    <cacheField name="Familiar3 Empresa" numFmtId="0">
      <sharedItems/>
    </cacheField>
    <cacheField name="Familiar3 Ingresos" numFmtId="165">
      <sharedItems containsString="0" containsBlank="1" containsNumber="1" containsInteger="1" minValue="0" maxValue="9000000"/>
    </cacheField>
    <cacheField name="Familiar3 Aporta_al_Hogar" numFmtId="0">
      <sharedItems/>
    </cacheField>
    <cacheField name="Observaciones GrupoFamiliar" numFmtId="0">
      <sharedItems containsBlank="1" longText="1"/>
    </cacheField>
    <cacheField name="Valor Casa" numFmtId="165">
      <sharedItems containsSemiMixedTypes="0" containsString="0" containsNumber="1" containsInteger="1" minValue="0" maxValue="704835507"/>
    </cacheField>
    <cacheField name="Valor Apartamentos" numFmtId="165">
      <sharedItems containsSemiMixedTypes="0" containsString="0" containsNumber="1" containsInteger="1" minValue="0" maxValue="750000000"/>
    </cacheField>
    <cacheField name="Valor Fincas" numFmtId="165">
      <sharedItems containsSemiMixedTypes="0" containsString="0" containsNumber="1" containsInteger="1" minValue="0" maxValue="340000000"/>
    </cacheField>
    <cacheField name="Valor Locales" numFmtId="165">
      <sharedItems containsSemiMixedTypes="0" containsString="0" containsNumber="1" containsInteger="1" minValue="0" maxValue="578771000"/>
    </cacheField>
    <cacheField name="Valor Lotes" numFmtId="165">
      <sharedItems containsSemiMixedTypes="0" containsString="0" containsNumber="1" containsInteger="1" minValue="0" maxValue="150000000"/>
    </cacheField>
    <cacheField name="vehículos_propios_o_de_los_padres" numFmtId="0">
      <sharedItems/>
    </cacheField>
    <cacheField name="Automóvil Marca" numFmtId="0">
      <sharedItems/>
    </cacheField>
    <cacheField name="Automóvil Modelo" numFmtId="0">
      <sharedItems/>
    </cacheField>
    <cacheField name="Automóvil Valor" numFmtId="165">
      <sharedItems containsSemiMixedTypes="0" containsString="0" containsNumber="1" containsInteger="1" minValue="0" maxValue="400000000"/>
    </cacheField>
    <cacheField name="Familia PoseeCamión" numFmtId="0">
      <sharedItems/>
    </cacheField>
    <cacheField name="Camión Marca" numFmtId="0">
      <sharedItems/>
    </cacheField>
    <cacheField name="Camión Modelo" numFmtId="0">
      <sharedItems/>
    </cacheField>
    <cacheField name="Camión Valor" numFmtId="165">
      <sharedItems containsSemiMixedTypes="0" containsString="0" containsNumber="1" containsInteger="1" minValue="0" maxValue="60000000"/>
    </cacheField>
    <cacheField name="Familia Posee_Otro_Vehiculo" numFmtId="0">
      <sharedItems/>
    </cacheField>
    <cacheField name="Cuál otro vehículo" numFmtId="0">
      <sharedItems/>
    </cacheField>
    <cacheField name="Otro - Marca" numFmtId="0">
      <sharedItems/>
    </cacheField>
    <cacheField name="Otro - Modelo" numFmtId="0">
      <sharedItems/>
    </cacheField>
    <cacheField name="Otro - Valor" numFmtId="165">
      <sharedItems containsSemiMixedTypes="0" containsString="0" containsNumber="1" containsInteger="1" minValue="0" maxValue="200000000"/>
    </cacheField>
    <cacheField name="Observaciones BienesFamiliares" numFmtId="0">
      <sharedItems containsBlank="1" longText="1"/>
    </cacheField>
    <cacheField name="En_casa_me_siento_respaldado" numFmtId="0">
      <sharedItems containsSemiMixedTypes="0" containsString="0" containsNumber="1" containsInteger="1" minValue="1" maxValue="4"/>
    </cacheField>
    <cacheField name="Cuando_algo_no_sale_como_espero_academicamente" numFmtId="0">
      <sharedItems containsSemiMixedTypes="0" containsString="0" containsNumber="1" containsInteger="1" minValue="1" maxValue="4"/>
    </cacheField>
    <cacheField name="Identifico_cuando_necesito_apoyo_psicologico" numFmtId="0">
      <sharedItems containsSemiMixedTypes="0" containsString="0" containsNumber="1" containsInteger="1" minValue="1" maxValue="4"/>
    </cacheField>
    <cacheField name="Me_esfuerzo_por_cumplir_mis_tareas" numFmtId="0">
      <sharedItems containsSemiMixedTypes="0" containsString="0" containsNumber="1" containsInteger="1" minValue="1" maxValue="4"/>
    </cacheField>
    <cacheField name="Mi_familia_valora_el_esfuerzo_que_hago" numFmtId="0">
      <sharedItems containsSemiMixedTypes="0" containsString="0" containsNumber="1" containsInteger="1" minValue="1" maxValue="4"/>
    </cacheField>
    <cacheField name="Recurro_a_estrategias_para_mantenerme_motivado" numFmtId="0">
      <sharedItems containsSemiMixedTypes="0" containsString="0" containsNumber="1" containsInteger="1" minValue="1" maxValue="4"/>
    </cacheField>
    <cacheField name="Cuento_con_apoyo_en_casa_en_dificultades" numFmtId="0">
      <sharedItems containsSemiMixedTypes="0" containsString="0" containsNumber="1" containsInteger="1" minValue="1" maxValue="4"/>
    </cacheField>
    <cacheField name="Organizo_mi_tiempo_de_estudio" numFmtId="0">
      <sharedItems containsSemiMixedTypes="0" containsString="0" containsNumber="1" containsInteger="1" minValue="1" maxValue="4"/>
    </cacheField>
    <cacheField name="Participo_en_actividades" numFmtId="0">
      <sharedItems containsSemiMixedTypes="0" containsString="0" containsNumber="1" containsInteger="1" minValue="1" maxValue="4"/>
    </cacheField>
    <cacheField name="Me_siento_acompañado_por_mi_familia" numFmtId="0">
      <sharedItems containsSemiMixedTypes="0" containsString="0" containsNumber="1" containsInteger="1" minValue="1" maxValue="4"/>
    </cacheField>
    <cacheField name="Total prueba psicometrica" numFmtId="0">
      <sharedItems containsSemiMixedTypes="0" containsString="0" containsNumber="1" containsInteger="1" minValue="10" maxValue="40"/>
    </cacheField>
    <cacheField name="Concepto favorable por prueba psicotecnica" numFmtId="0">
      <sharedItems/>
    </cacheField>
    <cacheField name="descargar docs de EPIK" numFmtId="0">
      <sharedItems containsBlank="1"/>
    </cacheField>
    <cacheField name="OK DE DATOS?" numFmtId="0">
      <sharedItems/>
    </cacheField>
    <cacheField name="accion a seguir" numFmtId="0">
      <sharedItems/>
    </cacheField>
    <cacheField name="resultado convocatorias anteriores" numFmtId="0">
      <sharedItems containsMixedTypes="1" containsNumber="1" minValue="0.4" maxValue="0.8"/>
    </cacheField>
    <cacheField name="cohorte conv. Anteriores" numFmtId="0">
      <sharedItems containsMixedTypes="1" containsNumber="1" containsInteger="1" minValue="20232" maxValue="20251"/>
    </cacheField>
    <cacheField name="pago matricula?" numFmtId="0">
      <sharedItems containsBlank="1"/>
    </cacheField>
    <cacheField name="pregrado priorizados nutresa" numFmtId="0">
      <sharedItems containsSemiMixedTypes="0" containsString="0" containsNumber="1" containsInteger="1" minValue="1" maxValue="3"/>
    </cacheField>
    <cacheField name="Puntaje estrato" numFmtId="0">
      <sharedItems containsMixedTypes="1" containsNumber="1" containsInteger="1" minValue="4" maxValue="10"/>
    </cacheField>
    <cacheField name="Puntos estrato" numFmtId="0">
      <sharedItems containsMixedTypes="1" containsNumber="1" containsInteger="1" minValue="4" maxValue="10"/>
    </cacheField>
    <cacheField name="Puntaje Saber 11" numFmtId="0">
      <sharedItems containsMixedTypes="1" containsNumber="1" containsInteger="1" minValue="0" maxValue="15"/>
    </cacheField>
    <cacheField name="Puntaje notas" numFmtId="0">
      <sharedItems containsMixedTypes="1" containsNumber="1" containsInteger="1" minValue="0" maxValue="20"/>
    </cacheField>
    <cacheField name="Puntaje prueba psicometrica" numFmtId="0">
      <sharedItems containsMixedTypes="1" containsNumber="1" containsInteger="1" minValue="0" maxValue="15"/>
    </cacheField>
    <cacheField name="Puntaje final entrevista" numFmtId="0">
      <sharedItems containsMixedTypes="1" containsNumber="1" containsInteger="1" minValue="5" maxValue="20"/>
    </cacheField>
    <cacheField name="Puntaje socioeconómico" numFmtId="0">
      <sharedItems containsMixedTypes="1" containsNumber="1" minValue="4.5" maxValue="20"/>
    </cacheField>
    <cacheField name="Puntaje socioeconómico2" numFmtId="0">
      <sharedItems containsMixedTypes="1" containsNumber="1" minValue="4.5" maxValue="20"/>
    </cacheField>
    <cacheField name="Puntaje total" numFmtId="0">
      <sharedItems containsMixedTypes="1" containsNumber="1" minValue="46.5" maxValue="100"/>
    </cacheField>
    <cacheField name="% beca sugerido por simulación económica" numFmtId="0">
      <sharedItems containsMixedTypes="1" containsNumber="1" minValue="0.4" maxValue="0.7"/>
    </cacheField>
    <cacheField name="Comité 16 junio" numFmtId="0">
      <sharedItems containsString="0" containsBlank="1" containsNumber="1" minValue="0.4" maxValue="0.4"/>
    </cacheField>
    <cacheField name="P. Tipo IE" numFmtId="0">
      <sharedItems containsMixedTypes="1" containsNumber="1" minValue="0" maxValue="3.5"/>
    </cacheField>
    <cacheField name="P. Vivienda" numFmtId="0">
      <sharedItems containsMixedTypes="1" containsNumber="1" minValue="2.5" maxValue="4.5"/>
    </cacheField>
    <cacheField name="P. Ingresos" numFmtId="0">
      <sharedItems containsMixedTypes="1" containsNumber="1" containsInteger="1" minValue="0" maxValue="8"/>
    </cacheField>
    <cacheField name="P. Propiedades" numFmtId="0">
      <sharedItems containsMixedTypes="1" containsNumber="1" containsInteger="1" minValue="0" maxValue="4"/>
    </cacheField>
    <cacheField name="P. Tipo IE2" numFmtId="0">
      <sharedItems containsMixedTypes="1" containsNumber="1" minValue="0" maxValue="3.5"/>
    </cacheField>
    <cacheField name="P. Vivienda2" numFmtId="0">
      <sharedItems containsMixedTypes="1" containsNumber="1" minValue="2.5" maxValue="4"/>
    </cacheField>
    <cacheField name="P. Ingresos2" numFmtId="0">
      <sharedItems containsMixedTypes="1" containsNumber="1" containsInteger="1" minValue="0" maxValue="8"/>
    </cacheField>
    <cacheField name="P. Propiedades2" numFmtId="0">
      <sharedItems containsMixedTypes="1" containsNumber="1" minValue="0" maxValue="4.5"/>
    </cacheField>
    <cacheField name="Puntaje total2" numFmtId="0">
      <sharedItems containsMixedTypes="1" containsNumber="1" minValue="46.5" maxValue="100"/>
    </cacheField>
    <cacheField name="% beca sugerido por simulación económica2" numFmtId="0">
      <sharedItems containsMixedTypes="1" containsNumber="1" minValue="0.4" maxValue="0.7"/>
    </cacheField>
    <cacheField name="Propuesta asignacion Comité Final" numFmtId="0">
      <sharedItems containsMixedTypes="1" containsNumber="1" minValue="0.4" maxValue="1"/>
    </cacheField>
    <cacheField name="benef nutresa" numFmtId="0">
      <sharedItems/>
    </cacheField>
    <cacheField name="come tarios" numFmtId="0">
      <sharedItems containsBlank="1"/>
    </cacheField>
    <cacheField name="ALVARO URIBE" numFmtId="0">
      <sharedItems containsBlank="1"/>
    </cacheField>
    <cacheField name="descarg doc" numFmtId="0">
      <sharedItems containsMixedTypes="1" containsNumber="1" containsInteger="1" minValue="0" maxValue="0"/>
    </cacheField>
    <cacheField name="Revisión de documentos" numFmtId="0">
      <sharedItems containsBlank="1"/>
    </cacheField>
    <cacheField name="Observaciones docs" numFmtId="0">
      <sharedItems containsBlank="1" containsMixedTypes="1" containsNumber="1" containsInteger="1" minValue="0" maxValue="0"/>
    </cacheField>
    <cacheField name="PREG SIN COD" numFmtId="0">
      <sharedItems/>
    </cacheField>
    <cacheField name="presel nutresa" numFmtId="0">
      <sharedItems/>
    </cacheField>
    <cacheField name="cod prog" numFmtId="0">
      <sharedItems containsBlank="1"/>
    </cacheField>
    <cacheField name="cruce rt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3">
  <r>
    <s v="CE"/>
    <n v="1210961"/>
    <s v="1000406313"/>
    <s v="FRANCIS HENRY LEON ROJAS"/>
    <s v="Transferencia Externa"/>
    <x v="0"/>
    <s v="No cumple, puntaje ICFES menor a 300"/>
    <m/>
    <s v="En publico objetivo"/>
    <s v="3ra Cohorte"/>
    <s v="Admitido"/>
    <s v="fhleonr@eafit.edu.co"/>
    <e v="#N/A"/>
    <s v="francisleon1186@yahoo.com"/>
    <s v="312/716-3647"/>
    <d v="2025-05-30T00:00:00"/>
    <s v="Activo en Programa"/>
    <s v="010-Ingeniería de Sistemas"/>
    <s v="E Ciencias Aplic e Ingeniería"/>
    <d v="1986-12-11T00:00:00"/>
    <n v="38"/>
    <s v="Lima"/>
    <s v="Lima"/>
    <s v="Hombre"/>
    <s v="Casado"/>
    <s v="NO"/>
    <s v="NO"/>
    <n v="0"/>
    <s v="NO"/>
    <s v="NA"/>
    <s v="NO"/>
    <s v="NA"/>
    <s v="NO"/>
    <s v="NA"/>
    <s v="Si"/>
    <s v="000/000-0000"/>
    <s v="312/716-3647"/>
    <s v="Estrato 3"/>
    <s v="CR 56 C #83 DD SUR 201"/>
    <s v="Antioquia"/>
    <s v="La Estrella"/>
    <s v="Si"/>
    <s v="Arriendo"/>
    <s v="SI"/>
    <s v="2024"/>
    <s v="AC202430607325"/>
    <n v="297"/>
    <n v="72"/>
    <n v="57"/>
    <s v="Sin informacion"/>
    <s v="BERTOLT BRECHT"/>
    <n v="2003"/>
    <m/>
    <s v="Lima"/>
    <s v="Bachillerato"/>
    <s v="Académico"/>
    <m/>
    <n v="0"/>
    <n v="0"/>
    <s v="PCA TEX"/>
    <m/>
    <m/>
    <m/>
    <m/>
    <m/>
    <m/>
    <m/>
    <m/>
    <m/>
    <m/>
    <m/>
    <m/>
    <m/>
    <m/>
    <m/>
    <m/>
    <m/>
    <m/>
    <m/>
    <m/>
    <m/>
    <s v="Ver PCA TEX"/>
    <n v="3.1"/>
    <s v="SI"/>
    <s v="TIPO: Pública, INSTITUCION: UNIVERSIDAD EXTRANJERA, AÑO: 0, CIUDAD: Extranjero, TITULO: INGENIERO CIVIL"/>
    <s v="PREGRADO"/>
    <s v=" TITULO: INGENIERO CIVIL"/>
    <s v="Si"/>
    <n v="50"/>
    <m/>
    <n v="40"/>
    <m/>
    <n v="45"/>
    <m/>
    <m/>
    <n v="45"/>
    <s v="Con detalle por componente"/>
    <s v="Espacios de liderazgo o representación social,Otras (por ejemplo, un talento extraordinario),Trabajo social o comunitario"/>
    <s v="Como estudiante extranjero, deseo estudiar Ingeniería en Sistemas porque quiero desarrollar soluciones tecnológicas que impacten positivamente tanto en mi país como en el que me acoge. Esta carrera me dará las herramientas para innovar y resolver problemas reales. La beca es fundamental para poder acceder a esta formación, ya que me permite estudiar sin que las barreras económicas limiten mi crecimiento académico y profesional. Gracias a esta oportunidad, podré prepararme para contribuir activamente al desarrollo tecnológico y social."/>
    <s v="Amigos"/>
    <s v="Por la calidad académica."/>
    <s v="Nivel académico de docentes."/>
    <n v="0"/>
    <s v="3"/>
    <s v="SI"/>
    <s v="NO"/>
    <s v="Entre 7 y 8 millones"/>
    <s v="No"/>
    <s v="SI"/>
    <n v="0"/>
    <m/>
    <n v="0"/>
    <m/>
    <s v="NO"/>
    <s v=""/>
    <s v=""/>
    <s v="Si"/>
    <s v="henry fernando leon villavicencio"/>
    <s v="Casado"/>
    <s v="UNIVERSITARIOS"/>
    <s v="68"/>
    <s v="policia retirado"/>
    <s v="Pensionado"/>
    <s v="Pensionado"/>
    <s v="pensionado"/>
    <n v="4000000"/>
    <s v="No"/>
    <s v="NO"/>
    <s v="NO"/>
    <s v="excelente padre y amigo."/>
    <s v="Si"/>
    <s v="elena rojas caro"/>
    <s v="Casado"/>
    <s v="UNIVERSITARIOS"/>
    <s v="62"/>
    <s v="administracion de empresas"/>
    <s v="Independiente (trabaja por cuenta propia)"/>
    <s v="Independiente"/>
    <s v="Independiente"/>
    <n v="2000000"/>
    <s v="No"/>
    <s v="NO"/>
    <s v="NO"/>
    <s v="excelente madre y amiga."/>
    <n v="6000000"/>
    <s v="No, vivo solo"/>
    <s v=""/>
    <s v=""/>
    <s v=""/>
    <s v=""/>
    <s v=""/>
    <m/>
    <s v=""/>
    <s v=""/>
    <s v=""/>
    <s v=""/>
    <s v=""/>
    <s v=""/>
    <m/>
    <s v=""/>
    <s v=""/>
    <s v=""/>
    <s v=""/>
    <s v=""/>
    <s v=""/>
    <m/>
    <s v=""/>
    <s v=""/>
    <n v="0"/>
    <n v="0"/>
    <n v="0"/>
    <n v="0"/>
    <n v="0"/>
    <s v="No"/>
    <s v=""/>
    <s v=""/>
    <n v="0"/>
    <s v="No"/>
    <s v=""/>
    <s v=""/>
    <n v="0"/>
    <s v="No"/>
    <s v=""/>
    <s v=""/>
    <s v=""/>
    <n v="0"/>
    <s v="no viven en colombia."/>
    <n v="3"/>
    <n v="4"/>
    <n v="3"/>
    <n v="4"/>
    <n v="3"/>
    <n v="3"/>
    <n v="3"/>
    <n v="4"/>
    <n v="4"/>
    <n v="3"/>
    <n v="34"/>
    <s v="SI"/>
    <s v="SI, TIPO IE"/>
    <s v="TEX SIN TIPO DE IE"/>
    <s v="pendiente tipo ie"/>
    <e v="#N/A"/>
    <e v="#N/A"/>
    <m/>
    <n v="3"/>
    <s v="NA"/>
    <s v="NA"/>
    <s v="NA"/>
    <s v="NA"/>
    <s v="NA"/>
    <s v="NA"/>
    <e v="#VALUE!"/>
    <e v="#VALUE!"/>
    <e v="#VALUE!"/>
    <s v="NCR"/>
    <m/>
    <s v="NA"/>
    <s v="NA"/>
    <s v="NA"/>
    <s v="NA"/>
    <s v="NA"/>
    <s v="NA"/>
    <s v="NA"/>
    <s v="NA"/>
    <e v="#VALUE!"/>
    <s v="NCR"/>
    <s v="Negado"/>
    <e v="#N/A"/>
    <m/>
    <m/>
    <s v="SI, TIPO IE"/>
    <m/>
    <m/>
    <s v="Ingeniería de Sistemas"/>
    <e v="#N/A"/>
    <m/>
    <s v="NCR"/>
  </r>
  <r>
    <s v="PT"/>
    <n v="1896283"/>
    <s v="1000409053"/>
    <s v="OSWAR DANIEL RAMOS HERNANDEZ"/>
    <s v="Estudios por primera vez"/>
    <x v="1"/>
    <s v="No cumple, puntaje ICFES menor a 300"/>
    <s v="Con hijos y edad alta"/>
    <s v="En publico objetivo"/>
    <s v="3ra Cohorte"/>
    <s v="Admitido"/>
    <s v="odramosh@eafit.edu.co"/>
    <e v="#N/A"/>
    <s v="oswardaniel2@gmail.com"/>
    <s v="302/238-7039"/>
    <d v="2025-06-06T00:00:00"/>
    <s v="Activo en Programa"/>
    <s v="011-Contaduría Pública"/>
    <s v="Escuela de Administración"/>
    <d v="1999-12-31T00:00:00"/>
    <n v="25"/>
    <s v="Zulia"/>
    <s v="Maracaibo"/>
    <s v="Hombre"/>
    <s v="Soltero"/>
    <s v="NO"/>
    <s v="NO"/>
    <n v="0"/>
    <s v="NO"/>
    <s v="NA"/>
    <s v="NO"/>
    <s v="NA"/>
    <s v="NO"/>
    <s v="NA"/>
    <s v="Si"/>
    <s v="446169"/>
    <s v="302/238-7039"/>
    <s v="Estrato 2"/>
    <s v="DG 17 C 56 A 01"/>
    <s v="Antioquia"/>
    <s v="Medellín"/>
    <s v="Si"/>
    <s v="Arriendo"/>
    <s v="SI"/>
    <s v="2023"/>
    <s v="VG202345096433"/>
    <n v="287"/>
    <n v="56"/>
    <n v="57"/>
    <s v="Sin informacion"/>
    <s v="ICFES"/>
    <n v="2023"/>
    <m/>
    <s v="Bogotá D.C."/>
    <s v="Bachillerato"/>
    <s v="Académico"/>
    <s v=""/>
    <s v="11"/>
    <s v="Escala de 0 - 5"/>
    <s v="Escala de 0 - 5"/>
    <s v="4"/>
    <s v="3,4"/>
    <m/>
    <s v="4"/>
    <s v="4"/>
    <m/>
    <n v="4"/>
    <n v="3.4"/>
    <m/>
    <n v="3.4"/>
    <n v="4"/>
    <m/>
    <s v="4"/>
    <s v="4"/>
    <m/>
    <s v="3,4"/>
    <s v="3,4"/>
    <m/>
    <s v="4,5"/>
    <s v="4"/>
    <m/>
    <s v="De 9 y 10"/>
    <n v="3.7"/>
    <s v="NO"/>
    <s v="NA"/>
    <n v="0"/>
    <n v="0"/>
    <s v="No"/>
    <n v="45"/>
    <m/>
    <n v="45"/>
    <m/>
    <n v="50"/>
    <m/>
    <s v="Tiene 25 años, trabaja como analista, quiere hacer la carrera profesional de contador público. Se graduó en el exterior, se graduó en Venezuela, lleva en 2017 en Colombia. Vive con la pareja que es de Antioquia"/>
    <n v="46.666666666666664"/>
    <s v="Con detalle por componente"/>
    <s v="Ninguna"/>
    <s v="Me visualizo siendo un egresado de EAFIT en contaduría publica, ejercer mi profesión y generarle empleo y oportunidades a otras personas, motivarlas, ayudarlas a crecer profesional y personalmente así como otros han creído y me han ayudado a mi."/>
    <s v="Amigos"/>
    <s v="Por la calidad académica."/>
    <s v="Vocación."/>
    <n v="1"/>
    <s v="0"/>
    <s v="SI"/>
    <s v="NO"/>
    <s v="Entre 1 y 2 millones"/>
    <s v="No"/>
    <s v="Y"/>
    <s v="N"/>
    <m/>
    <s v="Y"/>
    <m/>
    <s v="SI"/>
    <s v="EQUISOL EQUIPOS Y SOLUCIONES SAS"/>
    <s v="AUXILIAR CONTABLE"/>
    <s v="Sin información"/>
    <n v="0"/>
    <m/>
    <m/>
    <m/>
    <s v=""/>
    <s v=""/>
    <m/>
    <s v=""/>
    <m/>
    <s v=""/>
    <m/>
    <m/>
    <s v="Desde hace muchos años no he tenido comunicación con mi padre"/>
    <s v="Si"/>
    <s v="Maria Chiquinquira Hernandez Casanova"/>
    <s v="Soltero"/>
    <s v="BACHILLERATO"/>
    <s v="43"/>
    <s v="Independiente"/>
    <s v="Trabajador informal"/>
    <s v="Mensajeria"/>
    <s v="Independiente"/>
    <n v="2000000"/>
    <s v="Si"/>
    <s v="NO"/>
    <s v="NO"/>
    <s v="Pilar fundamental en mi vida, soporte y motivación constante"/>
    <n v="2000000"/>
    <s v="No, solo vivo con mis padres"/>
    <s v=""/>
    <s v=""/>
    <s v=""/>
    <s v=""/>
    <s v=""/>
    <m/>
    <s v=""/>
    <s v=""/>
    <s v=""/>
    <s v=""/>
    <s v=""/>
    <s v=""/>
    <m/>
    <s v=""/>
    <s v=""/>
    <s v=""/>
    <s v=""/>
    <s v=""/>
    <s v=""/>
    <m/>
    <s v=""/>
    <s v=""/>
    <n v="0"/>
    <n v="0"/>
    <n v="0"/>
    <n v="0"/>
    <n v="0"/>
    <s v="No"/>
    <s v=""/>
    <s v=""/>
    <n v="0"/>
    <s v="No"/>
    <s v=""/>
    <s v=""/>
    <n v="0"/>
    <s v="Si"/>
    <s v="Motocicleta"/>
    <s v="Bajaj"/>
    <s v="2022"/>
    <n v="5000000"/>
    <m/>
    <n v="4"/>
    <n v="4"/>
    <n v="3"/>
    <n v="4"/>
    <n v="4"/>
    <n v="4"/>
    <n v="3"/>
    <n v="4"/>
    <n v="3"/>
    <n v="4"/>
    <n v="37"/>
    <s v="SI"/>
    <s v="SI, TIPO IE"/>
    <s v="PRI SIN TIPO IE"/>
    <s v="pendiente tipo ie"/>
    <e v="#N/A"/>
    <e v="#N/A"/>
    <m/>
    <n v="1"/>
    <n v="10"/>
    <n v="10"/>
    <n v="0"/>
    <n v="10"/>
    <n v="15"/>
    <n v="20"/>
    <n v="16.5"/>
    <n v="16.5"/>
    <n v="71.5"/>
    <n v="0.5"/>
    <m/>
    <n v="0"/>
    <n v="4.5"/>
    <n v="8"/>
    <n v="4"/>
    <n v="0"/>
    <n v="4"/>
    <n v="8"/>
    <n v="4.5"/>
    <n v="71.5"/>
    <n v="0.5"/>
    <n v="0.5"/>
    <e v="#N/A"/>
    <m/>
    <m/>
    <s v="SI, TIPO IE"/>
    <m/>
    <m/>
    <s v="Contaduría Pública"/>
    <e v="#N/A"/>
    <s v="011"/>
    <e v="#N/A"/>
  </r>
  <r>
    <s v="PT"/>
    <n v="7797253"/>
    <s v="1000402751"/>
    <s v="ARTURO MIGUEL JOSE CAMPO RODRIGUEZ"/>
    <s v="Estudios por primera vez"/>
    <x v="1"/>
    <s v="Cumple Nutresa"/>
    <s v="Madre profesional"/>
    <s v="En publico objetivo"/>
    <s v="3ra Cohorte"/>
    <s v="Admitido"/>
    <s v="amcampor@eafit.edu.co"/>
    <s v="amcampor@eafit.edu.co"/>
    <s v="campoarturo21@gmail.com"/>
    <s v="573007229950"/>
    <d v="2025-06-06T00:00:00"/>
    <s v="Activo en Programa"/>
    <s v="112-Comunicación Social"/>
    <s v="Escuela de Artes y Humanidades"/>
    <d v="2007-06-21T00:00:00"/>
    <n v="18"/>
    <s v="Bolívar"/>
    <s v="Ciudad Guayana"/>
    <s v="Hombre"/>
    <s v="Soltero"/>
    <s v="NO"/>
    <s v="NO"/>
    <n v="0"/>
    <s v="NO"/>
    <s v="NA"/>
    <s v="NO"/>
    <s v="NA"/>
    <s v="NO"/>
    <s v="NA"/>
    <s v="No"/>
    <s v="57 317 8241089"/>
    <s v="573007229950"/>
    <s v="Estrato 2"/>
    <s v="CL 17 CR 13 24"/>
    <s v="Antioquia"/>
    <s v="Barbosa"/>
    <s v="No aplica, no soy foráneo"/>
    <s v="Arriendo"/>
    <s v="SI"/>
    <s v="2024"/>
    <s v="AC202430944678"/>
    <n v="355"/>
    <n v="71"/>
    <n v="77"/>
    <s v="Pública"/>
    <s v="IE PBRO.LUIS EDUARDO PEREZ MOL"/>
    <n v="2024"/>
    <s v="Antioquia"/>
    <s v="Barbosa"/>
    <s v="BACHILLER"/>
    <s v="ACAD"/>
    <s v="TIPO: Pública, INSTITUCION: IE PBRO.LUIS EDUARDO PEREZ MOL, AÑO: 2024, CIUDAD: Barbosa, TITULO: BACHILLER"/>
    <s v="11"/>
    <s v="Escala de 0 - 10"/>
    <s v="Escala de 0 - 5"/>
    <s v="8"/>
    <s v="4,5"/>
    <m/>
    <s v="9"/>
    <s v="4,5"/>
    <m/>
    <n v="4"/>
    <n v="4.5"/>
    <m/>
    <n v="4"/>
    <n v="4.5"/>
    <m/>
    <s v="8"/>
    <s v="4,5"/>
    <m/>
    <s v="4,5"/>
    <s v="5"/>
    <m/>
    <s v="4,5"/>
    <s v="5"/>
    <m/>
    <s v="De 9 y 10"/>
    <n v="4.25"/>
    <s v="NO"/>
    <s v="NA"/>
    <n v="0"/>
    <n v="0"/>
    <s v="No"/>
    <n v="50"/>
    <m/>
    <n v="50"/>
    <m/>
    <n v="50"/>
    <m/>
    <m/>
    <n v="50"/>
    <s v="Con detalle por componente"/>
    <s v="Artísticas o culturales,Deportistas de alto rendimiento o representativo,Trabajo social o comunitario"/>
    <s v="Me visualizo siendo un periodista y analista deportivo, enfocado en el análisis de partidos y apoyando las ligas y el desarrollo del deporte departamental y municipal, dando visibilidad a estas competiciones, apoyando y motivando el talento joven, dándolo a conocer y creando oportunidades para que estos puedan llegar a profesionalizarse."/>
    <s v="Amigos"/>
    <s v="Universidad reconocida."/>
    <s v="Vocación."/>
    <n v="1"/>
    <s v="2"/>
    <s v="NO"/>
    <s v="NO"/>
    <s v="Entre 2 y 3 millones"/>
    <s v="No"/>
    <n v="0"/>
    <n v="0"/>
    <m/>
    <s v="Y"/>
    <m/>
    <s v="NO"/>
    <s v="NA"/>
    <s v="NA"/>
    <s v="Sin información"/>
    <n v="0"/>
    <m/>
    <m/>
    <m/>
    <s v=""/>
    <s v=""/>
    <m/>
    <s v=""/>
    <m/>
    <s v=""/>
    <m/>
    <m/>
    <s v="No vive con nosotros desde hace aproximadamente 8 años, está actualmente viviendo en Venezuela y por la situación no puede aportar económicamente. El contacto con él suele ser escaso."/>
    <s v="Si"/>
    <s v="Yvys Matilde Rodríguez Moreno"/>
    <s v="Soltero"/>
    <s v="UNIVERSITARIOS"/>
    <s v="58"/>
    <s v="Licenciada en administración"/>
    <s v="Independiente (trabaja por cuenta propia)"/>
    <s v="Auxiliar administrativo"/>
    <s v="Colven"/>
    <n v="2500000"/>
    <s v="Si"/>
    <s v="SI"/>
    <s v="NO"/>
    <s v="Trabaja desde casa un total de 9 horas al día, 6 días a la semana. El total de sus ingresos va destinado a cubrir las necesidades básicas del hogar."/>
    <n v="2500000"/>
    <s v="No, solo vivo con mis padres"/>
    <s v=""/>
    <s v=""/>
    <s v=""/>
    <s v=""/>
    <s v=""/>
    <m/>
    <s v=""/>
    <s v=""/>
    <s v=""/>
    <s v=""/>
    <s v=""/>
    <s v=""/>
    <m/>
    <s v=""/>
    <s v=""/>
    <s v=""/>
    <s v=""/>
    <s v=""/>
    <s v=""/>
    <m/>
    <s v=""/>
    <s v=""/>
    <n v="0"/>
    <n v="0"/>
    <n v="0"/>
    <n v="0"/>
    <n v="0"/>
    <s v="No"/>
    <s v=""/>
    <s v=""/>
    <n v="0"/>
    <s v="No"/>
    <s v=""/>
    <s v=""/>
    <n v="0"/>
    <s v="No"/>
    <s v=""/>
    <s v=""/>
    <s v=""/>
    <n v="0"/>
    <m/>
    <n v="4"/>
    <n v="4"/>
    <n v="3"/>
    <n v="4"/>
    <n v="4"/>
    <n v="4"/>
    <n v="4"/>
    <n v="3"/>
    <n v="4"/>
    <n v="4"/>
    <n v="38"/>
    <s v="SI"/>
    <m/>
    <s v="SI, SON PRI"/>
    <s v="ok tienen todos los datos"/>
    <e v="#N/A"/>
    <e v="#N/A"/>
    <m/>
    <n v="2"/>
    <n v="10"/>
    <n v="10"/>
    <n v="10"/>
    <n v="15"/>
    <n v="15"/>
    <n v="20"/>
    <n v="20"/>
    <n v="20"/>
    <n v="90"/>
    <s v="80 - 100%"/>
    <m/>
    <n v="3.5"/>
    <n v="4.5"/>
    <n v="8"/>
    <n v="4"/>
    <n v="3.5"/>
    <n v="4"/>
    <n v="8"/>
    <n v="4.5"/>
    <n v="90"/>
    <s v="80 - 100%"/>
    <n v="1"/>
    <e v="#N/A"/>
    <m/>
    <s v="X"/>
    <n v="0"/>
    <s v="EN ORDEN"/>
    <n v="0"/>
    <s v="Comunicación Social"/>
    <s v="Pres. para revision docs nutresa"/>
    <s v="112"/>
    <e v="#N/A"/>
  </r>
  <r>
    <s v="CC"/>
    <n v="1000398681"/>
    <s v="1000408005"/>
    <s v="NATALIA ANDREA CUERVO RENDÓN"/>
    <s v="Estudios por primera vez"/>
    <x v="2"/>
    <s v="No cumple, puntaje ICFES menor a 300"/>
    <m/>
    <s v="En publico objetivo"/>
    <s v="2da Cohorte"/>
    <s v="Admitido"/>
    <s v="nacuervor@eafit.edu.co"/>
    <e v="#N/A"/>
    <s v="cuervonatalia25@gmail.com"/>
    <s v="573218236996"/>
    <d v="2025-05-16T00:00:00"/>
    <s v="Activo en Programa"/>
    <s v="010-Ingeniería de Sistemas"/>
    <s v="E Ciencias Aplic e Ingeniería"/>
    <d v="2001-05-06T00:00:00"/>
    <n v="24"/>
    <s v="Antioquia"/>
    <s v="Medellín"/>
    <s v="Mujer"/>
    <s v="Soltero"/>
    <s v="SI"/>
    <s v="NO"/>
    <n v="0"/>
    <s v="NO"/>
    <s v="NA"/>
    <s v="NO"/>
    <s v="NA"/>
    <s v="NO"/>
    <s v="NA"/>
    <s v="No"/>
    <s v="573218236996"/>
    <s v="573218236996"/>
    <s v="Estrato 1"/>
    <s v="CR 28 #92 D- 118"/>
    <s v="Antioquia"/>
    <s v="Medellín"/>
    <s v="No aplica, no soy foráneo"/>
    <s v="Familiar"/>
    <s v="SI"/>
    <s v="2018"/>
    <s v="AC201820967893"/>
    <n v="250"/>
    <n v="47"/>
    <n v="61"/>
    <s v="Privada"/>
    <s v="COL SAGRADA FAMILIA ALDEA PABL"/>
    <n v="2018"/>
    <m/>
    <s v="Medellín"/>
    <s v="Técnico"/>
    <s v="BACHILLER"/>
    <s v="TIPO: Privada, INSTITUCION: COL SAGRADA FAMILIA ALDEA PABL, AÑO: 2018, CIUDAD: Medellín, TITULO: BACHILLER"/>
    <s v="11"/>
    <s v="Escala de 0 - 5"/>
    <s v="Escala de 0 - 5"/>
    <s v="3,4"/>
    <s v="4"/>
    <m/>
    <s v="4"/>
    <s v="4"/>
    <m/>
    <n v="4.5"/>
    <n v="4.5"/>
    <m/>
    <n v="4.5"/>
    <n v="4.5"/>
    <m/>
    <s v="4,5"/>
    <s v="4,5"/>
    <m/>
    <s v="4"/>
    <s v="4,5"/>
    <m/>
    <s v="4,5"/>
    <s v="4,5"/>
    <m/>
    <s v="De 9 y 10"/>
    <n v="4.5"/>
    <s v="SI"/>
    <s v="TIPO: Pública, INSTITUCION: SERVICIO NACIONAL DE APRENDIZA, AÑO: 2023, CIUDAD: Medellín, TITULO: ASISTENTE ADMINISTRATIVA"/>
    <s v="TECNOLOGIA"/>
    <s v=" TITULO: ASISTENTE ADMINISTRATIVA"/>
    <s v="No"/>
    <n v="40"/>
    <m/>
    <n v="40"/>
    <m/>
    <n v="40"/>
    <m/>
    <m/>
    <n v="40"/>
    <s v="Con detalle por componente"/>
    <s v="Trabajo social o comunitario,Otras (por ejemplo, un talento extraordinario),Artísticas o culturales"/>
    <s v="El barrio donde crecí es de cierta manera muy básico, no hay muchos conocimientos sobre tecnología programación y la innovación que está ha tenido en el pasado, el presente y la que tendrá en el futuro cercano, me visualizo creando aplicaciones, programando y analizando códigos, y desarrollando software, también me visualizo a largo plazo, ejerciendo la profesión que escogí, generando de esta profesión, el dinero suficiente para abrir una pequeña comunidad en mi barrio (y espero poder hacerlo en muchos otros barrios de Medellín) donde se les pueda enseñar a las generaciones en crecimiento sobre el área de la tecnología, el desarrollo de esta, su innovación y los beneficios que trae para los constantes cambios del futuro."/>
    <s v="Redes sociales"/>
    <s v="Por la calidad académica."/>
    <s v="Alta empleabilidad."/>
    <n v="1"/>
    <s v="0"/>
    <s v="SI"/>
    <s v="NO"/>
    <s v="Entre 1 y 2 millones"/>
    <s v="No"/>
    <n v="0"/>
    <n v="0"/>
    <m/>
    <s v="SI"/>
    <s v="Beca"/>
    <s v="NO"/>
    <s v=""/>
    <s v=""/>
    <s v="No, fallecido"/>
    <n v="0"/>
    <m/>
    <m/>
    <m/>
    <s v=""/>
    <s v=""/>
    <m/>
    <s v=""/>
    <m/>
    <s v=""/>
    <m/>
    <m/>
    <s v="Falleció cuando yo tenía dos años, no se mucho sobre él."/>
    <s v="Si"/>
    <s v="Luz Adriana Rendón Rúa"/>
    <s v="Soltero"/>
    <s v="TÉCNICA"/>
    <s v="47"/>
    <s v="Niñera"/>
    <s v="Empleado (con contrato laboral)"/>
    <s v="Niñera"/>
    <s v="Casa de familia - Natalia Andrea Restrepo Cano (Empleador)"/>
    <n v="1300000"/>
    <s v="Si"/>
    <s v="NO"/>
    <s v="NO"/>
    <s v="Mi mamá tiene 46 años aproximadamente (nunca me ha dicho su edad real, si le pregunto me dice que tiene 25), siempre ha sido muy responsable con mi salud y mi desarrollo como persona (una buena persona)."/>
    <n v="1300000"/>
    <s v="No, solo vivo con mis padres"/>
    <s v=""/>
    <s v=""/>
    <s v=""/>
    <s v=""/>
    <s v=""/>
    <m/>
    <s v=""/>
    <s v=""/>
    <s v=""/>
    <s v=""/>
    <s v=""/>
    <s v=""/>
    <m/>
    <s v=""/>
    <s v=""/>
    <s v=""/>
    <s v=""/>
    <s v=""/>
    <s v=""/>
    <m/>
    <s v=""/>
    <s v=""/>
    <n v="36125000"/>
    <n v="0"/>
    <n v="0"/>
    <n v="0"/>
    <n v="0"/>
    <s v="No"/>
    <s v=""/>
    <s v=""/>
    <n v="0"/>
    <s v="No"/>
    <s v=""/>
    <s v=""/>
    <n v="0"/>
    <s v="No"/>
    <s v=""/>
    <s v=""/>
    <s v=""/>
    <n v="0"/>
    <s v="Solo tenemos la casa familiar, que vale 36 millones aproximadamente."/>
    <n v="3"/>
    <n v="4"/>
    <n v="4"/>
    <n v="4"/>
    <n v="3"/>
    <n v="4"/>
    <n v="2"/>
    <n v="4"/>
    <n v="4"/>
    <n v="3"/>
    <n v="35"/>
    <s v="SI"/>
    <m/>
    <s v="SI, SON PRI"/>
    <s v="ok tienen todos los datos"/>
    <e v="#N/A"/>
    <e v="#N/A"/>
    <m/>
    <n v="3"/>
    <n v="6"/>
    <n v="6"/>
    <n v="0"/>
    <n v="20"/>
    <n v="15"/>
    <n v="10"/>
    <n v="16.5"/>
    <n v="16.5"/>
    <n v="67.5"/>
    <n v="0.5"/>
    <m/>
    <n v="2"/>
    <n v="3.5"/>
    <n v="8"/>
    <n v="3"/>
    <n v="2"/>
    <n v="3.5"/>
    <n v="8"/>
    <n v="3"/>
    <n v="67.5"/>
    <n v="0.5"/>
    <s v="Negado"/>
    <e v="#N/A"/>
    <m/>
    <m/>
    <n v="0"/>
    <m/>
    <m/>
    <s v="Ingeniería de Sistemas"/>
    <e v="#N/A"/>
    <m/>
    <e v="#N/A"/>
  </r>
  <r>
    <s v="CC"/>
    <n v="1000400552"/>
    <s v="1000404409"/>
    <s v="DIEGO ALEJANDRO CABALLERO CASTRO"/>
    <s v="Estudios por primera vez"/>
    <x v="1"/>
    <s v="No cumple, puntaje ICFES menor a 300"/>
    <m/>
    <s v="En publico objetivo"/>
    <s v="1er Cohorte"/>
    <s v="Admitido"/>
    <s v="dacaballc1@eafit.edu.co"/>
    <e v="#N/A"/>
    <s v="caballeroabastecedor@gmail.com"/>
    <s v="573242128995"/>
    <d v="2025-04-25T00:00:00"/>
    <s v="Activo en Programa"/>
    <s v="237-Diseño Interactivo"/>
    <s v="Escuela de Artes y Humanidades"/>
    <d v="2001-10-12T00:00:00"/>
    <n v="24"/>
    <s v="Antioquia"/>
    <s v="Medellín"/>
    <s v="Hombre"/>
    <s v="Soltero"/>
    <s v="NO"/>
    <s v="NO"/>
    <n v="0"/>
    <s v="NO"/>
    <s v="NA"/>
    <s v="NO"/>
    <s v="NA"/>
    <s v="NO"/>
    <s v="NA"/>
    <s v="No"/>
    <s v="604/506-1158"/>
    <s v="573242128995"/>
    <s v="Estrato 3"/>
    <s v="CR 31 C 32 B 17 URB BALCONES DE PANORAMA"/>
    <s v="Antioquia"/>
    <s v="Medellín"/>
    <s v="No aplica, no soy foráneo"/>
    <s v="Arriendo"/>
    <s v="SI"/>
    <s v="2018"/>
    <s v="AC201824270823"/>
    <n v="293"/>
    <n v="50"/>
    <n v="62"/>
    <s v="Privada"/>
    <s v="COL DIVINO SALVADOR"/>
    <n v="2018"/>
    <s v="Antioquia"/>
    <s v="Medellín"/>
    <s v="BACHILLER"/>
    <s v="ACAD"/>
    <s v="TIPO: Privada, INSTITUCION: COL DIVINO SALVADOR, AÑO: 2018, CIUDAD: Medellín, TITULO: BACHILLER"/>
    <s v="11"/>
    <s v="Escala de 0 - 5"/>
    <s v="Escala de 0 - 5"/>
    <s v="4"/>
    <s v="4"/>
    <m/>
    <s v="4"/>
    <s v="4"/>
    <m/>
    <n v="4"/>
    <n v="4"/>
    <m/>
    <n v="4"/>
    <n v="4"/>
    <m/>
    <s v="4"/>
    <s v="4"/>
    <m/>
    <s v="4"/>
    <s v="4"/>
    <m/>
    <s v="4"/>
    <s v="4,5"/>
    <m/>
    <s v="De 9 y 10"/>
    <n v="4"/>
    <s v="NO"/>
    <s v="NA"/>
    <n v="0"/>
    <n v="0"/>
    <s v="No"/>
    <n v="35"/>
    <m/>
    <n v="40"/>
    <m/>
    <n v="40"/>
    <m/>
    <s v="Ha pasado por dos programas, uno tecnológico y otro profesional, sin terminar el proceso. Tiene conocimientos en diseño y trabaja actualmente en una empresa como diseñador gráfico, ejerciendo labores de comunicación externa. Se presentará a Becas Talento para financiar sus estudios."/>
    <n v="38.333333333333336"/>
    <s v="Con detalle por componente"/>
    <s v="Ninguna"/>
    <s v="Lo que más busco en base a esta oportunidad que espero tener es diversificar la persona y el profesional_x000a_que soy y quiero llegar a ser. _x000a__x000a_Una oportunidad así no se presenta dos veces y sé lo que puedo marcar a partir de esto. Que las personas_x000a_vean más allá de la vista, es un reto creativo que tengo."/>
    <s v="Redes sociales"/>
    <s v="Universidad reconocida."/>
    <s v="Recomendación."/>
    <n v="2"/>
    <s v="2"/>
    <s v="NO"/>
    <s v="NO"/>
    <s v="Entre 3 y 4 millones"/>
    <s v="No"/>
    <n v="0"/>
    <n v="0"/>
    <m/>
    <s v="SI"/>
    <s v="Beca"/>
    <s v="SI"/>
    <s v="ABASTECEDOR ORTOPÉDICO"/>
    <s v="Diseñador gráfico"/>
    <s v="Sin información"/>
    <n v="0"/>
    <m/>
    <m/>
    <m/>
    <s v=""/>
    <s v=""/>
    <m/>
    <s v=""/>
    <m/>
    <s v=""/>
    <m/>
    <m/>
    <s v="Hace años no convivo con él y por ende no tengo mucha información de momento sobre mi padre. Es una persona que aún trabaja, en pueblos aledaños a Medellín más que todo, y hasta dónde convivimos tuvimos una buena relación."/>
    <s v="No, fallecida"/>
    <s v=""/>
    <m/>
    <m/>
    <m/>
    <s v=""/>
    <s v=""/>
    <m/>
    <s v=""/>
    <m/>
    <s v=""/>
    <m/>
    <m/>
    <s v="Es el motor mío de esta oportunidad, a pesar de qué no me sentía con la fuerza para sobrellevar esto sólo, sin su apoyo, creo que me ha dado la misma fuerza para alcanzar el sueño de que pueda sólo dedicarme a estudiar cómo ella tanto lo ha querido. Era un ser humano que cambió la vida de muchas personas y le debo mi vida entera encarecidamente, una mujer sin igual."/>
    <n v="0"/>
    <s v="Si"/>
    <s v="Laura Roldán castro"/>
    <s v="Hermano / Hermana"/>
    <s v="30"/>
    <s v="Comunicadora social"/>
    <s v="independiente"/>
    <n v="2000000"/>
    <s v="No"/>
    <s v="Julián David Aguirre"/>
    <s v="Hermano / Hermana"/>
    <s v="39"/>
    <s v="Abogado"/>
    <s v="ANA MARIA AGUIRRE MEJIA - ABOGADA UNAULA"/>
    <n v="2300000"/>
    <s v="Si"/>
    <s v="Aldemar Augusto Castro"/>
    <s v="Tío / Tía"/>
    <s v="61"/>
    <s v="Director de contenido de radio"/>
    <s v="Radioactiva"/>
    <n v="2000000"/>
    <s v="No"/>
    <s v="Somos un grupo familiar distintivo porque en base a varios hechos recientes nos hemos vuelto un poco más unidos pero no tenemos problema en darle espacio a cada uno sí así lo necesita. Tenemos un núcleo familiar pequeño pero que siempre ha sido distintivo por lo arraigados que estamos el uno con el otro a pesar de cada dificultad."/>
    <n v="0"/>
    <n v="0"/>
    <n v="0"/>
    <n v="0"/>
    <n v="0"/>
    <s v="No"/>
    <s v=""/>
    <s v=""/>
    <n v="0"/>
    <s v="No"/>
    <s v=""/>
    <s v=""/>
    <n v="0"/>
    <s v="Si"/>
    <s v="Moto"/>
    <s v="Agility 125 - Fly 125"/>
    <s v="2020"/>
    <n v="4500000"/>
    <s v="Estos vehículos son propiedad de mis dos hermanos."/>
    <n v="4"/>
    <n v="3"/>
    <n v="3"/>
    <n v="4"/>
    <n v="4"/>
    <n v="3"/>
    <n v="4"/>
    <n v="3"/>
    <n v="2"/>
    <n v="4"/>
    <n v="34"/>
    <s v="SI"/>
    <m/>
    <s v="SI, SON PRI"/>
    <s v="ok tienen todos los datos"/>
    <e v="#N/A"/>
    <e v="#N/A"/>
    <m/>
    <n v="3"/>
    <n v="10"/>
    <n v="8"/>
    <n v="0"/>
    <n v="15"/>
    <n v="10"/>
    <n v="10"/>
    <n v="18.5"/>
    <n v="18.5"/>
    <n v="63.5"/>
    <n v="0.6"/>
    <m/>
    <n v="2"/>
    <n v="4.5"/>
    <n v="8"/>
    <n v="4"/>
    <n v="2"/>
    <n v="4"/>
    <n v="8"/>
    <n v="4.5"/>
    <n v="61.5"/>
    <n v="0.7"/>
    <n v="0.6"/>
    <e v="#N/A"/>
    <m/>
    <m/>
    <n v="0"/>
    <m/>
    <m/>
    <s v="Diseño Interactivo"/>
    <e v="#N/A"/>
    <s v="237"/>
    <e v="#N/A"/>
  </r>
  <r>
    <s v="CC"/>
    <n v="1000413876"/>
    <s v="1000375445"/>
    <s v="SAMUEL SALAZAR OSPINA"/>
    <s v="Transferencia Externa"/>
    <x v="1"/>
    <s v="Duda, cursando o graduado de tecnica o tecnologia"/>
    <m/>
    <s v="En publico objetivo"/>
    <s v="2da Cohorte"/>
    <s v="Admitido"/>
    <s v="ssalazaro3@eafit.edu.co"/>
    <s v="ssalazaro3@eafit.edu.co"/>
    <s v="samuelsala24@gmail.com"/>
    <s v="573015059629"/>
    <d v="2025-05-16T00:00:00"/>
    <s v="Activo en Programa"/>
    <s v="010-Ingeniería de Sistemas"/>
    <s v="E Ciencias Aplic e Ingeniería"/>
    <d v="2003-06-24T00:00:00"/>
    <n v="22"/>
    <s v="Antioquia"/>
    <s v="Medellín"/>
    <s v="Hombre"/>
    <s v="Soltero"/>
    <s v="NO"/>
    <s v="NO"/>
    <n v="0"/>
    <s v="NO"/>
    <s v="NA"/>
    <s v="NO"/>
    <s v="NA"/>
    <s v="NO"/>
    <s v="NA"/>
    <s v="No"/>
    <s v="504-8390"/>
    <s v="573015059629"/>
    <s v="Estrato 1"/>
    <s v="CL 58 D CR 85 D 51"/>
    <s v="Antioquia"/>
    <s v="Medellín"/>
    <s v="No aplica, no soy foráneo"/>
    <s v="Arriendo"/>
    <s v="SI"/>
    <s v="2020"/>
    <s v="AC202041499102"/>
    <n v="309"/>
    <n v="60"/>
    <n v="58"/>
    <s v="Privada"/>
    <s v="INSTITUTO SAN CARLOS"/>
    <n v="2020"/>
    <s v="Antioquia"/>
    <s v="Medellín"/>
    <s v="BACHILLER"/>
    <n v="0"/>
    <s v="TIPO: Privada, INSTITUCION: INSTITUTO SAN CARLOS, AÑO: 2020, CIUDAD: Medellín, TITULO: BACHILLER"/>
    <n v="0"/>
    <n v="0"/>
    <s v="PCA TEX"/>
    <m/>
    <m/>
    <m/>
    <m/>
    <m/>
    <m/>
    <m/>
    <m/>
    <m/>
    <m/>
    <m/>
    <m/>
    <m/>
    <m/>
    <m/>
    <m/>
    <m/>
    <m/>
    <m/>
    <m/>
    <m/>
    <s v="Ver PCA TEX"/>
    <n v="3.9"/>
    <s v="SI"/>
    <s v="TIPO: Pública, INSTITUCION: INST. TECNOLOGICO METROPOLITAN, AÑO: 0, CIUDAD: Medellín, TITULO: TECNOLOGO (A) EN DESARROLLO DE SOFTWARE (Medellín)"/>
    <s v="TECNOLOGIA"/>
    <s v=" TITULO: TECNOLOGO (A) EN DESARROLLO DE SOFTWARE (Medellín)"/>
    <s v="No"/>
    <n v="50"/>
    <m/>
    <n v="50"/>
    <m/>
    <n v="50"/>
    <m/>
    <s v="El aspirante ya había sido admitido al programa por transferencia externa en el 2023-2 con solicitud de reconocimiento de asignaturas, de hecho fue beneficiario de beca talento con un 50%.  Manifiesta que no fue posible hacer el proceso de homologación de asignaturas por un asunto administrativo por lo que finalmente no se matriculó"/>
    <n v="50"/>
    <s v="Con detalle por componente"/>
    <s v="Espacios de liderazgo o representación social"/>
    <s v="Me visualizo como un ingeniero de sistemas que crea soluciones tecnológicas para transformar mi comunidad. Aspiro a desarrollar plataformas, aplicaciones y herramientas digitales que faciliten el acceso a la educación, promuevan el emprendimiento y mejoren la calidad de vida, especialmente en regiones con menos oportunidades tecnológicas._x000a__x000a_Quiero que mi trabajo impacte directamente a las personas, resolviendo problemas reales con innovación y sentido social. Veo la tecnología como un puente para cerrar brechas, y mi meta es usar el conocimiento para construir un país más equitativo y conectado._x000a__x000a_La Beca Talento representa para mí la oportunidad de formarme en una universidad de excelencia como EAFIT, sin que las barreras económicas limiten mi potencial. Me permitirá prepararme con calidad, rodearme de líderes y fortalecer mi compromiso con el desarrollo regional._x000a__x000a_Gracias a esta beca, podré devolver a mi comunidad lo aprendido, impulsando proyectos que generen cambio y progreso. No solo quiero ser un profesional competente, quiero ser un agente de transformación para mi región."/>
    <s v="EAFIT es una experiencia"/>
    <s v="Por la calidad académica."/>
    <s v="Alta empleabilidad."/>
    <n v="2"/>
    <s v="1"/>
    <s v="SI"/>
    <s v="NO"/>
    <s v="Entre 1 y 2 millones"/>
    <s v="No"/>
    <s v="SI"/>
    <s v="NO"/>
    <m/>
    <s v="SI"/>
    <s v="Beca"/>
    <s v="NO"/>
    <s v=""/>
    <s v=""/>
    <s v="Sin información"/>
    <n v="0"/>
    <m/>
    <m/>
    <m/>
    <s v=""/>
    <s v=""/>
    <m/>
    <s v=""/>
    <m/>
    <s v=""/>
    <m/>
    <m/>
    <s v=""/>
    <s v="Si"/>
    <s v="Paula Andrea Ospina Vallejo"/>
    <s v="Soltero"/>
    <s v="UNIVERSITARIOS"/>
    <s v="47"/>
    <s v="Contadora"/>
    <s v="Independiente (trabaja por cuenta propia)"/>
    <s v="Contadora por prestacion de servicios"/>
    <s v="MONTAJES ELECTRICOS GL S.A.S"/>
    <n v="2000000"/>
    <s v="Si"/>
    <s v="NO"/>
    <s v="SI"/>
    <m/>
    <n v="2000000"/>
    <s v="Si"/>
    <s v="Isabela Salazar Ospina"/>
    <s v="Hermano / Hermana"/>
    <s v="13"/>
    <s v="Estudiante"/>
    <s v="Instituto San Carlos"/>
    <n v="0"/>
    <s v="No"/>
    <s v=""/>
    <s v=""/>
    <s v=""/>
    <s v=""/>
    <s v=""/>
    <m/>
    <s v=""/>
    <s v=""/>
    <s v=""/>
    <s v=""/>
    <s v=""/>
    <s v=""/>
    <m/>
    <s v=""/>
    <s v=""/>
    <n v="0"/>
    <n v="0"/>
    <n v="0"/>
    <n v="0"/>
    <n v="0"/>
    <s v="No"/>
    <s v=""/>
    <s v=""/>
    <n v="0"/>
    <s v="No"/>
    <s v=""/>
    <s v=""/>
    <n v="0"/>
    <s v="No"/>
    <s v=""/>
    <s v=""/>
    <s v=""/>
    <n v="0"/>
    <m/>
    <n v="4"/>
    <n v="4"/>
    <n v="4"/>
    <n v="4"/>
    <n v="3"/>
    <n v="4"/>
    <n v="4"/>
    <n v="4"/>
    <n v="4"/>
    <n v="4"/>
    <n v="39"/>
    <s v="SI"/>
    <s v="SI, ICFES"/>
    <s v="TEX SIN PUNTAJE ICFES"/>
    <s v="ok puntaje icfes de informe estrategia"/>
    <n v="0.5"/>
    <n v="20242"/>
    <m/>
    <n v="3"/>
    <n v="6"/>
    <n v="6"/>
    <n v="5"/>
    <n v="10"/>
    <n v="15"/>
    <n v="20"/>
    <n v="18.5"/>
    <n v="18.5"/>
    <n v="74.5"/>
    <n v="0.6"/>
    <m/>
    <n v="2"/>
    <n v="4.5"/>
    <n v="8"/>
    <n v="4"/>
    <n v="2"/>
    <n v="4"/>
    <n v="8"/>
    <n v="4.5"/>
    <n v="74.5"/>
    <n v="0.7"/>
    <n v="0.7"/>
    <e v="#N/A"/>
    <m/>
    <m/>
    <s v="SI, ICFES"/>
    <m/>
    <m/>
    <s v="Ingeniería de Sistemas"/>
    <e v="#N/A"/>
    <s v="010"/>
    <e v="#N/A"/>
  </r>
  <r>
    <s v="CC"/>
    <n v="1000416152"/>
    <s v="1000407159"/>
    <s v="ESTEFANIA GALEANO ROJAS"/>
    <s v="Transferencia Externa"/>
    <x v="1"/>
    <s v="No cumple, otros estudios de pregrado"/>
    <m/>
    <s v="En publico objetivo"/>
    <s v="2da Cohorte"/>
    <s v="Admitido"/>
    <s v="egaleanor@eafit.edu.co"/>
    <e v="#N/A"/>
    <s v="estefaniagaleanorojas@gmail.com"/>
    <s v="573005914201"/>
    <d v="2025-05-16T00:00:00"/>
    <s v="Activo en Programa"/>
    <s v="015-Geología"/>
    <s v="E Ciencias Aplic e Ingeniería"/>
    <d v="2001-03-11T00:00:00"/>
    <n v="24"/>
    <s v="Antioquia"/>
    <s v="Medellín"/>
    <s v="Mujer"/>
    <s v="Soltero"/>
    <s v="NO"/>
    <s v="NO"/>
    <n v="0"/>
    <s v="NO"/>
    <s v="NA"/>
    <s v="NO"/>
    <s v="NA"/>
    <s v="NO"/>
    <s v="NA"/>
    <s v="No"/>
    <s v="300/591-4201"/>
    <s v="573005914201"/>
    <s v="Estrato 2"/>
    <s v="CR 49 A #75 18"/>
    <s v="Antioquia"/>
    <s v="Bello"/>
    <s v="No aplica, no soy foráneo"/>
    <s v="Propio"/>
    <s v="SI"/>
    <s v="2017"/>
    <s v="AC201720143255"/>
    <n v="351"/>
    <n v="71"/>
    <n v="65"/>
    <s v="Pública"/>
    <s v="INST EDUC CEFA"/>
    <n v="2017"/>
    <s v="Antioquia"/>
    <s v="Medellín"/>
    <s v="BACHILLER"/>
    <s v="ACAD"/>
    <s v="TIPO: Pública, INSTITUCION: INST EDUC CEFA, AÑO: 2017, CIUDAD: Medellín, TITULO: BACHILLER"/>
    <n v="0"/>
    <n v="0"/>
    <s v="PCA TEX"/>
    <m/>
    <m/>
    <m/>
    <m/>
    <m/>
    <m/>
    <m/>
    <m/>
    <m/>
    <m/>
    <m/>
    <m/>
    <m/>
    <m/>
    <m/>
    <m/>
    <m/>
    <m/>
    <m/>
    <m/>
    <m/>
    <s v="Ver PCA TEX"/>
    <n v="4.5"/>
    <s v="SI"/>
    <s v="TIPO: Pública, INSTITUCION: UNIVERSIDAD DE ANTIOQUIA, AÑO: 0, CIUDAD: Medellín, TITULO: SOCIOLOGO (Medellín)"/>
    <s v="PREGRADO"/>
    <s v=" TITULO: SOCIOLOGO (Medellín)"/>
    <s v="No"/>
    <n v="50"/>
    <m/>
    <n v="50"/>
    <m/>
    <n v="50"/>
    <m/>
    <m/>
    <n v="50"/>
    <s v="Con detalle por componente"/>
    <s v="Trabajo social o comunitario"/>
    <s v="El mundo de la academia me resulta fascinante, la posibilidad de trabajar aprendiendo, investigando y compartiendo conocimiento es la manera en que me visualizo disfrutando al máximo la geología, especialmente, desde la investigación en cambio climático, colaborando con científicos que ahora admiro como Paola Arias, Clemencia Gómez, Camilo Prieto y Heidi Sevestre, o al menos siguiendo sus pasos y sobre el hombro de ellos, abrir más caminos. Me motiva la idea de trabajar con universidades, organizaciones, el sector público, privado y comunidades alrededor del conocimiento y la gestión del cambio climático y del riesgo, de la sostenibilidad y de la construcción de una relación más consciente con la Tierra, especialmente en países del sur global, que son en mayor medida vulnerables a los impactos del cambio climático. Sin necesidad de irse muy lejos, este año, Antioquia y Medellín han enfrentado centenares de emergencias y han atendido miles de damnificados por desastres que cada vez serán más frecuentes y más intensos por el cambio climático. La situación evidencia la necesidad urgente de profesionales en Ciencias de la Tierra que participen en la planificación territorial, la prevención de desastres y la adaptación al cambio climático. _x000a_Obtener esta beca significaría tener la oportunidad de formarme con calidad y profundidad, acceder a experiencias que fortalezcan mis capacidades, y enfocar mi carrera en el conocimiento y acción alrededor del cambio climático. Es también un paso fundamental para construir un camino profesional que contribuya no solo a responder a las crisis actuales, sino a anticiparse a los retos que enfrentaremos como humanidad."/>
    <s v="A través del Colegio"/>
    <s v="Por la oferta académica."/>
    <s v="Vocación."/>
    <n v="3"/>
    <s v="1"/>
    <s v="NO"/>
    <s v="NO"/>
    <s v="Entre 4 y 5 millones"/>
    <s v="No"/>
    <n v="0"/>
    <n v="0"/>
    <m/>
    <s v="SI"/>
    <s v="Beca"/>
    <s v="SI"/>
    <s v="UNIVERSIDAD DE ANTIOQUIA"/>
    <s v="ASISTENTE ADMINISTRATIVA"/>
    <s v="Si"/>
    <s v="Rover de Jesús Galeano Ruiz"/>
    <m/>
    <s v="BACHILLERATO"/>
    <m/>
    <s v="Independiente/Bachiller"/>
    <s v="Independiente (trabaja por cuenta propia)"/>
    <s v="Conductor en aplicaciones"/>
    <s v="Didi"/>
    <n v="1300000"/>
    <s v="Si"/>
    <s v="NO"/>
    <s v="NO"/>
    <s v="El valor del ingreso mensual es variable cada mes, la cifra dada en el ítem anterior es un promedio."/>
    <s v="Si"/>
    <s v="Claudia Marcela Rojas Quintero"/>
    <m/>
    <s v="TECNOLOGÍA"/>
    <m/>
    <s v="Empleada/Tecnóloga en administración"/>
    <s v="Empleado (con contrato laboral)"/>
    <s v="Asistente administrativa"/>
    <s v="Holcim"/>
    <n v="1895112"/>
    <s v="Si"/>
    <s v="NO"/>
    <s v="NO"/>
    <m/>
    <n v="3195112"/>
    <s v="Si"/>
    <s v="Natanaela Galeano Rojas"/>
    <s v="Hermano / Hermana"/>
    <s v="25"/>
    <s v="Empleada/Contaduría Pública"/>
    <s v="NORTH AMERICA SHARED SERVICES S.A.S"/>
    <n v="319180200"/>
    <s v="Si"/>
    <s v=""/>
    <s v=""/>
    <s v=""/>
    <s v=""/>
    <s v=""/>
    <m/>
    <s v=""/>
    <s v=""/>
    <s v=""/>
    <s v=""/>
    <s v=""/>
    <s v=""/>
    <m/>
    <s v=""/>
    <s v=""/>
    <n v="184000000"/>
    <n v="0"/>
    <n v="0"/>
    <n v="0"/>
    <n v="0"/>
    <s v="No"/>
    <s v=""/>
    <s v=""/>
    <n v="0"/>
    <s v="No"/>
    <s v=""/>
    <s v=""/>
    <n v="0"/>
    <s v="Si"/>
    <s v="Moto"/>
    <s v="Auteco"/>
    <s v="2014"/>
    <n v="4000000"/>
    <m/>
    <n v="4"/>
    <n v="4"/>
    <n v="4"/>
    <n v="4"/>
    <n v="4"/>
    <n v="3"/>
    <n v="4"/>
    <n v="3"/>
    <n v="3"/>
    <n v="4"/>
    <n v="37"/>
    <s v="SI"/>
    <m/>
    <s v="SI, SON TEX, EN LUGAR DE NOTAS TIENEN PCA"/>
    <s v="ok tienen todos los datos"/>
    <e v="#N/A"/>
    <e v="#N/A"/>
    <m/>
    <n v="1"/>
    <n v="10"/>
    <n v="10"/>
    <n v="10"/>
    <n v="20"/>
    <n v="15"/>
    <n v="20"/>
    <n v="16"/>
    <n v="16"/>
    <n v="91"/>
    <n v="0.5"/>
    <m/>
    <n v="3.5"/>
    <n v="2.5"/>
    <n v="8"/>
    <n v="2"/>
    <n v="3.5"/>
    <n v="2.5"/>
    <n v="8"/>
    <n v="2"/>
    <n v="91"/>
    <n v="0.5"/>
    <n v="0.5"/>
    <e v="#N/A"/>
    <m/>
    <m/>
    <n v="0"/>
    <m/>
    <m/>
    <s v="Geología"/>
    <e v="#N/A"/>
    <s v="015"/>
    <e v="#N/A"/>
  </r>
  <r>
    <s v="CC"/>
    <n v="1000438807"/>
    <s v="1000405256"/>
    <s v="MARIA FERNANDA CARO MARTINEZ"/>
    <s v="Transferencia Externa"/>
    <x v="1"/>
    <s v="No cumple, estrato 4"/>
    <m/>
    <s v="En publico objetivo"/>
    <s v="2da Cohorte"/>
    <s v="Admitido"/>
    <s v="mfcarom@eafit.edu.co"/>
    <e v="#N/A"/>
    <s v="mafercaro2503@gmail.com"/>
    <s v="301/505-8225"/>
    <d v="2025-05-16T00:00:00"/>
    <s v="Activo en Programa"/>
    <s v="169-Mercadeo"/>
    <s v="Escuela de Administración"/>
    <d v="2003-03-25T00:00:00"/>
    <n v="22"/>
    <s v="Antioquia"/>
    <s v="Medellín"/>
    <s v="Mujer"/>
    <s v="Soltero"/>
    <s v="NO"/>
    <s v="NO"/>
    <n v="0"/>
    <s v="NO"/>
    <s v="NA"/>
    <s v="NO"/>
    <s v="NA"/>
    <s v="NO"/>
    <s v="NA"/>
    <s v="No"/>
    <s v="301/505-8225"/>
    <s v="301/505-8225"/>
    <s v="Estrato 4"/>
    <s v="Cra 59, # 27b 387"/>
    <s v="Antioquia"/>
    <s v="Bello"/>
    <s v="No aplica, no soy foráneo"/>
    <s v="Familiar"/>
    <s v="SI"/>
    <s v="2020"/>
    <s v="AC202041497775"/>
    <n v="342"/>
    <n v="68"/>
    <n v="65"/>
    <s v="Privada"/>
    <s v="Colegio Parroquial San buenaventura"/>
    <n v="2020"/>
    <m/>
    <s v="Bello"/>
    <s v="Bachillerato"/>
    <s v="Académico"/>
    <m/>
    <n v="0"/>
    <n v="0"/>
    <s v="PCA TEX"/>
    <m/>
    <m/>
    <m/>
    <m/>
    <m/>
    <m/>
    <m/>
    <m/>
    <m/>
    <m/>
    <m/>
    <m/>
    <m/>
    <m/>
    <m/>
    <m/>
    <m/>
    <m/>
    <m/>
    <m/>
    <m/>
    <s v="Ver PCA TEX"/>
    <n v="4.0999999999999996"/>
    <s v="SI"/>
    <s v="Mercadeo-Universidad de  Medellin- Cursando "/>
    <s v="PREGRADO"/>
    <s v="MERCADEO"/>
    <s v="No"/>
    <n v="40"/>
    <m/>
    <n v="50"/>
    <m/>
    <n v="50"/>
    <m/>
    <m/>
    <n v="46.666666666666664"/>
    <s v="Con detalle por componente"/>
    <s v="Ninguna"/>
    <s v="Me visualizo como una profesional del mercadeo con enfoque en estrategias digitales y sostenibles, impulsando marcas y proyectos que generen impacto social en Antioquia. Quiero combinar innovación con conocimiento del consumidor local para posicionar productos y servicios que fortalezcan la economía regional, especialmente en sector terciario._x000a__x000a_Con la beca accederé a formación de calidad y herramientas avanzadas que me permitirán diseñar campañas efectivas para obtener acceso a mercados, conectar comunidades con plataformas digitales y promover el emprendimiento. Por ejemplo, imagino proyectos que visibilicen los productos con estrategias de branding territorial para atraer turismo sostenible."/>
    <s v="Amigos"/>
    <s v="Por la oferta académica."/>
    <s v="Vocación."/>
    <n v="0"/>
    <s v="1"/>
    <s v="SI"/>
    <s v="NO"/>
    <s v="Menos de 1millón"/>
    <s v="No"/>
    <s v="SI"/>
    <n v="0"/>
    <m/>
    <s v="SI"/>
    <s v="Beca"/>
    <s v="NO"/>
    <s v=""/>
    <s v=""/>
    <s v="Si"/>
    <s v="Diego Alberto Caro Tobón"/>
    <s v="Casado"/>
    <s v="BACHILLERATO"/>
    <s v="59"/>
    <s v="Conductor"/>
    <s v="Trabajador informal"/>
    <s v="conductor"/>
    <s v="Trabajo Informal"/>
    <n v="3500000"/>
    <s v="No"/>
    <s v="NO"/>
    <s v="NO"/>
    <s v=""/>
    <s v="Si"/>
    <s v="Yeni Amparo Martinez Upegui"/>
    <s v="Casado"/>
    <s v="TÉCNICA"/>
    <s v="52"/>
    <s v="Auxiliar de enfermería"/>
    <s v="Desempleado (Se encuentra en la búsqueda activa de empleo)"/>
    <s v="Ama de casa"/>
    <s v="N/A"/>
    <n v="0"/>
    <s v="No"/>
    <s v="NO"/>
    <s v="NO"/>
    <m/>
    <n v="3500000"/>
    <s v="No, vivo solo"/>
    <s v=""/>
    <s v=""/>
    <s v=""/>
    <s v=""/>
    <s v=""/>
    <m/>
    <s v=""/>
    <s v=""/>
    <s v=""/>
    <s v=""/>
    <s v=""/>
    <s v=""/>
    <m/>
    <s v=""/>
    <s v=""/>
    <s v=""/>
    <s v=""/>
    <s v=""/>
    <s v=""/>
    <m/>
    <s v=""/>
    <s v=""/>
    <n v="103077000"/>
    <n v="103077000"/>
    <n v="0"/>
    <n v="0"/>
    <n v="0"/>
    <s v="No"/>
    <s v=""/>
    <s v=""/>
    <n v="0"/>
    <s v="No"/>
    <s v=""/>
    <s v=""/>
    <n v="0"/>
    <s v="No"/>
    <s v=""/>
    <s v=""/>
    <s v=""/>
    <n v="0"/>
    <m/>
    <n v="4"/>
    <n v="3"/>
    <n v="4"/>
    <n v="4"/>
    <n v="4"/>
    <n v="4"/>
    <n v="3"/>
    <n v="4"/>
    <n v="4"/>
    <n v="4"/>
    <n v="38"/>
    <s v="SI"/>
    <s v="SI, TIPO IE"/>
    <s v="TEX SIN TIPO DE IE NI DETALLE DE OTROS ESTUDIOS"/>
    <s v="ok se agrega info de otros estudios por llamada"/>
    <e v="#N/A"/>
    <e v="#N/A"/>
    <m/>
    <n v="3"/>
    <n v="4"/>
    <n v="4"/>
    <n v="10"/>
    <n v="15"/>
    <n v="15"/>
    <n v="20"/>
    <n v="13.5"/>
    <n v="11.5"/>
    <n v="75.5"/>
    <n v="0.4"/>
    <m/>
    <n v="2"/>
    <n v="3.5"/>
    <n v="6"/>
    <n v="0"/>
    <n v="2"/>
    <n v="3.5"/>
    <n v="8"/>
    <n v="0"/>
    <n v="77.5"/>
    <n v="0.4"/>
    <n v="0.4"/>
    <e v="#N/A"/>
    <m/>
    <m/>
    <s v="SI, TIPO IE"/>
    <m/>
    <m/>
    <s v="Mercadeo"/>
    <e v="#N/A"/>
    <s v="169"/>
    <e v="#N/A"/>
  </r>
  <r>
    <s v="CC"/>
    <n v="1000441045"/>
    <s v="1000405635"/>
    <s v="MARIANA RESTREPO OSORIO"/>
    <s v="Estudios por primera vez"/>
    <x v="1"/>
    <s v="Descartado por bajo icfes"/>
    <m/>
    <s v="En publico objetivo"/>
    <s v="2da Cohorte"/>
    <s v="Admitido"/>
    <s v="mrestreo10@eafit.edu.co"/>
    <e v="#N/A"/>
    <s v="marrrestrepo19@gmail.com"/>
    <s v="573104218152"/>
    <d v="2025-05-16T00:00:00"/>
    <s v="Activo en Programa"/>
    <s v="001-Administración de Negocios"/>
    <s v="Escuela de Administración"/>
    <d v="2001-08-19T00:00:00"/>
    <n v="24"/>
    <s v="Antioquia"/>
    <s v="Medellín"/>
    <s v="Mujer"/>
    <s v="Soltero"/>
    <s v="NO"/>
    <s v="NO"/>
    <n v="0"/>
    <s v="NO"/>
    <s v="NA"/>
    <s v="NO"/>
    <s v="NA"/>
    <s v="NO"/>
    <s v="NA"/>
    <s v="No"/>
    <s v="000-0000"/>
    <s v="573104218152"/>
    <s v="Estrato 3"/>
    <s v="AV 33 57 78 CA 135"/>
    <s v="Antioquia"/>
    <s v="Bello"/>
    <s v="No aplica, no soy foráneo"/>
    <s v="Propio"/>
    <s v="SI"/>
    <s v="2018"/>
    <s v="AC201821609320"/>
    <n v="316"/>
    <n v="62"/>
    <n v="67"/>
    <s v="Pública"/>
    <s v="IE NUEVA GENERACION"/>
    <n v="2018"/>
    <m/>
    <s v="Bello"/>
    <s v="Técnico"/>
    <s v="BACHILLER"/>
    <s v="TIPO: Pública, INSTITUCION: IE NUEVA GENERACION, AÑO: 2018, CIUDAD: Bello, TITULO: BACHILLER"/>
    <s v="11"/>
    <s v="Escala de 0 - 5"/>
    <s v="Escala de 0 - 5"/>
    <s v="2,7"/>
    <s v="4"/>
    <m/>
    <s v="3,3"/>
    <s v="4"/>
    <m/>
    <n v="3.9"/>
    <n v="3.5"/>
    <m/>
    <n v="3.4"/>
    <n v="4"/>
    <m/>
    <s v="4"/>
    <s v="3,7"/>
    <m/>
    <s v="3,7"/>
    <s v="3,8"/>
    <m/>
    <s v="3,4"/>
    <s v="3,6"/>
    <m/>
    <s v="De 9 y 10"/>
    <n v="3.7"/>
    <s v="NO"/>
    <s v="NA"/>
    <n v="0"/>
    <n v="0"/>
    <s v="No"/>
    <n v="50"/>
    <m/>
    <n v="50"/>
    <m/>
    <n v="50"/>
    <m/>
    <s v="Es emprendedora y ya tiene una marca de vestidos de baño, necesita la beca para estudiar"/>
    <n v="50"/>
    <s v="Con detalle por componente"/>
    <s v="Artísticas o culturales"/>
    <s v="Para mí, estudiar Administración de Negocios en la Universidad EAFIT sería cumplir un sueño muy importante. No solo porque me apasiona lo que quiero estudiar, sino también porque sería una forma de romper con patrones familiares. En mi familia, muchas personas no siguieron sus sueños porque no creyeron lo suficiente en ellos mismos, y yo quiero cambiar eso._x000a__x000a_Actualmente tengo un emprendimiento de vestidos de baño, y escogí esta carrera porque sueño con que se convierta en una gran empresa. Quiero ser yo misma, como profesional, quien acompañe ese crecimiento de la mejor manera posible. Me motiva mucho la idea de poder generar empleo y mejorar la calidad de vida de personas que trabajan en el sector textil, que es donde estoy enfocada._x000a__x000a_También tengo un sueño muy especial con este proyecto, y es poder llevar a familias de escasos recursos al mar. Creo que viajar y conocer nuevos lugares nos ayuda a ver la vida de otra manera, a abrir la mente y a soñar más en grande. Quiero ser una inspiración que ayude a los demás a cumplir también sus sueños y que sepan que todo se puede lograr siempre y cuando se tenga un propósito, disciplina, perseverancia y determinación._x000a__x000a_Esta beca sería una oportunidad increíble para estudiar con calidad, aprender muchísimo y después poder regresar a mi comunidad con herramientas reales para hacer una diferencia."/>
    <s v="Otro"/>
    <s v="Por la calidad académica."/>
    <s v="Vocación."/>
    <n v="2"/>
    <s v="0"/>
    <s v="SI"/>
    <s v="NO"/>
    <s v="Entre 2 y 3 millones"/>
    <s v="No"/>
    <s v="NO"/>
    <s v="NO"/>
    <m/>
    <s v="SI"/>
    <s v="Beca"/>
    <s v="NO"/>
    <s v=""/>
    <s v=""/>
    <s v="Si"/>
    <s v="Luis Eduardo Restrepo Arcila"/>
    <s v="Casado"/>
    <s v="BACHILLERATO"/>
    <s v="54"/>
    <s v="Bodega"/>
    <s v="Empleado (con contrato laboral)"/>
    <s v="Bodega"/>
    <s v="Perfor motos"/>
    <n v="1623500"/>
    <s v="Si"/>
    <s v="NO"/>
    <s v="NO"/>
    <s v="Mi papá siempre ha sido una persona muy presente en mi vida. Aunque no tuvo la oportunidad de acceder a estudios profesionales y desde muy joven tuvo que empezar a trabajar en el sector de las motos, siempre ha estado ahí para apoyarme. Puede que en este momento no me pueda ayudar económicamente a cumplir este sueño, pero su apoyo emocional ha sido fundamental. Él es quien me recuerda constantemente que no debo rendirme y que los sueños sí se pueden alcanzar."/>
    <s v="Si"/>
    <s v="Gladis Elena Osorio Berrio"/>
    <s v="Casado"/>
    <s v="TECNOLOGÍA"/>
    <s v="58"/>
    <s v="Secretaria"/>
    <s v="Pensionado"/>
    <s v="Ama de casa"/>
    <s v="casa"/>
    <n v="1877408"/>
    <s v="Si"/>
    <s v="NO"/>
    <s v="NO"/>
    <s v="Mi mamá es una mujer muy amorosa, paciente y tranquila. Desde joven ha sido muy trabajadora y ha estado siempre al frente de nuestro hogar. Su apoyo emocional ha sido constante, y además de estar ahí para acompañarme, también sabe cuándo corregirme y motivarme a dar lo mejor de mí. Es una inspiración en mi vida y una parte fundamental de quien soy hoy."/>
    <n v="3500908"/>
    <s v="No, solo vivo con mis padres"/>
    <s v=""/>
    <s v=""/>
    <s v=""/>
    <s v=""/>
    <s v=""/>
    <m/>
    <s v=""/>
    <s v=""/>
    <s v=""/>
    <s v=""/>
    <s v=""/>
    <s v=""/>
    <m/>
    <s v=""/>
    <s v=""/>
    <s v=""/>
    <s v=""/>
    <s v=""/>
    <s v=""/>
    <m/>
    <s v=""/>
    <s v=""/>
    <n v="182081000"/>
    <n v="0"/>
    <n v="0"/>
    <n v="0"/>
    <n v="0"/>
    <s v="Si"/>
    <s v="Mazda"/>
    <s v="2018"/>
    <n v="59900000"/>
    <s v="No"/>
    <s v=""/>
    <s v=""/>
    <n v="0"/>
    <s v="Si"/>
    <s v="Moto"/>
    <s v="yamaha"/>
    <s v="2022"/>
    <n v="10000000"/>
    <s v="La casa se compro con las cesantías de mis padres hace 20 años , la moto se compro hace 2 años porque mi papá se vio beneficiado por medio de un tema de reparación de victimas y el carro se compro hace poco a uno de los jefes de mi papá, una parte de ahorros y otra parte en acuerdos de pago con el jefe."/>
    <n v="2"/>
    <n v="4"/>
    <n v="4"/>
    <n v="4"/>
    <n v="4"/>
    <n v="4"/>
    <n v="2"/>
    <n v="4"/>
    <n v="4"/>
    <n v="2"/>
    <n v="34"/>
    <s v="SI"/>
    <m/>
    <s v="SI, SON PRI"/>
    <s v="ok tienen todos los datos"/>
    <e v="#N/A"/>
    <e v="#N/A"/>
    <m/>
    <n v="3"/>
    <n v="10"/>
    <n v="8"/>
    <n v="5"/>
    <n v="10"/>
    <n v="10"/>
    <n v="20"/>
    <n v="15"/>
    <n v="14"/>
    <n v="69"/>
    <n v="0.4"/>
    <m/>
    <n v="3.5"/>
    <n v="2.5"/>
    <n v="6"/>
    <n v="2"/>
    <n v="3.5"/>
    <n v="2.5"/>
    <n v="7"/>
    <n v="2"/>
    <n v="68"/>
    <n v="0.5"/>
    <n v="0.4"/>
    <e v="#N/A"/>
    <m/>
    <m/>
    <n v="0"/>
    <m/>
    <m/>
    <s v="Administración de Negocios"/>
    <e v="#N/A"/>
    <s v="001"/>
    <e v="#N/A"/>
  </r>
  <r>
    <s v="CC"/>
    <n v="1000444888"/>
    <s v="1000339461"/>
    <s v="BRAHIAN ESTEBAN CALLE TORRES"/>
    <s v="Estudios por primera vez"/>
    <x v="1"/>
    <s v="Duda, cursando o graduado de tecnica o tecnologia"/>
    <m/>
    <s v="En publico objetivo"/>
    <s v="3ra Cohorte"/>
    <s v="Admitido"/>
    <s v="becallet@eafit.edu.co"/>
    <s v="becallet@eafit.edu.co"/>
    <s v="esteban.calle07@gmail.com"/>
    <s v="573024232552"/>
    <d v="2025-05-30T00:00:00"/>
    <s v="Activo en Programa"/>
    <s v="220-Literatura"/>
    <s v="Escuela de Artes y Humanidades"/>
    <d v="2001-04-27T00:00:00"/>
    <n v="24"/>
    <s v="Antioquia"/>
    <s v="Medellín"/>
    <s v="Hombre"/>
    <s v="Soltero"/>
    <s v="NO"/>
    <s v="NO"/>
    <n v="0"/>
    <s v="NO"/>
    <s v="NA"/>
    <s v="NO"/>
    <s v="NA"/>
    <s v="NO"/>
    <s v="NA"/>
    <s v="No"/>
    <s v="604/578-7241"/>
    <s v="573024232552"/>
    <s v="Estrato 1"/>
    <s v="CL 89 54 B 13"/>
    <s v="Antioquia"/>
    <s v="Medellín"/>
    <s v="No aplica, no soy foráneo"/>
    <s v="Familiar"/>
    <s v="SI"/>
    <s v="2019"/>
    <s v="AC201946094148"/>
    <n v="340"/>
    <n v="71"/>
    <n v="69"/>
    <s v="Pública"/>
    <s v="I.E. JAVIERA LONDOÑOSEVILLA"/>
    <n v="2019"/>
    <m/>
    <s v="Medellín"/>
    <s v="Tecnólogo"/>
    <s v="BACHILLER"/>
    <s v="TIPO: Pública, INSTITUCION: I.E. JAVIERA LONDOÑOSEVILLA, AÑO: 2019, CIUDAD: Medellín, TITULO: BACHILLER"/>
    <s v="11"/>
    <s v="Escala de 0 - 5"/>
    <s v="Escala de 0 - 5"/>
    <s v="4"/>
    <s v="4"/>
    <s v="5"/>
    <s v="4"/>
    <s v="4"/>
    <s v="4"/>
    <n v="3.9"/>
    <n v="3.9"/>
    <n v="4"/>
    <n v="3.3"/>
    <n v="4"/>
    <n v="4"/>
    <s v="3,4"/>
    <s v="4"/>
    <s v="3"/>
    <s v="4"/>
    <s v="4"/>
    <s v="3"/>
    <s v="3,7"/>
    <s v="4"/>
    <s v="3"/>
    <s v="De 9, 10 y 11"/>
    <n v="3.85"/>
    <s v="SI"/>
    <s v="TIPO: Pública, INSTITUCION: INSTITUCIÓN UNV. PASCUAL BRAVO, AÑO: 2024, CIUDAD: Medellín, TITULO: TECNOLOGO EN  MECANICA INDUSTRIAL (Medellín)"/>
    <s v="TECNOLOGIA"/>
    <s v=" TITULO: TECNOLOGO EN  MECANICA INDUSTRIAL (Medellín)"/>
    <s v="No"/>
    <n v="50"/>
    <m/>
    <n v="50"/>
    <m/>
    <n v="50"/>
    <m/>
    <s v="Estudiante que quiere solicitar beca Talento. Manifiesta que necesita apoyo económico. Entiendo que es posible que deba trabajar mientras estudia."/>
    <n v="50"/>
    <s v="Con detalle por componente"/>
    <s v="Trabajo social o comunitario,Espacios de liderazgo o representación social,Deportistas de alto rendimiento o representativo"/>
    <s v="Elegí Literatura porque es lo que realmente me apasiona, busco una transformación en la sociedad que esté fundamentada desde la educación, con la creación de clubes de lectura, el fomento de todo tipo de actividades culturales basadas en letroescritura, me veo encaminando a los niños y jóvenes a construir su proyecto de vida siempre por el camino de la educación, la universidad como el camino para alcanzar metas y mejorar sus condiciones de vida. Me visualizo devolviéndole a la universidad todo mi conocimiento y mis capacidades para mejorarla, aportar en los planes de acción que se tomen para garantizar así que muchos otros jóvenes puedan seguir disfrutando de las becas."/>
    <s v="Redes sociales"/>
    <s v="Por la calidad académica."/>
    <s v="Vocación."/>
    <n v="3"/>
    <s v="0"/>
    <s v="SI"/>
    <s v="NO"/>
    <s v="Entre 1 y 2 millones"/>
    <s v="No"/>
    <n v="0"/>
    <s v="SI"/>
    <s v="Crédito educativo propio"/>
    <s v="SI"/>
    <s v="Beca"/>
    <s v="SI"/>
    <s v="FORJAS BOLIVAR S.A.S"/>
    <s v="Lubricador"/>
    <s v="Si"/>
    <s v="Juan Carlos Calle Londoño"/>
    <s v="Unión marital"/>
    <s v="TÉCNICA"/>
    <s v="43"/>
    <s v="Técnico en Telecomunicaciones"/>
    <s v="Empleado (con contrato laboral)"/>
    <s v="Contratista, Técnico instalador"/>
    <s v="Inmel"/>
    <n v="1423500"/>
    <s v="No"/>
    <s v="NO"/>
    <s v="NO"/>
    <s v="Indico el salario mínimo porque no tengo conocimiento de los ingresos, mi padre no vive conmigo hace más de 15 años y ya que no vive con nosotros no aporta ingresos para el hogar"/>
    <s v="Si"/>
    <s v="Sandra Milena Torres Calvo"/>
    <s v="Unión marital"/>
    <m/>
    <s v="43"/>
    <s v="Ama de casa, Operaria de confección"/>
    <s v="Trabajador informal"/>
    <s v="Operaria de confección"/>
    <s v="Informal"/>
    <n v="500000"/>
    <s v="Si"/>
    <s v="NO"/>
    <s v="NO"/>
    <s v="Mi madre tiene una máquina de confección donde hace bolsos de manera ocasional para una persona que se los paga y los vende. No tiene contrato laboral ni seguridad social, es un empleo informal."/>
    <n v="1923500"/>
    <s v="Si"/>
    <s v="Carmen Emilia Calvo"/>
    <s v="Abuelo / Abuela"/>
    <s v="71"/>
    <s v="Ama de casa"/>
    <s v="Ama de casa"/>
    <n v="0"/>
    <s v="No"/>
    <s v=""/>
    <s v=""/>
    <s v=""/>
    <s v=""/>
    <s v=""/>
    <m/>
    <s v=""/>
    <s v=""/>
    <s v=""/>
    <s v=""/>
    <s v=""/>
    <s v=""/>
    <m/>
    <s v=""/>
    <s v="Mi grupo familiar lo componen mi mamá y mi abuela, vivimos en una vivienda familiar que le concedió el gobierno a mi abuela ya que fuimos reubicados por vivir en una invasión en el barrio Moravia, mi abuela no labora ni cuenta con una pensión"/>
    <n v="76252000"/>
    <n v="0"/>
    <n v="0"/>
    <n v="0"/>
    <n v="0"/>
    <s v="Si"/>
    <s v="Auteco"/>
    <s v="2024"/>
    <n v="6000000"/>
    <s v="No"/>
    <s v=""/>
    <s v=""/>
    <n v="0"/>
    <s v="No"/>
    <s v=""/>
    <s v=""/>
    <s v=""/>
    <n v="0"/>
    <s v="La casa es de mi abuela, entrega por el gobierno ya que viviamos en una invasión, la motocicleta es mía y la utilizo para el transporte diario"/>
    <n v="4"/>
    <n v="4"/>
    <n v="3"/>
    <n v="4"/>
    <n v="4"/>
    <n v="3"/>
    <n v="3"/>
    <n v="4"/>
    <n v="3"/>
    <n v="4"/>
    <n v="36"/>
    <s v="SI"/>
    <m/>
    <s v="SI, SON PRI"/>
    <s v="ok tienen todos los datos"/>
    <n v="0.8"/>
    <n v="20232"/>
    <m/>
    <n v="1"/>
    <n v="6"/>
    <n v="6"/>
    <n v="10"/>
    <n v="10"/>
    <n v="15"/>
    <n v="20"/>
    <n v="18"/>
    <n v="18"/>
    <n v="79"/>
    <n v="0.5"/>
    <m/>
    <n v="3.5"/>
    <n v="3.5"/>
    <n v="8"/>
    <n v="3"/>
    <n v="3.5"/>
    <n v="3.5"/>
    <n v="8"/>
    <n v="3"/>
    <n v="79"/>
    <n v="0.6"/>
    <n v="0.7"/>
    <e v="#N/A"/>
    <s v="se sube por pregrado"/>
    <m/>
    <n v="0"/>
    <m/>
    <m/>
    <s v="Literatura"/>
    <e v="#N/A"/>
    <s v="220"/>
    <e v="#N/A"/>
  </r>
  <r>
    <s v="CC"/>
    <n v="1000549822"/>
    <s v="1000408406"/>
    <s v="VALERIA ROJAS ECHAVARRIA"/>
    <s v="Estudios por primera vez"/>
    <x v="2"/>
    <s v="No cumple, puntaje ICFES menor a 300"/>
    <s v="Con hijos y edad alta"/>
    <s v="En publico objetivo"/>
    <s v="3ra Cohorte"/>
    <s v="Admitido"/>
    <s v="vrojase@eafit.edu.co"/>
    <e v="#N/A"/>
    <s v="valeriarojas860@gmail.com"/>
    <s v="573106339189"/>
    <d v="2025-05-30T00:00:00"/>
    <s v="Activo en Programa"/>
    <s v="169-Mercadeo"/>
    <s v="Escuela de Administración"/>
    <d v="2001-06-14T00:00:00"/>
    <n v="24"/>
    <s v="Antioquia"/>
    <s v="Medellín"/>
    <s v="Mujer"/>
    <s v="Soltero"/>
    <s v="NO"/>
    <s v="NO"/>
    <n v="0"/>
    <s v="NO"/>
    <s v="NA"/>
    <s v="NO"/>
    <s v="NA"/>
    <s v="NO"/>
    <s v="NA"/>
    <s v="Si"/>
    <s v="604/253-6387"/>
    <s v="573106339189"/>
    <s v="Estrato 2"/>
    <s v="CR 108 37 11"/>
    <s v="Antioquia"/>
    <s v="Medellín"/>
    <s v="No aplica, no soy foráneo"/>
    <s v="Familiar"/>
    <s v="SI"/>
    <s v="2020"/>
    <s v="AC202042637544"/>
    <n v="193"/>
    <n v="39"/>
    <n v="42"/>
    <s v="Pública"/>
    <s v="INST EDUC RAFAEL URIBE URIBE"/>
    <n v="2020"/>
    <s v="Antioquia"/>
    <s v="Medellín"/>
    <s v="BACHILLER"/>
    <s v="ACAD"/>
    <s v="TIPO: Pública, INSTITUCION: INST EDUC RAFAEL URIBE URIBE, AÑO: 2020, CIUDAD: Medellín, TITULO: BACHILLER"/>
    <s v="11"/>
    <s v="Escala de 0 - 5"/>
    <s v="Escala de 0 - 5"/>
    <s v="4"/>
    <s v="4"/>
    <m/>
    <s v="4,5"/>
    <s v="4,5"/>
    <m/>
    <n v="4"/>
    <n v="4.3"/>
    <m/>
    <n v="4.5"/>
    <n v="3.8"/>
    <m/>
    <s v="3,4"/>
    <s v="3,4"/>
    <m/>
    <s v="4,5"/>
    <s v="4,5"/>
    <m/>
    <s v="4,2"/>
    <s v="4,5"/>
    <m/>
    <s v="De 9 y 10"/>
    <n v="4.1500000000000004"/>
    <s v="NO"/>
    <s v="NA"/>
    <n v="0"/>
    <n v="0"/>
    <s v="No"/>
    <n v="50"/>
    <m/>
    <n v="40"/>
    <m/>
    <n v="45"/>
    <m/>
    <s v="Valeria es una persona que tiene muy claro el enfoque de estudiar mercadeo: ventas. Su objetivo como madre es la profesionalización y un futuro estable para su familia. Su capacidad de relacionamiento es alta, y está orientada a la solución de problemas y aportar en el mejoramiento."/>
    <n v="45"/>
    <s v="Con detalle por componente"/>
    <s v="Trabajo social o comunitario"/>
    <s v="Me visualizo como una profesional en Mercadeo que aplica sus conocimientos para generar un impacto positivo en el sector salud. Mi experiencia como visitadora médica me ha enseñado la importancia de la comunicación efectiva y del entendimiento del mercado, lo cual me permitirá desarrollar estrategias éticas y enfocadas en las verdaderas necesidades de las personas._x000a__x000a_Gracias a esta beca podré formarme para liderar proyectos que impulsen el crecimiento de mi región, fortaleciendo pequeños negocios farmacéuticos, mejorando el acceso a productos de salud y generando empleo. Quiero demostrar que desde el mercadeo también se puede transformar una comunidad."/>
    <s v="Amigos"/>
    <s v="Por la calidad académica."/>
    <s v="Alta empleabilidad."/>
    <n v="6"/>
    <s v="1"/>
    <s v="SI"/>
    <s v="NO"/>
    <s v="Menos de 1millón"/>
    <s v="No"/>
    <n v="0"/>
    <n v="0"/>
    <m/>
    <s v="SI"/>
    <s v="Beca"/>
    <s v="SI"/>
    <s v="DROGUERIA CRUZ VERDE"/>
    <s v="VISITADORA FARMACEUTICA"/>
    <s v="Si"/>
    <s v="Jhon Alirio Rojas Bedoya"/>
    <s v="Soltero"/>
    <s v="PRIMARIA"/>
    <s v="62"/>
    <s v="Independiente"/>
    <s v="Independiente (trabaja por cuenta propia)"/>
    <s v="mecanico"/>
    <s v="Independiente"/>
    <n v="1600000"/>
    <s v="Si"/>
    <s v="NO"/>
    <s v="NO"/>
    <s v=""/>
    <s v="Si"/>
    <s v="Gladys del Pilar Echavarria Duran"/>
    <s v="Soltero"/>
    <s v="PRIMARIA"/>
    <s v="62"/>
    <s v="ama de casa"/>
    <s v="Labores del hogar y cuidado"/>
    <s v="Ama de casa"/>
    <s v="N/A"/>
    <n v="0"/>
    <s v="Si"/>
    <s v="NO"/>
    <s v="NO"/>
    <m/>
    <n v="1600000"/>
    <s v="Si"/>
    <s v="Catherine Rojas Echavarria"/>
    <s v="Hermano / Hermana"/>
    <s v="28"/>
    <s v="Administracion en salud"/>
    <s v="clinica Antioquia"/>
    <n v="1800000"/>
    <s v="No"/>
    <s v="Elian Ospina Rojas"/>
    <s v="Hijo"/>
    <s v="4"/>
    <s v=""/>
    <s v=""/>
    <m/>
    <s v=""/>
    <s v=""/>
    <s v=""/>
    <s v=""/>
    <s v=""/>
    <s v=""/>
    <m/>
    <s v=""/>
    <s v=""/>
    <n v="90751000"/>
    <n v="90751000"/>
    <n v="0"/>
    <n v="0"/>
    <n v="0"/>
    <s v="No"/>
    <s v=""/>
    <s v=""/>
    <n v="0"/>
    <s v="No"/>
    <s v=""/>
    <s v=""/>
    <n v="0"/>
    <s v="No"/>
    <s v=""/>
    <s v=""/>
    <s v=""/>
    <n v="0"/>
    <m/>
    <n v="4"/>
    <n v="4"/>
    <n v="4"/>
    <n v="4"/>
    <n v="4"/>
    <n v="4"/>
    <n v="4"/>
    <n v="4"/>
    <n v="4"/>
    <n v="4"/>
    <n v="40"/>
    <s v="SI"/>
    <m/>
    <s v="SI, SON PRI"/>
    <s v="ok tienen todos los datos"/>
    <e v="#N/A"/>
    <e v="#N/A"/>
    <m/>
    <n v="3"/>
    <n v="10"/>
    <n v="10"/>
    <n v="0"/>
    <n v="15"/>
    <n v="15"/>
    <n v="15"/>
    <n v="15"/>
    <n v="15"/>
    <n v="70"/>
    <n v="0.4"/>
    <m/>
    <n v="3.5"/>
    <n v="3.5"/>
    <n v="8"/>
    <n v="0"/>
    <n v="3.5"/>
    <n v="3.5"/>
    <n v="8"/>
    <n v="0"/>
    <n v="70"/>
    <n v="0.5"/>
    <s v="Negado"/>
    <e v="#N/A"/>
    <m/>
    <m/>
    <n v="0"/>
    <m/>
    <m/>
    <s v="Mercadeo"/>
    <e v="#N/A"/>
    <m/>
    <e v="#N/A"/>
  </r>
  <r>
    <s v="TI"/>
    <n v="1000899960"/>
    <s v="1000027487"/>
    <s v="SIMON EDUARDO OROZCO ARBOLEDA"/>
    <s v="Transferencia Externa"/>
    <x v="1"/>
    <s v="No cumple, otros estudios de pregrado"/>
    <m/>
    <s v="En publico objetivo"/>
    <s v="3ra Cohorte"/>
    <s v="Admitido"/>
    <s v="seorozcoa@eafit.edu.co"/>
    <s v="seorozcoa@eafit.edu.co"/>
    <s v="seorozcoa@eafit.edu.co"/>
    <s v="312/752-0525"/>
    <d v="2025-05-30T00:00:00"/>
    <s v="Activo en Programa"/>
    <s v="002-Negocios Internacionales"/>
    <s v="Escuela de Administración"/>
    <d v="2003-02-13T00:00:00"/>
    <n v="22"/>
    <s v="Antioquia"/>
    <s v="Medellín"/>
    <s v="Hombre"/>
    <s v="Soltero"/>
    <s v="NO"/>
    <s v="NO"/>
    <n v="0"/>
    <s v="NO"/>
    <s v="NA"/>
    <s v="NO"/>
    <s v="NA"/>
    <s v="NO"/>
    <s v="NA"/>
    <s v="No"/>
    <s v="312/752-0525"/>
    <s v="312/752-0525"/>
    <s v="Estrato 3"/>
    <s v="CR 29 A #36 D SUR 11"/>
    <s v="Antioquia"/>
    <s v="Envigado"/>
    <s v="No aplica, no soy foráneo"/>
    <s v="Arriendo"/>
    <s v="SI"/>
    <s v="2019"/>
    <s v="AC201941830959"/>
    <n v="308"/>
    <n v="59"/>
    <n v="63"/>
    <s v="Pública"/>
    <s v="I. E. ADELAIDA CORREA ESTRADA"/>
    <n v="2019"/>
    <s v="Antioquia"/>
    <s v="Sabaneta"/>
    <s v="BACHILLER"/>
    <s v="ACAD"/>
    <s v="TIPO: Pública, INSTITUCION: I. E. ADELAIDA CORREA ESTRADA, AÑO: 2019, CIUDAD: Sabaneta, TITULO: BACHILLER"/>
    <n v="0"/>
    <n v="0"/>
    <s v="PCA TEX"/>
    <m/>
    <m/>
    <m/>
    <m/>
    <m/>
    <m/>
    <m/>
    <m/>
    <m/>
    <m/>
    <m/>
    <m/>
    <m/>
    <m/>
    <m/>
    <m/>
    <m/>
    <m/>
    <m/>
    <m/>
    <m/>
    <s v="Ver PCA TEX"/>
    <n v="4.4000000000000004"/>
    <s v="SI"/>
    <s v="TIPO: Pública, INSTITUCION: INSTITUCION UNIVERSITARIA DIGI, AÑO: 0, CIUDAD: Medellín, TITULO: PROFESIONAL EN PUBLICIDAD Y MERCADEO DIGITAL (Medellín) Virtual"/>
    <s v="PREGRADO"/>
    <s v=" TITULO: PROFESIONAL EN PUBLICIDAD Y MERCADEO DIGITAL (Medellín) Virtual"/>
    <s v="No"/>
    <n v="50"/>
    <m/>
    <n v="45"/>
    <m/>
    <n v="45"/>
    <m/>
    <m/>
    <n v="46.666666666666664"/>
    <s v="Con detalle por componente"/>
    <s v="Ninguna"/>
    <s v="Yo me visualizo siendo un negociador bastante bueno, creando mi propia empresa y conectándome con un mundo cada día más globalizado. Creo que es importante transformar las regiones mediante el trabajo que se le pueda dar a la población, entonces una de mis metas es poder generar empleo para las personas de esta sociedad. Mis metas no solo son personales, soy una persona que le gusta ver el bien común, me gusta ver que los demás crezcan y consigan todo lo que se propongan. Por eso digo que si obtengo la beca, se podría cambiar muchas vidas en el municipio donde habito, porque intentaría dar empleo a jóvenes necesitados mientras les brindo las herramientas y espacios de crecimiento personal."/>
    <s v="Redes sociales"/>
    <s v="Internacionalización."/>
    <s v="Vocación."/>
    <n v="3"/>
    <s v="1"/>
    <s v="SI"/>
    <s v="NO"/>
    <s v="Entre 3 y 4 millones"/>
    <s v="No"/>
    <s v="NO"/>
    <s v="NO"/>
    <m/>
    <s v="SI"/>
    <s v="Beca"/>
    <s v="NO"/>
    <s v=""/>
    <s v=""/>
    <s v="Si"/>
    <s v="Jader Eduardo Orozco Alvarez"/>
    <s v="Casado"/>
    <s v="BACHILLERATO"/>
    <s v="53"/>
    <s v="Conductor"/>
    <s v="Empleado (con contrato laboral)"/>
    <s v="conductor"/>
    <s v="Corbeta"/>
    <n v="4491000"/>
    <s v="Si"/>
    <s v="NO"/>
    <s v="NO"/>
    <s v="Mi padre ha sido una persona bastante trabajadora, destaca mucho en su oficio porque lleva años de experiencia y es una persona que se hace querer."/>
    <s v="Si"/>
    <s v="Angela Betty Arboleda Muñeton"/>
    <s v="Casado"/>
    <s v="TECNOLOGÍA"/>
    <s v="53"/>
    <s v="ama de casa"/>
    <s v="Labores del hogar y cuidado"/>
    <s v="Ama de casa"/>
    <s v="NINGUNA"/>
    <n v="0"/>
    <s v="No"/>
    <s v="NO"/>
    <s v="SI"/>
    <s v="Mi madre ha sido una persona de casa a pesar de ser tecnóloga agropecuaria, en estos momentos vive en un pueblo llamado Briceño, le toco ir allí por situaciones laborales, pero en estos momentos se encuentra en el hogar con su pareja que es la responsable económicamente."/>
    <n v="4491000"/>
    <s v="Si"/>
    <s v="Martin Ivan Orozco Gonzalez"/>
    <s v="Hermano / Hermana"/>
    <s v="5"/>
    <s v="Estudiante"/>
    <s v="Dario de bedout"/>
    <n v="0"/>
    <s v="No"/>
    <s v="Paula Andrea Gonzalez Mejia"/>
    <s v="Madrastra"/>
    <s v="33"/>
    <s v="Empleada"/>
    <s v="Umbral Arrendamientos"/>
    <n v="2500000"/>
    <s v="Si"/>
    <s v=""/>
    <s v=""/>
    <s v=""/>
    <s v=""/>
    <s v=""/>
    <m/>
    <s v=""/>
    <s v="Mi medio hermano es un bebe prácticamente, mi madrastra es una persona que le gusta ayudar bastante. Hay un buen ambiente en el grupo familiar."/>
    <n v="0"/>
    <n v="0"/>
    <n v="0"/>
    <n v="0"/>
    <n v="0"/>
    <s v="Si"/>
    <s v="Suzuki"/>
    <s v="2018"/>
    <n v="52000000"/>
    <s v="No"/>
    <s v=""/>
    <s v=""/>
    <n v="0"/>
    <s v="No"/>
    <s v=""/>
    <s v=""/>
    <s v=""/>
    <n v="0"/>
    <s v="El vehículo es de mi padre, es de su uso personal para asistir al trabajo."/>
    <n v="4"/>
    <n v="4"/>
    <n v="3"/>
    <n v="4"/>
    <n v="4"/>
    <n v="4"/>
    <n v="4"/>
    <n v="4"/>
    <n v="3"/>
    <n v="4"/>
    <n v="38"/>
    <s v="SI"/>
    <m/>
    <s v="SI, SON TEX, EN LUGAR DE NOTAS TIENEN PCA"/>
    <s v="ok tienen todos los datos"/>
    <s v="Negada"/>
    <n v="20232"/>
    <m/>
    <n v="3"/>
    <n v="10"/>
    <n v="8"/>
    <n v="5"/>
    <n v="15"/>
    <n v="15"/>
    <n v="20"/>
    <n v="19"/>
    <n v="18"/>
    <n v="83"/>
    <n v="0.5"/>
    <m/>
    <n v="3.5"/>
    <n v="4.5"/>
    <n v="6"/>
    <n v="4"/>
    <n v="3.5"/>
    <n v="4"/>
    <n v="7"/>
    <n v="4.5"/>
    <n v="82"/>
    <n v="0.7"/>
    <n v="0.7"/>
    <e v="#N/A"/>
    <m/>
    <m/>
    <n v="0"/>
    <m/>
    <m/>
    <s v="Negocios Internacionales"/>
    <e v="#N/A"/>
    <s v="002"/>
    <e v="#N/A"/>
  </r>
  <r>
    <s v="CC"/>
    <n v="1000900048"/>
    <s v="1000295902"/>
    <s v="DANIEL QUIROZ CASTAÑO"/>
    <s v="Estudios por primera vez"/>
    <x v="1"/>
    <s v="Descartado por baja prioridad pregrado"/>
    <m/>
    <s v="En publico objetivo"/>
    <s v="1er Cohorte"/>
    <s v="Admitido"/>
    <s v="dquirozc@eafit.edu.co"/>
    <s v="dquirozc@eafit.edu.co"/>
    <s v="danielocastano56@gmail.com"/>
    <s v="573104007162"/>
    <d v="2025-04-25T00:00:00"/>
    <s v="Activo en Programa"/>
    <s v="011-Contaduría Pública"/>
    <s v="Escuela de Administración"/>
    <d v="2003-02-22T00:00:00"/>
    <n v="22"/>
    <s v="Antioquia"/>
    <s v="Medellín"/>
    <s v="Hombre"/>
    <s v="Soltero"/>
    <s v="NO"/>
    <s v="NO"/>
    <n v="0"/>
    <s v="NO"/>
    <s v="NA"/>
    <s v="NO"/>
    <s v="NA"/>
    <s v="NO"/>
    <s v="NA"/>
    <s v="No"/>
    <s v="310/400-7162"/>
    <s v="573104007162"/>
    <s v="Estrato 2"/>
    <s v="CR 94 CL 80 32"/>
    <s v="Antioquia"/>
    <s v="Medellín"/>
    <s v="No aplica, no soy foráneo"/>
    <s v="Familiar"/>
    <s v="SI"/>
    <s v="2019"/>
    <s v="AC201942655777"/>
    <n v="317"/>
    <n v="63"/>
    <n v="66"/>
    <s v="Pública"/>
    <s v="INS TEC INDUSTRIAL PASCUAL BRA"/>
    <n v="2019"/>
    <s v="Antioquia"/>
    <s v="Medellín"/>
    <s v="BACHILLER"/>
    <s v="TECN"/>
    <s v="TIPO: Pública, INSTITUCION: INS TEC INDUSTRIAL PASCUAL BRA, AÑO: 2019, CIUDAD: Medellín, TITULO: BACHILLER"/>
    <s v="11"/>
    <s v="Escala de 0 - 5"/>
    <s v="Escala de 0 - 5"/>
    <s v="3,4"/>
    <s v="3,2"/>
    <m/>
    <s v="3,4"/>
    <s v="3,6"/>
    <m/>
    <n v="4"/>
    <n v="3.7"/>
    <m/>
    <n v="4.5"/>
    <n v="4.4000000000000004"/>
    <m/>
    <s v="4,5"/>
    <s v="4,2"/>
    <m/>
    <s v="3,4"/>
    <s v="3,4"/>
    <m/>
    <s v="4"/>
    <s v="4,2"/>
    <m/>
    <s v="De 9 y 10"/>
    <n v="4.1500000000000004"/>
    <s v="NO"/>
    <s v="NA"/>
    <n v="0"/>
    <n v="0"/>
    <s v="No"/>
    <n v="45"/>
    <m/>
    <n v="50"/>
    <m/>
    <n v="50"/>
    <m/>
    <s v="Tiene 22 años, egresado del pascual bravo, se graduó en 2019 como bachiller, desde ese año ha estado trabajando, quería ingresar a la U pero por motivos económicos no había podido, trabaja de servicio al cliente en un callcenter. Actualmente vive en robledo, vive con la mama y dos hermanos y el padre. Las materias favoritas son las matemáticas. Está estudiando Japonés, le gusta ver documentales, le gusta la astronomía, también le gusta ver noticias con el padre y hablar de Colombia. El podría seguir trabajando y estudiando."/>
    <n v="48.333333333333336"/>
    <s v="Con detalle por componente"/>
    <s v="Artísticas o culturales,Espacios de liderazgo o representación social,Deportistas de alto rendimiento o representativo"/>
    <s v="En lo personal me veo ejerciendo la contaduría principalmente en el extranjero, o inclusive abrir un despacho aquí mismo en Colombia, ya que esto ayudaría a dar oportunidades de empleo a nuevos contadores, y así poder desarrollar un negocio el cual pueda proveer un cambio en la vida de todo aquel estudiante recién egresado lleno de sueños, y juntos, podamos hacer un cambio"/>
    <s v="Amigos"/>
    <s v="Por la calidad académica."/>
    <s v="Alta proyección de ingresos."/>
    <n v="3"/>
    <s v="3"/>
    <s v="NO"/>
    <s v="NO"/>
    <s v="Entre 1 y 2 millones"/>
    <s v="Si"/>
    <n v="0"/>
    <n v="0"/>
    <m/>
    <s v="SI"/>
    <s v="Beca"/>
    <s v="SI"/>
    <s v="LULU SYSTEMS INC."/>
    <s v="Customer Service Manager"/>
    <s v="Si"/>
    <s v="Gildardo Quiroz Hidalgo"/>
    <s v="Otro"/>
    <s v="PRIMARIA"/>
    <s v="62"/>
    <s v="Informal"/>
    <s v="Trabajador informal"/>
    <s v="Trabajador informal"/>
    <s v="N/A"/>
    <n v="0"/>
    <s v="Si"/>
    <s v="NO"/>
    <s v="NO"/>
    <s v="Mi padre es una persona que me apoya emocionalmente en la búsqueda activa de estudio, ya que su sueño es ver mi graduación. No obstante, es una persona la cual no obtiene ingresos regulares, y por eso, no me puede ayudar a pagari carrera."/>
    <s v="Si"/>
    <s v="Maria Josefina Castaño Moncada"/>
    <s v="Otro"/>
    <m/>
    <s v="59"/>
    <s v="Operaria de maquina"/>
    <s v="Independiente (trabaja por cuenta propia)"/>
    <s v="Operaria de maquina"/>
    <s v="Independiente"/>
    <n v="700000"/>
    <s v="Si"/>
    <s v="NO"/>
    <s v="NO"/>
    <s v="Mi madre es la persona que más me ayuda a conseguir mis metas, es mi combustible para lograr todo lo que me proponga, y esa llama indomable de ella es lo que me lleva a exigirme diariamente. A pesar de contar con ingresos, ella trata de apoyarme con lo que pueda"/>
    <n v="700000"/>
    <s v="Si"/>
    <s v="Juan Esteban Orozco Castaño"/>
    <s v="Hermano / Hermana"/>
    <s v="32"/>
    <s v="Emprendedor"/>
    <s v="Vagardhihs"/>
    <n v="2000000"/>
    <s v="Si"/>
    <s v="Jhonatan Humberto Orozco Castaño"/>
    <s v="Hermano / Hermana"/>
    <s v="38"/>
    <s v="Operario de Maquina"/>
    <s v="Vagardhihs"/>
    <m/>
    <s v="No"/>
    <s v=""/>
    <s v=""/>
    <s v=""/>
    <s v=""/>
    <s v=""/>
    <m/>
    <s v=""/>
    <s v=""/>
    <n v="0"/>
    <n v="0"/>
    <n v="0"/>
    <n v="0"/>
    <n v="0"/>
    <s v="No"/>
    <s v=""/>
    <s v=""/>
    <n v="0"/>
    <s v="No"/>
    <s v=""/>
    <s v=""/>
    <n v="0"/>
    <s v="No"/>
    <s v=""/>
    <s v=""/>
    <s v=""/>
    <n v="0"/>
    <s v="Realmente no tenemos algo propio en la familia entre los que vivimos juntos. Mi hermana posee bienes, más sin embargo, ella no vive con nosotros, y más bien poco alejada de toda la familia"/>
    <n v="4"/>
    <n v="4"/>
    <n v="3"/>
    <n v="4"/>
    <n v="3"/>
    <n v="4"/>
    <n v="4"/>
    <n v="4"/>
    <n v="4"/>
    <n v="4"/>
    <n v="38"/>
    <s v="SI"/>
    <m/>
    <s v="SI, SON PRI"/>
    <s v="ok tienen todos los datos"/>
    <e v="#N/A"/>
    <e v="#N/A"/>
    <m/>
    <n v="1"/>
    <n v="10"/>
    <n v="10"/>
    <n v="5"/>
    <n v="15"/>
    <n v="15"/>
    <n v="20"/>
    <n v="19.5"/>
    <n v="19"/>
    <n v="84"/>
    <n v="0.7"/>
    <m/>
    <n v="3.5"/>
    <n v="3.5"/>
    <n v="8"/>
    <n v="4"/>
    <n v="3.5"/>
    <n v="3.5"/>
    <n v="8"/>
    <n v="4.5"/>
    <n v="84.5"/>
    <s v="80 - 100%"/>
    <n v="0.8"/>
    <e v="#N/A"/>
    <m/>
    <m/>
    <n v="0"/>
    <m/>
    <m/>
    <s v="Contaduría Pública"/>
    <e v="#N/A"/>
    <s v="011"/>
    <e v="#N/A"/>
  </r>
  <r>
    <s v="CC"/>
    <n v="1001004668"/>
    <s v="1000382730"/>
    <s v="ANDRES FELIPE MOSQUERA PADILLA"/>
    <s v="Estudios por primera vez"/>
    <x v="1"/>
    <s v="No cumple, puntaje ICFES menor a 300"/>
    <m/>
    <s v="En publico objetivo"/>
    <s v="3ra Cohorte"/>
    <s v="Admitido"/>
    <s v="afmosquerp@eafit.edu.co"/>
    <s v="afmosquerp@eafit.edu.co"/>
    <s v="jufepepa@gmail.com"/>
    <s v="573188469747"/>
    <d v="2025-05-30T00:00:00"/>
    <s v="Activo en Programa"/>
    <s v="010-Ingeniería de Sistemas"/>
    <s v="E Ciencias Aplic e Ingeniería"/>
    <d v="2001-04-08T00:00:00"/>
    <n v="24"/>
    <s v="Antioquia"/>
    <s v="Medellín"/>
    <s v="Hombre"/>
    <s v="Soltero"/>
    <s v="NO"/>
    <s v="NO"/>
    <n v="0"/>
    <s v="NO"/>
    <s v="NA"/>
    <s v="NO"/>
    <s v="NA"/>
    <s v="SI"/>
    <s v="Afrocolombianos"/>
    <s v="No"/>
    <s v="604/773-7857"/>
    <s v="573188469747"/>
    <s v="Estrato 2"/>
    <s v="MEDELLÍN"/>
    <s v="Antioquia"/>
    <s v="Medellín"/>
    <s v="No aplica, no soy foráneo"/>
    <s v="Arriendo"/>
    <s v="SI"/>
    <s v="2017"/>
    <s v="AC201722738656"/>
    <n v="288"/>
    <n v="60"/>
    <n v="58"/>
    <s v="Pública"/>
    <s v="I. E. Luis Carlos Galán Sarmiento"/>
    <n v="2017"/>
    <m/>
    <s v="Medellín"/>
    <s v="Bachillerato"/>
    <s v="Académico"/>
    <m/>
    <s v="11"/>
    <s v="Escala de 0 - 5"/>
    <s v="Escala de 0 - 5"/>
    <s v="4"/>
    <s v="4,5"/>
    <m/>
    <s v="4"/>
    <s v="4,5"/>
    <m/>
    <n v="4"/>
    <n v="4.5"/>
    <m/>
    <n v="4"/>
    <n v="4.5"/>
    <m/>
    <s v="4"/>
    <s v="4,5"/>
    <m/>
    <s v="4"/>
    <s v="4"/>
    <m/>
    <s v="4,5"/>
    <s v="4"/>
    <m/>
    <s v="De 9 y 10"/>
    <n v="4.25"/>
    <s v="NO"/>
    <s v="NA"/>
    <n v="0"/>
    <n v="0"/>
    <s v="No"/>
    <n v="50"/>
    <m/>
    <n v="50"/>
    <m/>
    <n v="50"/>
    <m/>
    <s v="Entrevista realizada por Guillermo Carmona"/>
    <n v="50"/>
    <s v="Con detalle por componente"/>
    <s v="Ninguna"/>
    <s v="Me visualizo ejerciendo como ingeniero de sistemas desarrollando soluciones tecnológicas que impacten positivamente a mi comunidad. Aspiro a liderar proyectos de software que optimicen procesos en pequeñas y medianas empresas de mi región, muchas de las cuales aún no han integrado herramientas digitales por falta de acceso o conocimientos técnicos. Mi objetivo es reducir esta brecha, impulsando la transformación digital local con soluciones accesibles y funcionales._x000a__x000a_Además, deseo emprender una iniciativa social que enseñe programación a jóvenes de escasos recursos, fomentando la formación en habilidades tecnológicas desde temprana edad. Creo firmemente que la tecnología puede ser una vía para combatir la desigualdad, abrir oportunidades laborales y mejorar la calidad de vida en sectores históricamente olvidados._x000a__x000a_La beca representa para mí una oportunidad invaluable, no solo para estudiar una carrera que me apasiona, sino para adquirir las herramientas necesarias para servir a mi comunidad. Gracias a este apoyo, podré concentrarme plenamente en mi formación sin el peso de las dificultades económicas, y así prepararme para ser un profesional comprometido, capaz de generar empleo, innovación y desarrollo en mi lugar de origen._x000a__x000a_Estoy convencido de que, con el conocimiento adecuado y la voluntad de transformar, puedo contribuir activamente al progreso de mi región desde el campo de la ingeniería de sistemas"/>
    <s v="Página WEB"/>
    <s v="Proyección laboral."/>
    <s v="Certificación."/>
    <n v="2"/>
    <s v="3"/>
    <s v="SI"/>
    <s v="NO"/>
    <s v="Entre 1 y 2 millones"/>
    <s v="No"/>
    <n v="0"/>
    <n v="0"/>
    <m/>
    <s v="SI"/>
    <s v="Beca"/>
    <s v="SI"/>
    <s v="UPS"/>
    <s v="Customer service"/>
    <s v="Si"/>
    <s v="Yimmy Antonio Asprilla sachez"/>
    <s v="Soltero"/>
    <s v="LINCENCIATURA"/>
    <s v="44"/>
    <s v="Analista de abastecimiento"/>
    <s v="Empleado (con contrato laboral)"/>
    <s v="Analista de abastecimiento"/>
    <s v="Incolmotos Yamaha"/>
    <n v="3000000"/>
    <s v="No"/>
    <s v="NO"/>
    <s v="NO"/>
    <s v="Mi padre vive con su actual pareja y 2 hijastros"/>
    <s v="Si"/>
    <s v="Kelys yojana padilla lobo"/>
    <s v="Soltero"/>
    <s v="BACHILLERATO"/>
    <s v="42"/>
    <s v="Auxiliar de cocina"/>
    <s v="Empleado (con contrato laboral)"/>
    <s v="Auxiliar de cocina"/>
    <s v="Restaurante el famoso"/>
    <n v="1800000"/>
    <s v="No"/>
    <s v="NO"/>
    <s v="NO"/>
    <s v="Mi madre vive con mi hermana de 20 años en Manrique"/>
    <n v="4800000"/>
    <s v="Si"/>
    <s v="Luisa Fernanda Ocampo Aguirre"/>
    <s v="Pareja"/>
    <s v="29"/>
    <s v="Servicio al cliente"/>
    <s v="UPS global business service"/>
    <n v="1700000"/>
    <s v="Si"/>
    <s v="Samuel Hernandez Ocampo aguirre"/>
    <s v="Hijastro"/>
    <s v="11"/>
    <s v="Estudiante"/>
    <s v="NA"/>
    <n v="0"/>
    <s v="No"/>
    <s v=""/>
    <s v=""/>
    <s v=""/>
    <s v=""/>
    <s v=""/>
    <m/>
    <s v=""/>
    <s v="Vivo con mi pareja y mi hijastro Samuel"/>
    <n v="0"/>
    <n v="0"/>
    <n v="0"/>
    <n v="0"/>
    <n v="0"/>
    <s v="Si"/>
    <s v="Moto pulsar"/>
    <s v="2018"/>
    <n v="5000000"/>
    <s v="No"/>
    <s v=""/>
    <s v=""/>
    <n v="0"/>
    <s v="No"/>
    <s v=""/>
    <s v=""/>
    <s v=""/>
    <n v="0"/>
    <s v="Mi padre tiene una pulsar 160 ns"/>
    <n v="4"/>
    <n v="4"/>
    <n v="3"/>
    <n v="4"/>
    <n v="3"/>
    <n v="3"/>
    <n v="4"/>
    <n v="3"/>
    <n v="3"/>
    <n v="3"/>
    <n v="34"/>
    <s v="SI"/>
    <s v="SI, TIPO IE"/>
    <s v="PRI SIN TIPO IE"/>
    <s v="pendiente tipo ie"/>
    <e v="#N/A"/>
    <e v="#N/A"/>
    <m/>
    <n v="3"/>
    <n v="10"/>
    <n v="10"/>
    <n v="0"/>
    <n v="15"/>
    <n v="10"/>
    <n v="20"/>
    <n v="18"/>
    <n v="18"/>
    <n v="73"/>
    <n v="0.5"/>
    <m/>
    <n v="3.5"/>
    <n v="4.5"/>
    <n v="6"/>
    <n v="4"/>
    <n v="3.5"/>
    <n v="4"/>
    <n v="6"/>
    <n v="4.5"/>
    <n v="73"/>
    <n v="0.6"/>
    <n v="0.4"/>
    <e v="#N/A"/>
    <s v="x icfes"/>
    <m/>
    <s v="SI, TIPO IE"/>
    <m/>
    <m/>
    <s v="Ingeniería de Sistemas"/>
    <e v="#N/A"/>
    <s v="010"/>
    <e v="#N/A"/>
  </r>
  <r>
    <s v="CC"/>
    <n v="1001227915"/>
    <s v="1000404877"/>
    <s v="KEVIN ANDRÉS VALENCIA DAVID"/>
    <s v="Transferencia Externa"/>
    <x v="1"/>
    <s v="No cumple, otros estudios de pregrado"/>
    <m/>
    <s v="En publico objetivo"/>
    <s v="2da Cohorte"/>
    <s v="Admitido"/>
    <s v="kavalencid@eafit.edu.co"/>
    <e v="#N/A"/>
    <s v="kevinvalencia616@gmail.com"/>
    <s v="573192817823"/>
    <d v="2025-05-16T00:00:00"/>
    <s v="Activo en Programa"/>
    <s v="003-Economía"/>
    <s v="E.Finanzas, Economía, Gobierno"/>
    <d v="2002-03-04T00:00:00"/>
    <n v="23"/>
    <s v="Antioquia"/>
    <s v="Medellín"/>
    <s v="Hombre"/>
    <s v="Soltero"/>
    <s v="NO"/>
    <s v="NO"/>
    <n v="0"/>
    <s v="NO"/>
    <s v="NA"/>
    <s v="NO"/>
    <s v="NA"/>
    <s v="NO"/>
    <s v="NA"/>
    <s v="No"/>
    <s v="319/281-7823"/>
    <s v="573192817823"/>
    <s v="Estrato 2"/>
    <s v="VEREDA PIEDRA GORDA DIRECCIÓN RESIDENCIA: STA ELENAKILÓMETRO 8 #872 ( 0118 )"/>
    <s v="Antioquia"/>
    <s v="Medellín"/>
    <s v="No aplica, no soy foráneo"/>
    <s v="Propio"/>
    <s v="SI"/>
    <s v="2018"/>
    <s v="AC201824932968"/>
    <n v="310"/>
    <n v="63"/>
    <n v="72"/>
    <s v="Pública"/>
    <s v="I.E. LUIS CARLOS GALAN S."/>
    <n v="2018"/>
    <s v="Antioquia"/>
    <s v="Medellín"/>
    <s v="BACHILLER"/>
    <s v="TECN"/>
    <s v="TIPO: Pública, INSTITUCION: I.E. LUIS CARLOS GALAN S., AÑO: 2018, CIUDAD: Medellín, TITULO: BACHILLER"/>
    <n v="0"/>
    <n v="0"/>
    <s v="PCA TEX"/>
    <m/>
    <m/>
    <m/>
    <m/>
    <m/>
    <m/>
    <m/>
    <m/>
    <m/>
    <m/>
    <m/>
    <m/>
    <m/>
    <m/>
    <m/>
    <m/>
    <m/>
    <m/>
    <m/>
    <m/>
    <m/>
    <s v="Ver PCA TEX"/>
    <n v="4.4000000000000004"/>
    <s v="SI"/>
    <s v="TIPO: Pública, INSTITUCION: COLEGIO MAYOR DE ANTIOQUIA, AÑO: 0, CIUDAD: Medellín, TITULO: INGENIERO(A) COMERCIAL (Medellín)"/>
    <s v="PREGRADO"/>
    <s v=" TITULO: INGENIERO(A) COMERCIAL (Medellín)"/>
    <s v="No"/>
    <n v="45"/>
    <m/>
    <n v="50"/>
    <m/>
    <n v="45"/>
    <m/>
    <s v="Está terminando Ing Comercial en el colegio mayor de Antioquia y desea complementar su formación"/>
    <n v="46.666666666666664"/>
    <s v="Con detalle por componente"/>
    <s v="Trabajo social o comunitario"/>
    <s v="Estoy interesado en estudiar el pregrado en Economía en la Universidad EAFIT, motivado por dos razones principales._x000a__x000a_En primer lugar, considero que la economía no solo es analizar datos, sino una herramienta para comprender y mejorar las condiciones de vida de las personas. A través del estudio de esta disciplina, deseo entender cómo las desigualdades pueden ser mitigadas mediante políticas públicas inclusivas y justas. Creo firmemente que, con una formación sólida en esta área, junto al conocimiento del comportamiento humano y del consumidor, podré generar un impacto positivo en mi entorno, desarrollando soluciones que contribuyan al bienestar social. En segundo lugar, la economía permite entender las dinámicas que afectan tanto a las economías locales como globales en un mundo interconectado, donde las decisiones de una nación repercuten en otras. Por ello, considero fundamental contar con una formación rigurosa y crítica, que me permita analizar fenómenos económicos, interpretar datos, anticipar patrones y tomar decisiones informadas en distintos ámbitos._x000a__x000a_Al culminar mis estudios, me visualizo trabajando en la creación de políticas públicas que impulsen el desarrollo económico de mi localidad y la región. Aspiro a contribuir a la construcción de una economía sostenible y equitativa, donde las oportunidades estén al alcance de todos, especialmente de las poblaciones más vulnerables. Mi propósito es aportar soluciones reales que reduzcan las brechas sociales y económicas en mi entorno."/>
    <s v="Redes sociales"/>
    <s v="Por la calidad académica."/>
    <s v="Vocación."/>
    <n v="1"/>
    <s v="0"/>
    <s v="SI"/>
    <s v="NO"/>
    <s v="Entre 2 y 3 millones"/>
    <s v="No"/>
    <n v="0"/>
    <n v="0"/>
    <m/>
    <s v="SI"/>
    <s v="Beca"/>
    <s v="NO"/>
    <s v=""/>
    <s v=""/>
    <s v="Si"/>
    <s v="Yonny Ferney Valencia Franco"/>
    <s v="Soltero"/>
    <s v="TECNOLOGÍA"/>
    <s v="46"/>
    <s v="Director comercial"/>
    <s v="Empleado (con contrato laboral)"/>
    <s v="Director comercial"/>
    <s v="Cheviplan S.A"/>
    <n v="4765333"/>
    <s v="Si"/>
    <s v="NO"/>
    <s v="NO"/>
    <s v=""/>
    <s v="Si"/>
    <s v="Yorladis David Betancur"/>
    <s v="Casado"/>
    <s v="UNIVERSITARIOS"/>
    <s v="45"/>
    <s v="Administración"/>
    <s v="Empleado (con contrato laboral)"/>
    <s v="Auxiliar contable"/>
    <s v="Frutícula de Colombia SAS"/>
    <n v="1500000"/>
    <s v="No"/>
    <s v="NO"/>
    <s v="NO"/>
    <m/>
    <n v="6265333"/>
    <s v="No, solo vivo con mis padres"/>
    <s v=""/>
    <s v=""/>
    <s v=""/>
    <s v=""/>
    <s v=""/>
    <m/>
    <s v=""/>
    <s v=""/>
    <s v=""/>
    <s v=""/>
    <s v=""/>
    <s v=""/>
    <m/>
    <s v=""/>
    <s v=""/>
    <s v=""/>
    <s v=""/>
    <s v=""/>
    <s v=""/>
    <m/>
    <s v=""/>
    <s v=""/>
    <n v="400000000"/>
    <n v="0"/>
    <n v="0"/>
    <n v="0"/>
    <n v="0"/>
    <s v="Si"/>
    <s v="Renault"/>
    <s v="2018"/>
    <n v="40000000"/>
    <s v="No"/>
    <s v=""/>
    <s v=""/>
    <n v="0"/>
    <s v="Si"/>
    <s v="Moto"/>
    <s v="Bajaj"/>
    <s v="2015"/>
    <n v="3500000"/>
    <m/>
    <n v="4"/>
    <n v="4"/>
    <n v="2"/>
    <n v="4"/>
    <n v="3"/>
    <n v="3"/>
    <n v="4"/>
    <n v="4"/>
    <n v="3"/>
    <n v="4"/>
    <n v="35"/>
    <s v="SI"/>
    <m/>
    <s v="SI, SON TEX, EN LUGAR DE NOTAS TIENEN PCA"/>
    <s v="ok tienen todos los datos"/>
    <s v="Negada"/>
    <n v="20251"/>
    <m/>
    <n v="2"/>
    <n v="10"/>
    <n v="10"/>
    <n v="5"/>
    <n v="15"/>
    <n v="15"/>
    <n v="20"/>
    <n v="9"/>
    <n v="9"/>
    <n v="74"/>
    <n v="0.4"/>
    <m/>
    <n v="3.5"/>
    <n v="2.5"/>
    <n v="3"/>
    <n v="0"/>
    <n v="3.5"/>
    <n v="2.5"/>
    <n v="3"/>
    <n v="0"/>
    <n v="74"/>
    <n v="0.4"/>
    <n v="0.4"/>
    <e v="#N/A"/>
    <m/>
    <m/>
    <n v="0"/>
    <m/>
    <m/>
    <s v="Economía"/>
    <e v="#N/A"/>
    <s v="003"/>
    <e v="#N/A"/>
  </r>
  <r>
    <s v="TI"/>
    <n v="1001367288"/>
    <s v="1000030245"/>
    <s v="ALEJANDRO GOMEZ CALLE"/>
    <s v="Estudios por primera vez"/>
    <x v="1"/>
    <s v="Descartado por ingresos altos"/>
    <m/>
    <s v="En publico objetivo"/>
    <s v="3ra Cohorte"/>
    <s v="Admitido"/>
    <s v="agomezc12@eafit.edu.co"/>
    <s v="agomezc12@eafit.edu.co"/>
    <s v="alejandrogomezcalle@gmail.com"/>
    <s v="305/315-4185"/>
    <d v="2025-05-30T00:00:00"/>
    <s v="Activo en Programa"/>
    <s v="237-Diseño Interactivo"/>
    <s v="Escuela de Artes y Humanidades"/>
    <d v="2003-08-13T00:00:00"/>
    <n v="22"/>
    <s v="Antioquia"/>
    <s v="Medellín"/>
    <s v="Hombre"/>
    <s v="Soltero"/>
    <s v="NO"/>
    <s v="NO"/>
    <n v="0"/>
    <s v="NO"/>
    <s v="NA"/>
    <s v="NO"/>
    <s v="NA"/>
    <s v="NO"/>
    <s v="NA"/>
    <s v="No"/>
    <s v="577-7216"/>
    <s v="305/315-4185"/>
    <s v="Estrato 3"/>
    <s v="CR 47 43 31"/>
    <s v="Antioquia"/>
    <s v="Itagui"/>
    <s v="No aplica, no soy foráneo"/>
    <s v="Propio"/>
    <s v="SI"/>
    <s v="2020"/>
    <s v="AC202042482057"/>
    <n v="332"/>
    <n v="71"/>
    <n v="68"/>
    <s v="Privada"/>
    <s v="COLEGIO LA SALLE ENVIGADO"/>
    <n v="2020"/>
    <m/>
    <s v="Envigado"/>
    <s v="Técnico"/>
    <s v="BACHILLER"/>
    <s v="TIPO: Privada, INSTITUCION: COLEGIO LA SALLE ENVIGADO, AÑO: 2020, CIUDAD: Envigado, TITULO: BACHILLER"/>
    <s v="11"/>
    <s v="Escala de 0 - 5"/>
    <s v="Escala de 0 - 5"/>
    <s v="4,5"/>
    <s v="5"/>
    <m/>
    <s v="4,5"/>
    <s v="4,5"/>
    <m/>
    <n v="4.5"/>
    <n v="4.5999999999999996"/>
    <m/>
    <n v="4.5"/>
    <n v="4.5"/>
    <m/>
    <s v="4,5"/>
    <s v="4,5"/>
    <m/>
    <s v="4,5"/>
    <s v="4,5"/>
    <m/>
    <s v="4,5"/>
    <s v="4,5"/>
    <m/>
    <s v="De 9 y 10"/>
    <n v="4.5250000000000004"/>
    <s v="NO"/>
    <s v="NA"/>
    <n v="0"/>
    <n v="0"/>
    <s v="No"/>
    <n v="40"/>
    <m/>
    <n v="40"/>
    <m/>
    <n v="40"/>
    <m/>
    <m/>
    <n v="40"/>
    <s v="Con detalle por componente"/>
    <s v="Artísticas o culturales"/>
    <s v="Siempre me ha gustado aprender sobre muchas cosas, pero hay dos áreas que siempre han estado muy presentes en mi vida: la música y la tecnología. Son mundos muy distintos, pero al mismo tiempo siento que se conectan muy bien a través del diseño y la creatividad._x000a__x000a_Me visualizo trabajando en una empresa en la que pueda combinar la programación con el diseño para crear experiencias digitales diferentes, que vayan más allá de lo funcional. Me interesa mucho el tema de la interacción con el usuario, cómo se relaciona con una página web o una app, como esa interacción puede convertirse en una experiencia que va más allá de lo emocional o sensorial._x000a__x000a_En siete años, me visualizo liderando equipos donde pueda innovar en la forma en que una marca se comunica con las personas. Quiero que cada interfaz que cree cuente una historia, que se sienta viva y conectada con lo que representa. Me gustaría verme trabajando haciendo animación, explorando nuevas formas de expresión visual y buscando maneras de mejorar la interacción con la tecnología._x000a__x000a_Mi meta no es solo diseñar cosas que se vean bien, sino que también generen sensaciones y aporten algo significativo Quiero seguir aprendiendo, experimentando, equivocándome y creciendo._x000a__x000a_Obtener la beca sería de gran ayuda, tanto para mi como para mi familia. Pero, mas allá de eso, esta tiene un trasfondo y como esta puede impactar en mí y como el conocimiento adquirido puede contribuir a mi entorno, por ejemplo generando soluciones digitales a pequeños emprendimientos, o facilitando la forma de interacción con personas que no tienen el mismo privilegio o acceso a la tecnología que muchos tienen."/>
    <s v="Página WEB"/>
    <s v="Por la calidad académica."/>
    <s v="Vocación."/>
    <n v="4"/>
    <s v="1"/>
    <s v="SI"/>
    <s v="NO"/>
    <s v="Entre 10 y 11 millones"/>
    <s v="No"/>
    <s v="SI"/>
    <s v="NO"/>
    <m/>
    <s v="SI"/>
    <s v="Beca"/>
    <s v="SI"/>
    <s v="SOLVO SAS"/>
    <s v="Communications Representative"/>
    <s v="Sin información"/>
    <n v="0"/>
    <m/>
    <m/>
    <m/>
    <s v=""/>
    <s v=""/>
    <m/>
    <s v=""/>
    <m/>
    <s v=""/>
    <m/>
    <m/>
    <s v="No tengo mucho contacto con mi papá"/>
    <s v="Si"/>
    <s v="Ana Milena Calle Valdes"/>
    <s v="Soltero"/>
    <s v="MAESTRÍA"/>
    <s v="43"/>
    <s v="Administradora"/>
    <s v="Empleado (con contrato laboral)"/>
    <s v="Analista de Producto"/>
    <s v="Bancolombia"/>
    <n v="7000000"/>
    <s v="Si"/>
    <s v="NO"/>
    <s v="SI"/>
    <m/>
    <n v="7000000"/>
    <s v="Si"/>
    <s v="Emma Quijano Calle"/>
    <s v="Hermano / Hermana"/>
    <s v="7"/>
    <s v="Estudiante"/>
    <s v="Colombo Britanico"/>
    <n v="0"/>
    <s v="No"/>
    <s v="Juan Eduardo Quijano Posada"/>
    <s v="Padrastro"/>
    <s v="48"/>
    <s v="Contratista"/>
    <s v="Alcaldía Sabaneta"/>
    <n v="5145000"/>
    <s v="Si"/>
    <s v=""/>
    <s v=""/>
    <s v=""/>
    <s v=""/>
    <s v=""/>
    <m/>
    <s v=""/>
    <s v=""/>
    <n v="400000000"/>
    <n v="0"/>
    <n v="0"/>
    <n v="0"/>
    <n v="0"/>
    <s v="Si"/>
    <s v="Mazda"/>
    <s v="3"/>
    <n v="70000000"/>
    <s v="No"/>
    <s v=""/>
    <s v=""/>
    <n v="0"/>
    <s v="Si"/>
    <s v="Otro carro"/>
    <s v="Nissan"/>
    <s v="2018"/>
    <n v="80000000"/>
    <m/>
    <n v="4"/>
    <n v="4"/>
    <n v="3"/>
    <n v="4"/>
    <n v="4"/>
    <n v="3"/>
    <n v="4"/>
    <n v="4"/>
    <n v="3"/>
    <n v="4"/>
    <n v="37"/>
    <s v="SI"/>
    <m/>
    <s v="SI, SON PRI"/>
    <s v="ok tienen todos los datos"/>
    <e v="#N/A"/>
    <e v="#N/A"/>
    <m/>
    <n v="3"/>
    <n v="10"/>
    <n v="8"/>
    <n v="10"/>
    <n v="20"/>
    <n v="15"/>
    <n v="10"/>
    <n v="7.5"/>
    <n v="5.5"/>
    <n v="70.5"/>
    <n v="0.4"/>
    <m/>
    <n v="2"/>
    <n v="2.5"/>
    <n v="1"/>
    <n v="0"/>
    <n v="2"/>
    <n v="2.5"/>
    <n v="3"/>
    <n v="0"/>
    <n v="70.5"/>
    <n v="0.4"/>
    <n v="0.4"/>
    <e v="#N/A"/>
    <m/>
    <m/>
    <n v="0"/>
    <m/>
    <m/>
    <s v="Diseño Interactivo"/>
    <e v="#N/A"/>
    <s v="237"/>
    <e v="#N/A"/>
  </r>
  <r>
    <s v="CC"/>
    <n v="1001446350"/>
    <s v="1000404238"/>
    <s v="JOSÉ CAMILO YEPES ARIAS"/>
    <s v="Transferencia Externa"/>
    <x v="1"/>
    <s v="No cumple, otros estudios de pregrado"/>
    <m/>
    <s v="En publico objetivo"/>
    <s v="3ra Cohorte"/>
    <s v="Admitido"/>
    <s v="jcyepesa@eafit.edu.co"/>
    <e v="#N/A"/>
    <s v="camilo.jcya1@gmail.com"/>
    <s v="319/527-9006"/>
    <d v="2025-05-30T00:00:00"/>
    <s v="Activo en Programa"/>
    <s v="013-Ingeniería Civil"/>
    <s v="E Ciencias Aplic e Ingeniería"/>
    <d v="2003-10-25T00:00:00"/>
    <n v="22"/>
    <s v="Antioquia"/>
    <s v="Rionegro"/>
    <s v="Hombre"/>
    <s v="Soltero"/>
    <s v="NO"/>
    <s v="NO"/>
    <n v="0"/>
    <s v="NO"/>
    <s v="NA"/>
    <s v="NO"/>
    <s v="NA"/>
    <s v="NO"/>
    <s v="NA"/>
    <s v="No"/>
    <s v="319/527-9006"/>
    <s v="319/527-9006"/>
    <s v="Estrato 3"/>
    <s v="VEREDA LA PLAYA"/>
    <s v="Antioquia"/>
    <s v="Rionegro"/>
    <s v="No aplica, no soy foráneo"/>
    <s v="Familiar"/>
    <s v="SI"/>
    <s v="2020"/>
    <s v="AC202040842302"/>
    <n v="353"/>
    <n v="68"/>
    <n v="66"/>
    <s v="Pública"/>
    <s v="I TEC INDUST SANTIAGO DE ARMA"/>
    <n v="2020"/>
    <s v="Antioquia"/>
    <s v="Rionegro"/>
    <s v="BACHILLER"/>
    <s v="TECN"/>
    <s v="TIPO: Pública, INSTITUCION: I TEC INDUST SANTIAGO DE ARMA, AÑO: 2020, CIUDAD: Rionegro, TITULO: BACHILLER"/>
    <n v="0"/>
    <n v="0"/>
    <s v="PCA TEX"/>
    <m/>
    <m/>
    <m/>
    <m/>
    <m/>
    <m/>
    <m/>
    <m/>
    <m/>
    <m/>
    <m/>
    <m/>
    <m/>
    <m/>
    <m/>
    <m/>
    <m/>
    <m/>
    <m/>
    <m/>
    <m/>
    <s v="Ver PCA TEX"/>
    <n v="3.9"/>
    <s v="SI"/>
    <s v="TIPO: Pública, INSTITUCION: UNV. NACIONAL DE COLOMBIA, AÑO: 0, CIUDAD: Medellín, TITULO: INGENIERO(A) CIVIL"/>
    <s v="PREGRADO"/>
    <s v=" TITULO: INGENIERO(A) CIVIL"/>
    <s v="No"/>
    <n v="45"/>
    <m/>
    <n v="45"/>
    <m/>
    <n v="45"/>
    <m/>
    <s v="Se acepta en el programa"/>
    <n v="45"/>
    <s v="Con detalle por componente"/>
    <s v="Ninguna"/>
    <s v="Me veo en unos años ejerciendo como ingeniero civil, especializado en estructuras, trabajando en proyectos que realmente le aporten a Medellín y a los municipios de Antioquia. Me apasiona todo lo relacionado con el diseño y la construcción de obras que sean seguras, funcionales y pensadas para mejorar la vida de las personas. Sueño con participar en la construcción de viviendas dignas, puentes bien diseñados y espacios comunitarios que le den vida a nuestros barrios y veredas._x000a__x000a_Esta beca sería una gran oportunidad para formarme sin que las dificultades económicas me frenen. Poder estudiar con tranquilidad me permitiría aprovechar al máximo mi carrera y así, cuando me gradúe, volver a mi comunidad con ideas y soluciones que respondan a sus necesidades reales. En muchos municipios de Antioquia hace falta infraestructura adecuada, y yo quiero ser parte del cambio que permita que más personas vivan en entornos seguros y bien construidos._x000a__x000a_Estoy convencido de que la ingeniería no solo es hacer planos y levantar edificios, sino también construir un mejor futuro para todos. Quiero aportar desde mi profesión al desarrollo de una región que me ha dado tanto, y demostrar que con preparación, esfuerzo y apoyo, los jóvenes de Medellín y Antioquia podemos transformar nuestro territorio."/>
    <s v="Estudiantes de EAFIT"/>
    <s v="Por recomendación."/>
    <s v="Vocación."/>
    <n v="1"/>
    <s v="2"/>
    <s v="NO"/>
    <s v="NO"/>
    <s v="Menos de 1millón"/>
    <s v="Si"/>
    <n v="0"/>
    <n v="0"/>
    <m/>
    <s v="SI"/>
    <s v="Beca"/>
    <s v="NO"/>
    <s v=""/>
    <s v=""/>
    <s v="Si"/>
    <s v="Nicolás Alberto Yepes Torres"/>
    <s v="Casado"/>
    <s v="TÉCNICA"/>
    <s v="56"/>
    <s v="Independiente"/>
    <s v="Independiente (trabaja por cuenta propia)"/>
    <s v="Carpintero"/>
    <s v="Independiente"/>
    <n v="2500000"/>
    <s v="No"/>
    <s v="NO"/>
    <s v="NO"/>
    <s v=""/>
    <s v="Si"/>
    <s v="Luz Albany Arias Arbeláez"/>
    <s v="Casado"/>
    <s v="TÉCNICA"/>
    <s v="53"/>
    <s v="Secretaria Ejecutiva"/>
    <s v="Empleado (con contrato laboral)"/>
    <s v="secretaria"/>
    <s v="Gobernación de Antioquia"/>
    <n v="4357201"/>
    <s v="Si"/>
    <s v="NO"/>
    <s v="NO"/>
    <m/>
    <n v="6857201"/>
    <s v="No, solo vivo con mis padres"/>
    <s v=""/>
    <s v=""/>
    <s v=""/>
    <s v=""/>
    <s v=""/>
    <m/>
    <s v=""/>
    <s v=""/>
    <s v=""/>
    <s v=""/>
    <s v=""/>
    <s v=""/>
    <m/>
    <s v=""/>
    <s v=""/>
    <s v=""/>
    <s v=""/>
    <s v=""/>
    <s v=""/>
    <m/>
    <s v=""/>
    <s v=""/>
    <n v="400000000"/>
    <n v="0"/>
    <n v="0"/>
    <n v="0"/>
    <n v="0"/>
    <s v="Si"/>
    <s v="Mazda"/>
    <s v="2016"/>
    <n v="40000000"/>
    <s v="No"/>
    <s v=""/>
    <s v=""/>
    <n v="0"/>
    <s v="No"/>
    <s v=""/>
    <s v=""/>
    <s v=""/>
    <n v="0"/>
    <m/>
    <n v="4"/>
    <n v="4"/>
    <n v="3"/>
    <n v="3"/>
    <n v="3"/>
    <n v="3"/>
    <n v="3"/>
    <n v="3"/>
    <n v="3"/>
    <n v="3"/>
    <n v="32"/>
    <s v="SI"/>
    <m/>
    <s v="SI, SON TEX, EN LUGAR DE NOTAS TIENEN PCA"/>
    <s v="ok tienen todos los datos"/>
    <e v="#N/A"/>
    <e v="#N/A"/>
    <m/>
    <n v="2"/>
    <n v="10"/>
    <n v="8"/>
    <n v="10"/>
    <n v="10"/>
    <n v="10"/>
    <n v="15"/>
    <n v="10"/>
    <n v="10"/>
    <n v="65"/>
    <n v="0.4"/>
    <m/>
    <n v="3.5"/>
    <n v="3.5"/>
    <n v="3"/>
    <n v="0"/>
    <n v="3.5"/>
    <n v="3.5"/>
    <n v="3"/>
    <n v="0"/>
    <n v="63"/>
    <n v="0.4"/>
    <n v="0.4"/>
    <e v="#N/A"/>
    <m/>
    <m/>
    <n v="0"/>
    <m/>
    <m/>
    <s v="Ingeniería Civil"/>
    <e v="#N/A"/>
    <s v="013"/>
    <e v="#N/A"/>
  </r>
  <r>
    <s v="CC"/>
    <n v="1001470438"/>
    <s v="1000409002"/>
    <s v="VALERIA GOMEZ BEDOYA"/>
    <s v="Transferencia Externa"/>
    <x v="1"/>
    <s v="No cumple, otros estudios de pregrado"/>
    <m/>
    <s v="En publico objetivo"/>
    <s v="3ra Cohorte"/>
    <s v="Admitido"/>
    <s v="vgomezb5@eafit.edu.co"/>
    <e v="#N/A"/>
    <s v="valeria0813gomezb@gmail.com"/>
    <s v="573188281775"/>
    <d v="2025-05-30T00:00:00"/>
    <s v="Activo en Programa"/>
    <s v="169-Mercadeo"/>
    <s v="Escuela de Administración"/>
    <d v="2003-08-13T00:00:00"/>
    <n v="22"/>
    <s v="Antioquia"/>
    <s v="Itagui"/>
    <s v="Mujer"/>
    <s v="Soltero"/>
    <s v="NO"/>
    <s v="NO"/>
    <n v="0"/>
    <s v="NO"/>
    <s v="NA"/>
    <s v="NO"/>
    <s v="NA"/>
    <s v="NO"/>
    <s v="NA"/>
    <s v="No"/>
    <s v="854-9016"/>
    <s v="573188281775"/>
    <s v="Estrato 2"/>
    <s v="SAN ANTONIO DE PRADO"/>
    <s v="Antioquia"/>
    <s v="San Antonio De Prado"/>
    <s v="Si"/>
    <s v="Arriendo"/>
    <s v="SI"/>
    <s v="2019"/>
    <s v="AC201942513596"/>
    <n v="306"/>
    <n v="52"/>
    <n v="62"/>
    <s v="Pública"/>
    <s v="I. E. SAN RAFAEL"/>
    <n v="2019"/>
    <m/>
    <s v="Heliconia"/>
    <s v="Bachillerato"/>
    <s v="BACHILLER"/>
    <s v="TIPO: Pública, INSTITUCION: I. E. SAN RAFAEL, AÑO: 2019, CIUDAD: Heliconia, TITULO: BACHILLER"/>
    <n v="0"/>
    <n v="0"/>
    <s v="PCA TEX"/>
    <m/>
    <m/>
    <m/>
    <m/>
    <m/>
    <m/>
    <m/>
    <m/>
    <m/>
    <m/>
    <m/>
    <m/>
    <m/>
    <m/>
    <m/>
    <m/>
    <m/>
    <m/>
    <m/>
    <m/>
    <m/>
    <s v="Ver PCA TEX"/>
    <n v="4"/>
    <s v="SI"/>
    <s v="TIPO: Privada, INSTITUCION: UNV. CATÓLICA LUIS AMIGÓFUNLAM, AÑO: 0, CIUDAD: Medellín, TITULO: COMUNICADOR SOCIAL (Medellín)"/>
    <s v="PREGRADO"/>
    <s v=" TITULO: COMUNICADOR SOCIAL (Medellín)"/>
    <s v="No"/>
    <n v="45"/>
    <m/>
    <n v="45"/>
    <m/>
    <n v="45"/>
    <m/>
    <m/>
    <n v="45"/>
    <s v="Con detalle por componente"/>
    <s v="Artísticas o culturales,Espacios de liderazgo o representación social"/>
    <s v="Seré una gran empresaria, enfocada en redes de mercadeo, marketing digital y comunicaciones. Me visualizo como una apasionada por el mundo de las ventas, la creación de productos y contenido que tengan un gran valor para el consumidor final. Mi objetivo es transformar la forma en que las personas perciben y experimentan el mercado, ofreciendo soluciones innovadoras y efectivas que respondan a sus necesidades._x000a_Considero que soy una persona creativa, analítica e innovadora. Por lo tanto, crearé una experiencia enriquecedora en mi municipio natal, donde las personas puedan disfrutar de la naturaleza, la historia y  sobre todo del calor humano que tiene por ofrecer la comunidad Heliconense. Trabajaré junto a la población para desarrollar una ruta de turismo ecológica que enamore al turista, implementando estrategias de marketing sostenible para atraer a un público consciente hacia mi bello terruño. _x000a_Además, tengo la intención de realizar con los jóvenes un semillero que les enseñe a emprender, fomentando un ambiente donde se apropien de sus ideas y las materialicen. Quiero que comprendan que son capaces de generar cambios significativos en su entorno. A través de talleres y mentorías, les proporcionaré las herramientas necesarias para que puedan desarrollar sus proyectos y contribuir al crecimiento económico del municipio. Asimismo, me comprometo a brindar acompañamiento a las pequeñas y medianas empresas a través de consultorías sobre mercadeo, e-commerce y content marketing. Quiero que estas empresas se den a conocer en la región y que puedan competir en un mercado cada vez más digitalizado."/>
    <s v="Amigos"/>
    <s v="Proyección laboral."/>
    <s v="Vocación."/>
    <n v="0"/>
    <s v="1"/>
    <s v="NO"/>
    <s v="NO"/>
    <s v="Entre 1 y 2 millones"/>
    <s v="No"/>
    <n v="0"/>
    <n v="0"/>
    <m/>
    <s v="Y"/>
    <m/>
    <s v="SI"/>
    <s v="FUNDACION UNIVERSIDAD DE ANTIO"/>
    <s v="conductor ferroviario"/>
    <s v="Si"/>
    <s v="Jovany Alberto Gómez Martinez"/>
    <s v="Soltero"/>
    <s v="BACHILLERATO"/>
    <s v="48"/>
    <s v="Conductor"/>
    <s v="Independiente (trabaja por cuenta propia)"/>
    <s v="conductor"/>
    <s v="No tiene empresa"/>
    <n v="1700000"/>
    <s v="No"/>
    <s v="NO"/>
    <s v="NO"/>
    <s v="Mi padre no vive conmigo; reside en el pueblo donde crecí, por lo tanto, no me aporta económicamente en mis gastos."/>
    <s v="Si"/>
    <s v="Dora Elena Bedoya Galeano"/>
    <s v="Casado"/>
    <s v="BACHILLERATO"/>
    <s v="48"/>
    <s v="No tiene"/>
    <s v="Labores del hogar y cuidado"/>
    <s v="No es empleada"/>
    <s v="No tiene"/>
    <n v="0"/>
    <s v="No"/>
    <s v="NO"/>
    <s v="NO"/>
    <s v="Mi madre no reside conmigo desde que yo tenía 5 años."/>
    <n v="1700000"/>
    <s v="No, vivo solo"/>
    <s v=""/>
    <s v=""/>
    <s v=""/>
    <s v=""/>
    <s v=""/>
    <m/>
    <s v=""/>
    <s v=""/>
    <s v=""/>
    <s v=""/>
    <s v=""/>
    <s v=""/>
    <m/>
    <s v=""/>
    <s v=""/>
    <s v=""/>
    <s v=""/>
    <s v=""/>
    <s v=""/>
    <m/>
    <s v=""/>
    <s v=""/>
    <n v="0"/>
    <n v="0"/>
    <n v="45000000"/>
    <n v="0"/>
    <n v="0"/>
    <s v="No"/>
    <s v=""/>
    <s v=""/>
    <n v="0"/>
    <s v="No"/>
    <s v=""/>
    <s v=""/>
    <n v="0"/>
    <s v="No"/>
    <s v=""/>
    <s v=""/>
    <s v=""/>
    <n v="0"/>
    <s v="Mi padre tiene una pequeña finca, que es donde vive actualmente, en el municipio donde crecí."/>
    <n v="3"/>
    <n v="4"/>
    <n v="4"/>
    <n v="4"/>
    <n v="3"/>
    <n v="4"/>
    <n v="3"/>
    <n v="4"/>
    <n v="4"/>
    <n v="3"/>
    <n v="36"/>
    <s v="SI"/>
    <m/>
    <s v="SI, SON TEX, EN LUGAR DE NOTAS TIENEN PCA"/>
    <s v="ok tienen todos los datos"/>
    <e v="#N/A"/>
    <e v="#N/A"/>
    <m/>
    <n v="3"/>
    <n v="10"/>
    <n v="10"/>
    <n v="5"/>
    <n v="15"/>
    <n v="15"/>
    <n v="15"/>
    <n v="20"/>
    <n v="19"/>
    <n v="79"/>
    <n v="0.7"/>
    <m/>
    <n v="3.5"/>
    <n v="4.5"/>
    <n v="8"/>
    <n v="3"/>
    <n v="3.5"/>
    <n v="4"/>
    <n v="8"/>
    <n v="4.5"/>
    <n v="80"/>
    <s v="80 - 100%"/>
    <n v="0.8"/>
    <e v="#N/A"/>
    <s v="se baja por tex"/>
    <m/>
    <n v="0"/>
    <m/>
    <m/>
    <s v="Mercadeo"/>
    <e v="#N/A"/>
    <s v="169"/>
    <e v="#N/A"/>
  </r>
  <r>
    <s v="CC"/>
    <n v="1001618311"/>
    <s v="1000374354"/>
    <s v="DANIEL FELIPE VILLEGAS CHAVARRIA"/>
    <s v="Estudios por primera vez"/>
    <x v="1"/>
    <s v="No cumple, puntaje ICFES menor a 300"/>
    <m/>
    <s v="En publico objetivo"/>
    <s v="3ra Cohorte"/>
    <s v="Admitido"/>
    <s v="dfvillegc1@eafit.edu.co"/>
    <s v="dfvillegc1@eafit.edu.co"/>
    <s v="danielv9023@gmail.com"/>
    <s v="573008892847"/>
    <d v="2025-05-30T00:00:00"/>
    <s v="Activo en Programa"/>
    <s v="084-Derecho"/>
    <s v="Escuela de Derecho"/>
    <d v="2002-03-23T00:00:00"/>
    <n v="23"/>
    <s v="Antioquia"/>
    <s v="Sabaneta"/>
    <s v="Hombre"/>
    <s v="Soltero"/>
    <s v="NO"/>
    <s v="NO"/>
    <n v="0"/>
    <s v="NO"/>
    <s v="NA"/>
    <s v="NO"/>
    <s v="NA"/>
    <s v="NO"/>
    <s v="NA"/>
    <s v="No"/>
    <s v="300/889-2847"/>
    <s v="573008892847"/>
    <s v="Estrato 2"/>
    <s v="CR 68#63 74"/>
    <s v="Antioquia"/>
    <s v="Itagui"/>
    <s v="No aplica, no soy foráneo"/>
    <s v="Arriendo"/>
    <s v="SI"/>
    <s v="2018"/>
    <s v="AC201821413186"/>
    <n v="287"/>
    <n v="64"/>
    <n v="61"/>
    <s v="Pública"/>
    <s v="I.E. CIUDAD ITAGUI"/>
    <n v="2018"/>
    <m/>
    <s v="Itagui"/>
    <s v="Tecnólogo"/>
    <s v="BACHILLER"/>
    <s v="TIPO: Pública, INSTITUCION: I.E. CIUDAD ITAGUI, AÑO: 2018, CIUDAD: Itagui, TITULO: BACHILLER"/>
    <s v="11"/>
    <s v="Escala de 0 - 5"/>
    <s v="Escala de 0 - 5"/>
    <s v="4"/>
    <s v="4"/>
    <m/>
    <s v="4"/>
    <s v="4"/>
    <m/>
    <n v="3.6"/>
    <n v="3.6"/>
    <m/>
    <n v="4"/>
    <n v="3.6"/>
    <m/>
    <s v="4"/>
    <s v="4"/>
    <m/>
    <s v="4,5"/>
    <s v="4,5"/>
    <m/>
    <s v="4"/>
    <s v="4"/>
    <m/>
    <s v="De 9 y 10"/>
    <n v="3.6999999999999997"/>
    <s v="NO"/>
    <s v="NA"/>
    <n v="0"/>
    <n v="0"/>
    <s v="No"/>
    <n v="50"/>
    <m/>
    <n v="50"/>
    <m/>
    <n v="50"/>
    <m/>
    <m/>
    <n v="50"/>
    <s v="Con detalle por componente"/>
    <s v="Trabajo social o comunitario,Espacios de liderazgo o representación social,Artísticas o culturales"/>
    <s v="Quiero ser la voz que inspire la justicia, la voz de las minorías y de aquellos que han sido víctimas del sistema, aquellos que por su color de piel son juzgados, a quellos que por su orientación sexual o nivel socio económico no son aceptados, quiero litigar y defender los derechos fundamentales que son en pilar de  nuestra sociedad."/>
    <s v="Redes sociales"/>
    <s v="Por la oferta académica."/>
    <s v="Vocación."/>
    <n v="0"/>
    <s v="1"/>
    <s v="NO"/>
    <s v="NO"/>
    <s v="Entre 2 y 3 millones"/>
    <s v="No"/>
    <n v="0"/>
    <n v="0"/>
    <m/>
    <s v="SI"/>
    <s v="Beca"/>
    <s v="SI"/>
    <s v="CONTACTO SOLUTIONS"/>
    <s v="ANALISTA DE DATOS"/>
    <s v="Si"/>
    <s v="Oliverio Antonio villegas cuervo"/>
    <m/>
    <m/>
    <m/>
    <s v="Sin profesión/ sin oficio"/>
    <s v="Labores del hogar y cuidado"/>
    <s v="Sin información"/>
    <s v="Sin información"/>
    <n v="0"/>
    <s v="No"/>
    <m/>
    <m/>
    <s v="Adulto mayor."/>
    <s v="No, fallecida"/>
    <s v=""/>
    <m/>
    <m/>
    <m/>
    <s v=""/>
    <s v=""/>
    <m/>
    <s v=""/>
    <m/>
    <s v=""/>
    <m/>
    <m/>
    <s v="Fallecida"/>
    <n v="0"/>
    <s v="No, vivo solo"/>
    <s v=""/>
    <s v=""/>
    <s v=""/>
    <s v=""/>
    <s v=""/>
    <m/>
    <s v=""/>
    <s v=""/>
    <s v=""/>
    <s v=""/>
    <s v=""/>
    <s v=""/>
    <m/>
    <s v=""/>
    <s v=""/>
    <s v=""/>
    <s v=""/>
    <s v=""/>
    <s v=""/>
    <m/>
    <s v=""/>
    <s v=""/>
    <n v="30000000"/>
    <n v="0"/>
    <n v="0"/>
    <n v="0"/>
    <n v="0"/>
    <s v="No"/>
    <s v=""/>
    <s v=""/>
    <n v="0"/>
    <s v="No"/>
    <s v=""/>
    <s v=""/>
    <n v="0"/>
    <s v="No"/>
    <s v=""/>
    <s v=""/>
    <s v=""/>
    <n v="0"/>
    <m/>
    <n v="4"/>
    <n v="4"/>
    <n v="3"/>
    <n v="4"/>
    <n v="3"/>
    <n v="4"/>
    <n v="3"/>
    <n v="4"/>
    <n v="3"/>
    <n v="3"/>
    <n v="35"/>
    <s v="SI"/>
    <m/>
    <s v="SI, SON PRI"/>
    <s v="ok tienen todos los datos"/>
    <e v="#N/A"/>
    <e v="#N/A"/>
    <m/>
    <n v="2"/>
    <n v="10"/>
    <n v="10"/>
    <n v="0"/>
    <n v="10"/>
    <n v="15"/>
    <n v="20"/>
    <n v="19"/>
    <n v="18"/>
    <n v="73"/>
    <n v="0.5"/>
    <m/>
    <n v="3.5"/>
    <n v="3.5"/>
    <n v="8"/>
    <n v="3"/>
    <n v="3.5"/>
    <n v="3"/>
    <n v="8"/>
    <n v="4.5"/>
    <n v="74"/>
    <n v="0.7"/>
    <n v="0.6"/>
    <e v="#N/A"/>
    <m/>
    <m/>
    <n v="0"/>
    <m/>
    <m/>
    <s v="Derecho"/>
    <e v="#N/A"/>
    <s v="084"/>
    <e v="#N/A"/>
  </r>
  <r>
    <s v="CC"/>
    <n v="1002065335"/>
    <s v="1000344995"/>
    <s v="CRISTIAN FERNANDO SUCERQUIA VÁSQUEZ"/>
    <s v="Estudios por primera vez"/>
    <x v="1"/>
    <s v="Descartado por bajo icfes"/>
    <m/>
    <s v="En publico objetivo"/>
    <s v="2da Cohorte"/>
    <s v="Admitido"/>
    <s v="cfsucerquv@eafit.edu.co"/>
    <e v="#N/A"/>
    <s v="christiansucerquia20@gmail.com"/>
    <s v="573158778159"/>
    <d v="2025-05-16T00:00:00"/>
    <s v="Activo en Programa"/>
    <s v="112-Comunicación Social"/>
    <s v="Escuela de Artes y Humanidades"/>
    <d v="1999-12-10T00:00:00"/>
    <n v="25"/>
    <s v="Chocó"/>
    <s v="Bahía Solano"/>
    <s v="Hombre"/>
    <s v="Soltero"/>
    <s v="NO"/>
    <s v="NO"/>
    <n v="0"/>
    <s v="NO"/>
    <s v="NA"/>
    <s v="NO"/>
    <s v="NA"/>
    <s v="NO"/>
    <s v="NA"/>
    <s v="No"/>
    <s v="315/877-8159"/>
    <s v="573158778159"/>
    <s v="Estrato 2"/>
    <s v="Cr 50 # 43 -5 Copacabana"/>
    <s v="Antioquia"/>
    <s v="Copacabana"/>
    <s v="No aplica, no soy foráneo"/>
    <s v="Propio"/>
    <s v="SI"/>
    <s v="2017"/>
    <s v="AC201723699865"/>
    <n v="301"/>
    <n v="57"/>
    <n v="63"/>
    <s v="Pública"/>
    <s v="JOSE MIGUEL DE RESTREPO Y PUER"/>
    <n v="2017"/>
    <m/>
    <s v="Copacabana"/>
    <s v="Tecnólogo"/>
    <s v="BACHILLER"/>
    <s v="TIPO: Pública, INSTITUCION: JOSE MIGUEL DE RESTREPO Y PUER, AÑO: 2017, CIUDAD: Copacabana, TITULO: BACHILLER"/>
    <s v="12"/>
    <s v="Escala Cualitativa"/>
    <s v="Escala de 0 - 5"/>
    <s v="4"/>
    <s v="4"/>
    <s v="4"/>
    <s v="4"/>
    <s v="4"/>
    <s v="5"/>
    <n v="4"/>
    <n v="4"/>
    <n v="4"/>
    <n v="4.5"/>
    <n v="4"/>
    <n v="4"/>
    <s v="4"/>
    <s v="4,5"/>
    <s v="5"/>
    <s v="4"/>
    <s v="5"/>
    <s v="5"/>
    <s v="4"/>
    <s v="4,5"/>
    <s v="4"/>
    <s v="De 9, 10 y 11"/>
    <n v="4.083333333333333"/>
    <s v="NO"/>
    <s v="NA"/>
    <n v="0"/>
    <n v="0"/>
    <s v="No"/>
    <n v="45"/>
    <m/>
    <n v="50"/>
    <m/>
    <n v="45"/>
    <m/>
    <m/>
    <n v="46.666666666666664"/>
    <s v="Con detalle por componente"/>
    <s v="Artísticas o culturales,Espacios de liderazgo o representación social,Trabajo social o comunitario"/>
    <s v="Me visualizo ejerciendo la Comunicación Social con un enfoque humano, cultural y educativo. Desde ya participo activamente en voluntariados, donde he descubierto mi pasión por escuchar a las personas, comprender sus historias y contribuir desde la empatía. Siento que tengo el don de saber escuchar, algo fundamental para transformar realidades a través del diálogo._x000a__x000a_Me apasionan la ciencia y la cultura, y sueño con fortalecer mi proyecto comunicativo actual, que desarrollo en plataformas como Facebook y TikTok. A través de estos espacios he logrado conectar con públicos diversos y he tenido la oportunidad de compartir charlas con referentes como JulioProfe y Yajaira Sierra Sastre, científica que ha trabajado con la NASA. Este proyecto busca acercar el conocimiento de manera creativa, accesible y significativa._x000a__x000a_Obtener esta beca no solo me permitiría formarme profesionalmente con calidad, sino también potenciar el impacto de mi labor en la comunidad. Quiero aportar a la transformación de mi región visibilizando historias, promoviendo el pensamiento crítico y fortaleciendo nuestra identidad cultural. Estoy convencido de que la comunicación tiene el poder de sembrar conciencia y construir futuro, y con esta oportunidad quiero seguir creciendo para servir."/>
    <s v="Redes sociales"/>
    <s v="Por la calidad académica."/>
    <s v="Vocación."/>
    <n v="1"/>
    <s v="2"/>
    <s v="NO"/>
    <s v="NO"/>
    <s v="Entre 1 y 2 millones"/>
    <s v="No"/>
    <n v="0"/>
    <n v="0"/>
    <m/>
    <s v="SI"/>
    <m/>
    <s v="NO"/>
    <s v=""/>
    <s v=""/>
    <s v="Si"/>
    <s v="Alexis Fernando Sucerquia Rodríguez"/>
    <s v="Unión marital"/>
    <s v="PRIMARIA"/>
    <s v="48"/>
    <s v="Operario de Producción."/>
    <s v="Empleado (con contrato laboral)"/>
    <s v="Operario de Protección."/>
    <s v="La Casa del Didáctico."/>
    <n v="1423500"/>
    <s v="No"/>
    <s v="NO"/>
    <s v="NO"/>
    <s v="Aunque la situación con mi padre no es la mejor, debo aclarar que se esforzó hasta donde pudo para darme una buena educación primaria."/>
    <s v="Si"/>
    <s v="Ismelda Inés Vásquez Jaramillo"/>
    <s v="Soltero"/>
    <s v="PRIMARIA"/>
    <s v="45"/>
    <s v="Tendera."/>
    <s v="Trabajador informal"/>
    <s v="Tendera."/>
    <s v="Kiosko Verde-Azul."/>
    <n v="1000000"/>
    <s v="No"/>
    <s v="NO"/>
    <s v="NO"/>
    <s v="A mi madre le debo la vida, mi curiosidad, mi voluntad inquebrantable y mi empatía por cualquier forma de vida."/>
    <n v="2423500"/>
    <s v="Si"/>
    <s v="María Daniela Sucerquia Vásquez"/>
    <s v="Hermano / Hermana"/>
    <s v="23"/>
    <s v="Mercaimpulsadora."/>
    <s v="Visión&amp;Marketing."/>
    <n v="1423500"/>
    <s v="Si"/>
    <s v=""/>
    <s v=""/>
    <s v=""/>
    <s v=""/>
    <s v=""/>
    <m/>
    <s v=""/>
    <s v=""/>
    <s v=""/>
    <s v=""/>
    <s v=""/>
    <s v=""/>
    <m/>
    <s v=""/>
    <s v=""/>
    <n v="0"/>
    <n v="60000000"/>
    <n v="0"/>
    <n v="0"/>
    <n v="0"/>
    <s v="No"/>
    <s v=""/>
    <s v=""/>
    <n v="0"/>
    <s v="No"/>
    <s v=""/>
    <s v=""/>
    <n v="0"/>
    <s v="No"/>
    <s v=""/>
    <s v=""/>
    <s v=""/>
    <n v="0"/>
    <s v="El apartamento en donde vivo actualmente, se está pagando por medio de subsidio."/>
    <n v="4"/>
    <n v="4"/>
    <n v="4"/>
    <n v="4"/>
    <n v="4"/>
    <n v="4"/>
    <n v="3"/>
    <n v="4"/>
    <n v="4"/>
    <n v="4"/>
    <n v="39"/>
    <s v="SI"/>
    <m/>
    <s v="SI, SON PRI"/>
    <s v="ok tienen todos los datos"/>
    <e v="#N/A"/>
    <e v="#N/A"/>
    <m/>
    <n v="2"/>
    <n v="10"/>
    <n v="10"/>
    <n v="5"/>
    <n v="15"/>
    <n v="15"/>
    <n v="20"/>
    <n v="17"/>
    <n v="17"/>
    <n v="82"/>
    <n v="0.5"/>
    <m/>
    <n v="3.5"/>
    <n v="2.5"/>
    <n v="8"/>
    <n v="3"/>
    <n v="3.5"/>
    <n v="2.5"/>
    <n v="8"/>
    <n v="3"/>
    <n v="82"/>
    <n v="0.6"/>
    <n v="0.6"/>
    <e v="#N/A"/>
    <m/>
    <m/>
    <n v="0"/>
    <m/>
    <m/>
    <s v="Comunicación Social"/>
    <e v="#N/A"/>
    <s v="112"/>
    <e v="#N/A"/>
  </r>
  <r>
    <s v="CC"/>
    <n v="1007420930"/>
    <s v="1000406089"/>
    <s v="JUAN SEBASTIAN NAVARRO OSORIO"/>
    <s v="Transferencia Externa"/>
    <x v="1"/>
    <s v="No cumple, otros estudios de pregrado"/>
    <m/>
    <s v="En publico objetivo"/>
    <s v="2da Cohorte"/>
    <s v="Admitido"/>
    <s v="jsnavarroo@eafit.edu.co"/>
    <e v="#N/A"/>
    <s v="j.s.navarro0323@gmail.com"/>
    <s v="573153305028"/>
    <d v="2025-05-16T00:00:00"/>
    <s v="Activo en Programa"/>
    <s v="168-Psicología"/>
    <s v="Escuela de Artes y Humanidades"/>
    <d v="2002-03-23T00:00:00"/>
    <n v="23"/>
    <s v="Antioquia"/>
    <s v="Itagui"/>
    <s v="Hombre"/>
    <s v="Soltero"/>
    <s v="NO"/>
    <s v="NO"/>
    <n v="0"/>
    <s v="NO"/>
    <s v="NA"/>
    <s v="NO"/>
    <s v="NA"/>
    <s v="NO"/>
    <s v="NA"/>
    <s v="No"/>
    <s v="315/330-5028"/>
    <s v="573153305028"/>
    <s v="Estrato 3"/>
    <s v="CL 39 SUR #25 B- 130"/>
    <s v="Antioquia"/>
    <s v="Envigado"/>
    <s v="No aplica, no soy foráneo"/>
    <s v="Arriendo"/>
    <s v="SI"/>
    <s v="2018"/>
    <s v="AC201822606069"/>
    <n v="338"/>
    <n v="64"/>
    <n v="65"/>
    <s v="Pública"/>
    <s v="INSTITUCION EDUCATIVA ALEJANDR"/>
    <n v="2018"/>
    <m/>
    <s v="Envigado"/>
    <s v="Tecnólogo"/>
    <s v="BACHILLER"/>
    <s v="TIPO: Pública, INSTITUCION: INSTITUCION EDUCATIVA ALEJANDR, AÑO: 2018, CIUDAD: Envigado, TITULO: BACHILLER"/>
    <n v="0"/>
    <n v="0"/>
    <s v="PCA TEX"/>
    <m/>
    <m/>
    <m/>
    <m/>
    <m/>
    <m/>
    <m/>
    <m/>
    <m/>
    <m/>
    <m/>
    <m/>
    <m/>
    <m/>
    <m/>
    <m/>
    <m/>
    <m/>
    <m/>
    <m/>
    <m/>
    <s v="Ver PCA TEX"/>
    <n v="4"/>
    <s v="SI"/>
    <s v="TIPO: Pública, INSTITUCION: INSTITUCION UNV. DE ENVIGADO, AÑO: 0, CIUDAD: Envigado, TITULO: PSICOLOGO (Envigado) | TIPO: Pública, INSTITUCION: SERVICIO NACIONAL DE APRENDIZA, AÑO: 2020, CIUDAD: Medellín, TITULO: TECNÓLOGO EN GESTIÓN DE TALENTO HUMANO"/>
    <s v="PREGRADO"/>
    <s v=" TITULO: PSICOLOGO (Envigado) | TIPO: Pública"/>
    <s v="No"/>
    <n v="40"/>
    <m/>
    <n v="40"/>
    <m/>
    <n v="40"/>
    <m/>
    <s v="Admitido al programa que se inscribió"/>
    <n v="40"/>
    <s v="Con detalle por componente"/>
    <s v="Trabajo social o comunitario,Artísticas o culturales"/>
    <s v="Actualmente, estoy ejecutando proyectos sociales a nivel nacional e iniciando una fundación legalmente constituida, con proyección a internacionalización y establecimiento de alianzas de cooperación. _x000a__x000a_Siendo conocedor del enfoque que otorga la psicología, estoy convencido de que la Universidad EAFIT tiene la mejor infraestructura, malla curricular y estrategias educativas para potenciar no solo el desarrollo de mi proyecto social, sino el desarrollo profesional como psicólogo, obteniendo más herramientas y conocimiento para una intervención y planeación de proyectos sociales más acertados y con un impacto de transformación multiplicado."/>
    <s v="Estudiantes de EAFIT"/>
    <s v="Por la infraestructura."/>
    <s v="Vocación."/>
    <n v="3"/>
    <s v="1"/>
    <s v="SI"/>
    <s v="NO"/>
    <s v="Entre 4 y 5 millones"/>
    <s v="No"/>
    <s v="NO"/>
    <n v="0"/>
    <m/>
    <s v="SI"/>
    <m/>
    <s v="NO"/>
    <s v=""/>
    <s v=""/>
    <s v="Si"/>
    <s v="Oscar Javier Navarro Quevedo"/>
    <m/>
    <m/>
    <m/>
    <s v="N/A"/>
    <s v="Otra"/>
    <s v="N/A"/>
    <s v="N/A"/>
    <n v="0"/>
    <s v="No"/>
    <m/>
    <m/>
    <s v=""/>
    <s v="Si"/>
    <s v="Sandra Milena Osorio Quintero"/>
    <s v="Soltero"/>
    <s v="TECNOLOGÍA"/>
    <s v="45"/>
    <s v="Tecnóloga en gestión administrativa"/>
    <s v="Empleado (con contrato laboral)"/>
    <s v="Directora Administrativa"/>
    <s v="Fabrica ROYAL"/>
    <n v="4500000"/>
    <s v="Si"/>
    <s v="NO"/>
    <s v="NO"/>
    <s v="Madre cabeza de hogar"/>
    <n v="4500000"/>
    <s v="Si"/>
    <s v="Nelly de Jesús Quintero"/>
    <s v="Abuelo / Abuela"/>
    <s v="76"/>
    <s v="Ama de casa"/>
    <s v="N/A"/>
    <n v="800000"/>
    <s v="No"/>
    <s v="Juan Esteban Navarro Osorio"/>
    <s v="Hermano / Hermana"/>
    <s v="20"/>
    <s v="N/a"/>
    <s v="N/A"/>
    <n v="0"/>
    <s v="No"/>
    <s v=""/>
    <s v=""/>
    <s v=""/>
    <s v=""/>
    <s v=""/>
    <m/>
    <s v=""/>
    <s v=""/>
    <n v="0"/>
    <n v="55288000"/>
    <n v="0"/>
    <n v="0"/>
    <n v="0"/>
    <s v="Si"/>
    <s v="Renault"/>
    <s v="2020"/>
    <n v="30000000"/>
    <s v="No"/>
    <s v=""/>
    <s v=""/>
    <n v="0"/>
    <s v="No"/>
    <s v=""/>
    <s v=""/>
    <s v=""/>
    <n v="0"/>
    <m/>
    <n v="3"/>
    <n v="4"/>
    <n v="4"/>
    <n v="4"/>
    <n v="3"/>
    <n v="4"/>
    <n v="3"/>
    <n v="4"/>
    <n v="4"/>
    <n v="3"/>
    <n v="36"/>
    <s v="SI"/>
    <m/>
    <s v="SI, SON TEX, EN LUGAR DE NOTAS TIENEN PCA"/>
    <s v="ok tienen todos los datos"/>
    <e v="#N/A"/>
    <e v="#N/A"/>
    <m/>
    <n v="3"/>
    <n v="10"/>
    <n v="8"/>
    <n v="10"/>
    <n v="15"/>
    <n v="15"/>
    <n v="10"/>
    <n v="16.5"/>
    <n v="16"/>
    <n v="76"/>
    <n v="0.5"/>
    <m/>
    <n v="3.5"/>
    <n v="3.5"/>
    <n v="6"/>
    <n v="3"/>
    <n v="3.5"/>
    <n v="3"/>
    <n v="7"/>
    <n v="3"/>
    <n v="74.5"/>
    <n v="0.5"/>
    <n v="0.5"/>
    <e v="#N/A"/>
    <m/>
    <m/>
    <n v="0"/>
    <m/>
    <m/>
    <s v="Psicología"/>
    <e v="#N/A"/>
    <s v="168"/>
    <e v="#N/A"/>
  </r>
  <r>
    <s v="CC"/>
    <n v="1010086568"/>
    <s v="1000402441"/>
    <s v="CARLOS DANIEL VALLEJO CASTRILLÓN"/>
    <s v="Transferencia Externa"/>
    <x v="2"/>
    <s v="No cumple, puntaje ICFES menor a 300"/>
    <m/>
    <s v="En publico objetivo"/>
    <s v="1er Cohorte"/>
    <s v="Admitido"/>
    <s v="cdvallejoc@eafit.edu.co"/>
    <s v="cdvallejoc@eafit.edu.co"/>
    <s v="carlosdanielvallejocastrillon@gmail.com"/>
    <s v="573054572034"/>
    <d v="2025-04-25T00:00:00"/>
    <s v="Activo en Programa"/>
    <s v="230-Ingeniería Agronómica"/>
    <s v="E Ciencias Aplic e Ingeniería"/>
    <d v="1999-01-26T00:00:00"/>
    <n v="26"/>
    <s v="Antioquia"/>
    <s v="Rionegro"/>
    <s v="Hombre"/>
    <s v="Soltero"/>
    <s v="NO"/>
    <s v="NO"/>
    <n v="0"/>
    <s v="NO"/>
    <s v="NA"/>
    <s v="NO"/>
    <s v="NA"/>
    <s v="NO"/>
    <s v="NA"/>
    <s v="No"/>
    <s v="319/530-0672"/>
    <s v="573054572034"/>
    <s v="Estrato 2"/>
    <s v="CL 126 A 43 A 72 IN 101"/>
    <s v="Antioquia"/>
    <s v="Medellín"/>
    <s v="Si"/>
    <s v="Propio"/>
    <s v="SI"/>
    <s v="2021"/>
    <s v="AC202144895769"/>
    <n v="233"/>
    <n v="47"/>
    <n v="52"/>
    <s v="Pública"/>
    <s v="I. E. PUEBLO NUEVO"/>
    <n v="2021"/>
    <s v="Antioquia"/>
    <s v="Amalfi"/>
    <s v="BACHILLER"/>
    <s v="ACAD"/>
    <s v="TIPO: Pública, INSTITUCION: I. E. PUEBLO NUEVO, AÑO: 2021, CIUDAD: Amalfi, TITULO: BACHILLER"/>
    <n v="0"/>
    <n v="0"/>
    <s v="PCA TEX"/>
    <m/>
    <m/>
    <m/>
    <m/>
    <m/>
    <m/>
    <m/>
    <m/>
    <m/>
    <m/>
    <m/>
    <m/>
    <m/>
    <m/>
    <m/>
    <m/>
    <m/>
    <m/>
    <m/>
    <m/>
    <m/>
    <s v="Ver PCA TEX"/>
    <n v="4.0999999999999996"/>
    <s v="SI"/>
    <s v="TIPO: Pública, INSTITUCION: INSTITUTO DE EDUCACION TECNICA, AÑO: 0, CIUDAD: Roldanillo, TITULO: TÉCNICO CONTABLE Y FINANZAS"/>
    <s v="TECNICA"/>
    <s v=" TITULO: TÉCNICO CONTABLE Y FINANZAS"/>
    <s v="No"/>
    <n v="50"/>
    <m/>
    <n v="50"/>
    <m/>
    <n v="50"/>
    <m/>
    <m/>
    <n v="50"/>
    <s v="Con detalle por componente"/>
    <s v="Deportistas de alto rendimiento o representativo,Espacios de liderazgo o representación social,Trabajo social o comunitario"/>
    <s v="Me visualizo ejerciendo y ejecutando Ingeniería Agronómica_x000a__x000a_&quot;Mi deseo de impulsar el desarrollo agrícola sostenible y fortalecer la agroindustria de la panela me ha llevado a elegir la Ingeniería Agronómica como mi camino profesional. A través de esta formación, podré aplicar técnicas avanzadas para optimizar la producción y transformar la panela en su presentación pulverizada, generando un producto más versátil y competitivo en el mercado. Esta innovación no solo mejorará la comercialización, sino que también beneficiará a los productores de Amalfi, Antioquia, asegurando mayores oportunidades económicas sin perder la esencia cultural del producto. Con un enfoque en sostenibilidad y desarrollo comunitario, mi objetivo es combinar conocimiento técnico y visión emprendedora para posicionar la panela pulverizada como una alternativa moderna y accesible.&quot;_x000a__x000a__x000a_Nota: Quiero resaltar mi visión y compromiso por el proyecto aplicando desde el primer semestre de la carrera de Ingeniería Agronómica mis conocimientos técnicos adquiridos previa mente en las áreas de contabilidad y finanzas y herramientas ofimáticas, como Excel, Word, PowerPoint, Power BI, etc. para llevar un correcto análisis de información, realizar investigaciones de mercado y clientes potenciales, crear y mejorar el logotipo del producto y marca, hacer presentaciones desde el inicio del proceso, para tener evidencias del paso a paso del producto &quot;Panela&quot; esto me servirá como trabajo final en la carrea para apalancar mis conocimientos adquiridos y que aprenderé en la universidad EAFIT. También cabe resaltar que tengo en el lugar del proceso de panela. sembrado la materia prima de la panela común mente conocida como &quot;la caña de azúcar&quot;. soy Productor activo en la comunidad desde muy temprana edad por eso quiero concentrarme en esta problemática, por el hecho que conozco muy bien todo su proceso desde el arado, sembrado, cosecha, recolección, producción y comercialización._x000a__x000a__x000a_Saludos,"/>
    <s v="Página WEB"/>
    <s v="Universidad reconocida."/>
    <s v="Vocación."/>
    <n v="2"/>
    <s v="2"/>
    <s v="NO"/>
    <s v="NO"/>
    <s v="Entre 1 y 2 millones"/>
    <s v="Si"/>
    <n v="0"/>
    <s v="SI"/>
    <m/>
    <n v="0"/>
    <m/>
    <s v="SI"/>
    <s v="DISTRI PLAZA"/>
    <s v="AYUDANTE CONSTRUCCIÓN"/>
    <s v="No, fallecido"/>
    <n v="0"/>
    <m/>
    <m/>
    <m/>
    <s v=""/>
    <s v=""/>
    <m/>
    <s v=""/>
    <m/>
    <s v=""/>
    <m/>
    <m/>
    <s v="No Aplica"/>
    <s v="Si"/>
    <s v="Ayde Alexandra vallejo castrillón"/>
    <s v="Soltero"/>
    <s v="PRIMARIA"/>
    <s v="50"/>
    <s v="oficios varios"/>
    <s v="Empleado (con contrato laboral)"/>
    <s v="Auxiliar de belleza"/>
    <s v="Apoyo Empresarial"/>
    <n v="1423500"/>
    <s v="Si"/>
    <s v="NO"/>
    <s v="NO"/>
    <s v="Mi madres una mujer fuerte y de liderazgo, actualmente cuenta con problemas de salud y con 2 cirugías en el brazo izquierdo por motivos de nervios cubitales. lo cual la lleva a desarrollar actividades que no conlleven levantar peso o hacer maniobras exigentes en sus manos"/>
    <n v="1423500"/>
    <s v="No, solo vivo con mis padres"/>
    <s v=""/>
    <s v=""/>
    <s v=""/>
    <s v=""/>
    <s v=""/>
    <m/>
    <s v=""/>
    <s v=""/>
    <s v=""/>
    <s v=""/>
    <s v=""/>
    <s v=""/>
    <m/>
    <s v=""/>
    <s v=""/>
    <s v=""/>
    <s v=""/>
    <s v=""/>
    <s v=""/>
    <m/>
    <s v=""/>
    <s v=""/>
    <n v="0"/>
    <n v="35000000"/>
    <n v="0"/>
    <n v="0"/>
    <n v="0"/>
    <s v="No"/>
    <s v=""/>
    <s v=""/>
    <n v="0"/>
    <s v="No"/>
    <s v=""/>
    <s v=""/>
    <n v="0"/>
    <s v="No"/>
    <s v=""/>
    <s v=""/>
    <s v=""/>
    <n v="0"/>
    <s v="No aplica"/>
    <n v="4"/>
    <n v="4"/>
    <n v="4"/>
    <n v="4"/>
    <n v="3"/>
    <n v="4"/>
    <n v="3"/>
    <n v="4"/>
    <n v="4"/>
    <n v="3"/>
    <n v="37"/>
    <s v="SI"/>
    <m/>
    <s v="SI, SON TEX, EN LUGAR DE NOTAS TIENEN PCA"/>
    <s v="ok tienen todos los datos"/>
    <s v="Negada"/>
    <n v="20251"/>
    <m/>
    <n v="3"/>
    <n v="10"/>
    <n v="10"/>
    <n v="0"/>
    <n v="15"/>
    <n v="15"/>
    <n v="20"/>
    <n v="17"/>
    <n v="17"/>
    <n v="77"/>
    <n v="0.5"/>
    <m/>
    <n v="3.5"/>
    <n v="2.5"/>
    <n v="8"/>
    <n v="3"/>
    <n v="3.5"/>
    <n v="2.5"/>
    <n v="8"/>
    <n v="3"/>
    <n v="77"/>
    <n v="0.6"/>
    <s v="Negado"/>
    <e v="#N/A"/>
    <m/>
    <m/>
    <n v="0"/>
    <m/>
    <m/>
    <s v="Ingeniería Agronómica"/>
    <e v="#N/A"/>
    <m/>
    <e v="#N/A"/>
  </r>
  <r>
    <s v="CC"/>
    <n v="1010126194"/>
    <s v="1000407293"/>
    <s v="JOSE CARLOS MOLINA RICO"/>
    <s v="Estudios por primera vez"/>
    <x v="1"/>
    <s v="Descartado por ingresos altos"/>
    <m/>
    <s v="En publico objetivo"/>
    <s v="2da Cohorte"/>
    <s v="Admitido"/>
    <s v="jcmolinar1@eafit.edu.co"/>
    <e v="#N/A"/>
    <s v="josecmolina10@gmail.com"/>
    <s v="573007804015"/>
    <d v="2025-05-16T00:00:00"/>
    <s v="Activo en Programa"/>
    <s v="199-Finanzas"/>
    <s v="E.Finanzas, Economía, Gobierno"/>
    <d v="2003-05-10T00:00:00"/>
    <n v="22"/>
    <s v="Cesar"/>
    <s v="Valledupar"/>
    <s v="Hombre"/>
    <s v="Soltero"/>
    <s v="NO"/>
    <s v="NO"/>
    <n v="0"/>
    <s v="NO"/>
    <s v="NA"/>
    <s v="NO"/>
    <s v="NA"/>
    <s v="NO"/>
    <s v="NA"/>
    <s v="No"/>
    <s v="573007804015"/>
    <s v="573007804015"/>
    <s v="Estrato 2"/>
    <s v="CL 8 A 22 15"/>
    <s v="Cesar"/>
    <s v="Valledupar"/>
    <s v="Si"/>
    <s v="Familiar"/>
    <s v="SI"/>
    <s v="2019"/>
    <s v="AC201942926004"/>
    <n v="385"/>
    <n v="80"/>
    <n v="79"/>
    <s v="Privada"/>
    <s v="COL. SANTA FE"/>
    <n v="2019"/>
    <s v="Cesar"/>
    <s v="Valledupar"/>
    <s v="BACHILLER"/>
    <s v="ACAD"/>
    <s v="TIPO: Privada, INSTITUCION: COL. SANTA FE, AÑO: 2019, CIUDAD: Valledupar, TITULO: BACHILLER"/>
    <s v="11"/>
    <s v="Escala de 0 - 100"/>
    <s v="Escala de 0 - 100"/>
    <s v="71"/>
    <s v="69"/>
    <m/>
    <s v="70"/>
    <s v="69"/>
    <m/>
    <n v="80"/>
    <n v="69"/>
    <m/>
    <n v="69"/>
    <n v="76"/>
    <m/>
    <s v="77"/>
    <s v="69"/>
    <m/>
    <s v="76"/>
    <s v="80"/>
    <m/>
    <s v="80"/>
    <s v="74"/>
    <m/>
    <s v="De 9 y 10"/>
    <n v="73.5"/>
    <s v="NO"/>
    <s v="NA"/>
    <n v="0"/>
    <n v="0"/>
    <s v="No"/>
    <n v="40"/>
    <s v="Práctica el fútbol _x000a_Musica toca guitarra"/>
    <n v="40"/>
    <m/>
    <n v="40"/>
    <m/>
    <s v="Tiene 22 años, empezó Medicina y Economia"/>
    <n v="40"/>
    <s v="Con detalle por componente"/>
    <s v="Artísticas o culturales"/>
    <s v="Me visualizo como profesional en finanzas trabajando en entidades públicas o privadas, como bancos, fondos de inversión o consultoras, donde pueda desarrollar análisis de mercado, gestionar riesgos financieros y optimizar la rentabilidad del capital. También me veo liderando estrategias de inversión de corto y mediano plazo, con resultados positivos y sostenibles para las organizaciones._x000a__x000a_Obtener esta beca representa para mí la posibilidad de cumplir mi sueño de ser profesional y llevar ese conocimiento de vuelta a mi región, Valledupar. En mi comunidad, el manejo del dinero es una habilidad poco desarrollada; muchas personas, incluso empresarios, toman decisiones sin una base financiera sólida, lo que genera ciclos de endeudamiento, escaso ahorro y poca planificación. Las finanzas deberían enseñarse desde edades tempranas, pero hoy siguen siendo un gran vacío en nuestra educación._x000a__x000a_Quiero ser un ejemplo local que demuestre que sí es posible transformar vidas a través del buen uso del dinero. Aspiro a impulsar proyectos de educación financiera en colegios, barrios y pequeñas empresas, fomentando una cultura de ahorro, inversión responsable y análisis crítico del gasto. Además, desde el sector público, deseo contribuir al uso eficiente de los recursos, promoviendo transparencia y decisiones más acertadas para el bienestar común._x000a__x000a_Esta beca no solo aliviaría una carga económica, sino que me permitiría dedicarme con más enfoque a mi formación y, a futuro, devolver ese conocimiento con impacto. Estoy convencido de que las finanzas bien aplicadas son una herramienta poderosa para generar progreso, construir riqueza y fortalecer tanto a las personas como a las instituciones de nuestra región y del país."/>
    <s v="Página WEB"/>
    <s v="Proyección laboral."/>
    <s v="Vocación."/>
    <n v="3"/>
    <s v="2"/>
    <s v="SI"/>
    <s v="NO"/>
    <s v="Entre 4 y 5 millones"/>
    <s v="No"/>
    <n v="0"/>
    <n v="0"/>
    <m/>
    <s v="SI"/>
    <s v="Beca"/>
    <s v="NO"/>
    <s v=""/>
    <s v=""/>
    <s v="Sin información"/>
    <n v="0"/>
    <m/>
    <m/>
    <m/>
    <s v=""/>
    <s v=""/>
    <m/>
    <s v=""/>
    <m/>
    <s v=""/>
    <m/>
    <m/>
    <s v="Aunque no vivo con mi papá, intento mantener una relación cercana con él y nos vemos con cierta regularidad. Si bien su presencia emocional ha sido intermitente y no contribuye económicamente a mi sostenimiento, valoro los momentos en los que compartimos y sigo trabajando en fortalecer ese vínculo."/>
    <s v="Si"/>
    <s v="Adriana Carolina Rico Pianeta"/>
    <s v="Casado"/>
    <s v="ESPECIALIZACIÓN"/>
    <s v="43"/>
    <s v="Ejecutiva Comercial"/>
    <s v="Empleado (con contrato laboral)"/>
    <s v="Ejecutiva Senior"/>
    <s v="Bancolombia S.A."/>
    <n v="5416316"/>
    <s v="Si"/>
    <s v="NO"/>
    <s v="NO"/>
    <s v="Mi madre ha sido, sin lugar a dudas, la persona más constante e incondicional en mi vida. Su apoyo ha sido total, no solo en lo material, sino sobre todo en lo emocional. Ha estado presente en cada etapa de mi crecimiento, guiándome, motivándome y dándome fuerza incluso en los momentos más difíciles. Su entrega, sacrificio y amor han sido fundamentales para que hoy esté persiguiendo mis sueños.Ella no solo ha asumido el rol de madre, sino también de guía, consejera y motor de mi vida. Gracias a su esfuerzo diario y su ejemplo de responsabilidad y valentía, he aprendido a luchar con determinación por lo que quiero. Mi madre lo ha sido todo para mí&amp;#58; mi base, mi mayor impulso y el pilar sobre el cual he construido mis metas y mi carácter."/>
    <n v="5416316"/>
    <s v="Si"/>
    <s v="Abigail Torres Rico"/>
    <s v="Hermano / Hermana"/>
    <s v="8"/>
    <s v="Estudiante"/>
    <s v="Kingston College"/>
    <n v="0"/>
    <s v="No"/>
    <s v="Matias Torres Rico"/>
    <s v="Hermano / Hermana"/>
    <s v="12"/>
    <s v="Estudiante"/>
    <s v="Kingston College"/>
    <n v="0"/>
    <s v="No"/>
    <s v=""/>
    <s v=""/>
    <s v=""/>
    <s v=""/>
    <s v=""/>
    <m/>
    <s v=""/>
    <s v="Vivo con mi mamá y mis dos hermanos, quienes han sido mi núcleo de apoyo más cercano. En casa compartimos responsabilidades y nos respaldamos en lo emocional y lo cotidiano. Mi madre es la figura central en nuestro hogar, y junto con mis hermanos hemos formado una familia unida y solidaria."/>
    <n v="0"/>
    <n v="0"/>
    <n v="0"/>
    <n v="0"/>
    <n v="0"/>
    <s v="Si"/>
    <s v="dodge journey"/>
    <s v="2016"/>
    <n v="45000000"/>
    <s v="No"/>
    <s v=""/>
    <s v=""/>
    <n v="0"/>
    <s v="No"/>
    <s v=""/>
    <s v=""/>
    <s v=""/>
    <n v="0"/>
    <s v="La vivienda en la que residimos pertenece a mi bisabuela, pero actualmente pagamos arriendo por su uso. En cuanto a vehículos, mi familia posee un automóvil que aún se encuentra en proceso de pago y es utilizado principalmente para necesidades básicas del hogar. Los ingresos familiares se destinan, en su mayoría, a cubrir gastos esenciales como alimentación, arriendo, servicios y educación."/>
    <n v="4"/>
    <n v="4"/>
    <n v="4"/>
    <n v="4"/>
    <n v="4"/>
    <n v="4"/>
    <n v="4"/>
    <n v="4"/>
    <n v="4"/>
    <n v="4"/>
    <n v="40"/>
    <s v="SI"/>
    <m/>
    <s v="SI, SON PRI"/>
    <s v="ok tienen todos los datos"/>
    <e v="#N/A"/>
    <e v="#N/A"/>
    <m/>
    <n v="2"/>
    <n v="10"/>
    <n v="10"/>
    <n v="15"/>
    <n v="10"/>
    <n v="15"/>
    <n v="10"/>
    <n v="16"/>
    <n v="12.5"/>
    <n v="72.5"/>
    <n v="0.4"/>
    <m/>
    <n v="2"/>
    <n v="3.5"/>
    <n v="3"/>
    <n v="4"/>
    <n v="2"/>
    <n v="3.5"/>
    <n v="6"/>
    <n v="4.5"/>
    <n v="76"/>
    <n v="0.5"/>
    <n v="0.5"/>
    <e v="#N/A"/>
    <m/>
    <m/>
    <n v="0"/>
    <m/>
    <m/>
    <s v="Finanzas"/>
    <e v="#N/A"/>
    <s v="199"/>
    <e v="#N/A"/>
  </r>
  <r>
    <s v="TI"/>
    <n v="1011393271"/>
    <s v="1000343583"/>
    <s v="KAROL PAULINA ZULETA RODRIGUEZ"/>
    <s v="Estudios por primera vez"/>
    <x v="1"/>
    <s v="No cumple, puntaje ICFES menor a 300"/>
    <m/>
    <s v="En publico objetivo"/>
    <s v="3ra Cohorte"/>
    <s v="Admitido"/>
    <s v="kpzuletar@eafit.edu.co"/>
    <e v="#N/A"/>
    <s v="karolpaulinazuletarodriguez@gmail.com"/>
    <s v="573004138662, 3004138662"/>
    <d v="2025-06-06T00:00:00"/>
    <s v="Matrícula"/>
    <s v="001-Administración de Negocios"/>
    <s v="Escuela de Administración"/>
    <s v="24/08/2005"/>
    <n v="20"/>
    <s v="Antioquia"/>
    <s v="Medellín"/>
    <s v="Mujer"/>
    <s v="Soltero"/>
    <s v="SI"/>
    <s v="NO"/>
    <s v="NA"/>
    <s v="NO"/>
    <s v="NA"/>
    <s v="NO"/>
    <s v="NA"/>
    <s v="NO"/>
    <s v="NA"/>
    <s v="No"/>
    <s v="NA"/>
    <s v="NA"/>
    <s v="Estrato 2"/>
    <s v="CL 76#42 A 12"/>
    <s v="Antioquia"/>
    <s v="Medellín"/>
    <s v="No aplica, no soy foráneo"/>
    <s v="Arriendo"/>
    <s v="SI"/>
    <s v="2022"/>
    <s v="AC202245870522"/>
    <n v="296"/>
    <n v="63"/>
    <n v="56"/>
    <s v="Pública"/>
    <s v="OCTAVIO HARRY JACQUELINE KENNE"/>
    <n v="2022"/>
    <m/>
    <s v="Medellín"/>
    <s v="Bachillerato"/>
    <s v="Técnico"/>
    <m/>
    <s v="Once"/>
    <s v="0-5"/>
    <s v="Escala de 0 - 5"/>
    <m/>
    <m/>
    <m/>
    <m/>
    <m/>
    <m/>
    <n v="3.6"/>
    <n v="3.8"/>
    <m/>
    <n v="3.5"/>
    <n v="3.7"/>
    <m/>
    <m/>
    <m/>
    <m/>
    <m/>
    <m/>
    <m/>
    <m/>
    <m/>
    <m/>
    <s v="De 9 y 10"/>
    <n v="3.6500000000000004"/>
    <s v="Sin informacion"/>
    <s v="Sin informacion"/>
    <n v="0"/>
    <n v="0"/>
    <s v="No"/>
    <s v="Sin informacion"/>
    <s v="Sin informacion"/>
    <s v="Sin informacion"/>
    <s v="Sin informacion"/>
    <s v="Sin informacion"/>
    <s v="Sin informacion"/>
    <s v="Sin informacion"/>
    <n v="50"/>
    <s v="Sin detalle por componente"/>
    <s v="Artísticas o culturales"/>
    <s v="Desde temprana edad he tenido una fuerte inclinación por entender cómo funcionan las organizaciones, cómo se crean oportunidades y cómo las decisiones empresariales pueden impactar a comunidades enteras. Por eso elegí estudiar Administración de Empresas, porque me visualizo liderando proyectos que no solo generen crecimiento económico, sino también bienestar social._x000a__x000a_Me veo desarrollando iniciativas empresariales sostenibles que impulsen a emprendedores locales, mejoren la productividad regional y fomenten una cultura de liderazgo ético. Aspiro a trabajar con pequeñas y medianas empresas, apoyando su formalización, crecimiento y acceso a mercados, especialmente en sectores donde el potencial existe pero las oportunidades escasean._x000a__x000a_La beca representa para mí la posibilidad de dedicarme completamente a mi formación académica sin que las barreras económicas limiten mi potencial. Al obtenerla, podré acceder a una educación de alta calidad, participar en proyectos de impacto y fortalecer mis habilidades para luego aplicarlas directamente en mi comunidad._x000a__x000a_Soy consciente de que muchas regiones en Colombia, incluyendo la mía, enfrentan desafíos como el desempleo juvenil, la informalidad laboral y la falta de acceso a formación empresarial. Mi compromiso es regresar con ideas, herramientas y experiencia que me permitan impulsar procesos de transformación desde lo local, especialmente enfocados en crear oportunidades para personas de escasos recursos, promoviendo el emprendimiento, la innovación y la inclusión como motores de cambio. Quiero ser un puente entre el conocimiento académico y las necesidades reales de quienes más lo necesitan."/>
    <s v="Página WEB"/>
    <s v="Por la calidad académica."/>
    <s v="Vocación."/>
    <n v="6"/>
    <s v="0"/>
    <s v="SI"/>
    <s v="NO"/>
    <s v="Entre 1 y 2 millones"/>
    <s v="No"/>
    <n v="0"/>
    <n v="0"/>
    <m/>
    <s v="Y"/>
    <m/>
    <s v="NO"/>
    <s v="NA"/>
    <s v="NA"/>
    <s v="Si"/>
    <s v="Juan Fernando Zuleta Hincapié"/>
    <m/>
    <m/>
    <m/>
    <s v="Fotógrafo"/>
    <s v="Independiente (trabaja por cuenta propia)"/>
    <s v="Fotógrafo"/>
    <s v="No aplica"/>
    <n v="1300000"/>
    <s v="Si"/>
    <m/>
    <m/>
    <s v=""/>
    <s v="Sin información"/>
    <s v=""/>
    <m/>
    <m/>
    <m/>
    <s v=""/>
    <s v=""/>
    <m/>
    <s v=""/>
    <m/>
    <s v=""/>
    <m/>
    <m/>
    <m/>
    <n v="1300000"/>
    <s v="Si"/>
    <s v="María Isabel Hincapié"/>
    <s v="Abuelo / Abuela"/>
    <s v="80"/>
    <s v="Ama de casa"/>
    <s v="No aplica"/>
    <n v="0"/>
    <s v="No"/>
    <s v="Mery Zuleta"/>
    <s v="Tío / Tía"/>
    <s v="50"/>
    <s v="Ama de casa"/>
    <s v="No aplica"/>
    <n v="0"/>
    <s v="No"/>
    <s v="Marleny Zuleta"/>
    <s v="Tío / Tía"/>
    <s v="49"/>
    <s v="Ninguna"/>
    <s v="No aplica"/>
    <n v="0"/>
    <s v="No"/>
    <s v="Mi tía que es la ama de casa desempeña un papel fundamental en el núcleo familiar, siendo la persona responsable del acompañamiento y cuidado de mis abuelos y de mi tía, especialmente en lo relacionado con la asistencia a citas médicas y la atención de sus necesidades de salud."/>
    <n v="0"/>
    <n v="0"/>
    <n v="0"/>
    <n v="0"/>
    <n v="0"/>
    <s v="No"/>
    <s v=""/>
    <s v=""/>
    <n v="0"/>
    <s v="No"/>
    <s v=""/>
    <s v=""/>
    <n v="0"/>
    <s v="No"/>
    <s v=""/>
    <s v=""/>
    <s v=""/>
    <n v="0"/>
    <s v="No aplica"/>
    <n v="2"/>
    <n v="4"/>
    <n v="3"/>
    <n v="4"/>
    <n v="2"/>
    <n v="4"/>
    <n v="1"/>
    <n v="4"/>
    <n v="4"/>
    <n v="2"/>
    <n v="30"/>
    <s v="SI"/>
    <s v="SI, ICFES"/>
    <s v="PRI SIN PUNTAJE ICFES, TIPO IES, DETALLE OTROS ESTUDIOS Y DETALLE ENTREVISTA"/>
    <s v="pendiente otros estudios, no contesta"/>
    <s v="Negada Talento"/>
    <n v="20242"/>
    <m/>
    <n v="3"/>
    <n v="10"/>
    <n v="10"/>
    <n v="0"/>
    <n v="10"/>
    <n v="10"/>
    <n v="20"/>
    <n v="20"/>
    <n v="20"/>
    <n v="70"/>
    <s v="80 - 100%"/>
    <m/>
    <n v="3.5"/>
    <n v="4.5"/>
    <n v="8"/>
    <n v="4"/>
    <n v="3.5"/>
    <n v="4"/>
    <n v="8"/>
    <n v="4.5"/>
    <n v="70"/>
    <s v="80 - 100%"/>
    <n v="0.7"/>
    <e v="#N/A"/>
    <s v="se baja por icfes inferior a 300"/>
    <m/>
    <s v="SI, ICFES"/>
    <m/>
    <m/>
    <s v="Administración de Negocios"/>
    <e v="#N/A"/>
    <s v="001"/>
    <e v="#N/A"/>
  </r>
  <r>
    <s v="CC"/>
    <n v="1011394845"/>
    <s v="1000406413"/>
    <s v="STEISY SOFIA JIMENEZ TAPIAS"/>
    <s v="Estudios por primera vez"/>
    <x v="1"/>
    <s v="No cumple, puntaje ICFES menor a 300"/>
    <m/>
    <s v="En publico objetivo"/>
    <s v="2da Cohorte"/>
    <s v="Admitido"/>
    <s v="ssjimenezt@eafit.edu.co"/>
    <s v="ssjimenezt@eafit.edu.co"/>
    <s v="sofiajimeneez04@gmail.com"/>
    <s v="573243060933"/>
    <d v="2025-05-16T00:00:00"/>
    <s v="Activo en Programa"/>
    <s v="183-Biología"/>
    <s v="E Ciencias Aplic e Ingeniería"/>
    <d v="2006-06-24T00:00:00"/>
    <n v="19"/>
    <s v="Antioquia"/>
    <s v="Medellín"/>
    <s v="Mujer"/>
    <s v="Soltero"/>
    <s v="NO"/>
    <s v="NO"/>
    <n v="0"/>
    <s v="NO"/>
    <s v="NA"/>
    <s v="NO"/>
    <s v="NA"/>
    <s v="NO"/>
    <s v="NA"/>
    <s v="No"/>
    <s v="301/765-1348"/>
    <s v="573243060933"/>
    <s v="Estrato 3"/>
    <s v="CL 71 #43 16"/>
    <s v="Antioquia"/>
    <s v="Medellín"/>
    <s v="No aplica, no soy foráneo"/>
    <s v="Arriendo"/>
    <s v="SI"/>
    <s v="2023"/>
    <s v="AC202343547676"/>
    <n v="299"/>
    <n v="56"/>
    <n v="62"/>
    <s v="Pública"/>
    <s v="INST EDUC JOSE CELESTINO MUTIS"/>
    <n v="2023"/>
    <s v="Antioquia"/>
    <s v="Medellín"/>
    <s v="BACHILLER"/>
    <s v="TECN"/>
    <s v="TIPO: Pública, INSTITUCION: INST EDUC JOSE CELESTINO MUTIS, AÑO: 2023, CIUDAD: Medellín, TITULO: BACHILLER"/>
    <s v="11"/>
    <s v="Escala Desempeño"/>
    <s v="Escala de 0 - 5"/>
    <s v="4"/>
    <s v="4"/>
    <m/>
    <s v="4"/>
    <s v="4"/>
    <m/>
    <n v="4"/>
    <n v="4"/>
    <m/>
    <n v="4.5"/>
    <n v="4.5"/>
    <m/>
    <s v="4,5"/>
    <s v="4,5"/>
    <m/>
    <s v="4"/>
    <s v="4"/>
    <m/>
    <s v="4"/>
    <s v="4"/>
    <m/>
    <s v="De 9 y 10"/>
    <n v="4.25"/>
    <s v="NO"/>
    <s v="NA"/>
    <n v="0"/>
    <n v="0"/>
    <s v="No"/>
    <n v="45"/>
    <m/>
    <n v="45"/>
    <m/>
    <n v="50"/>
    <m/>
    <m/>
    <n v="46.666666666666664"/>
    <s v="Con detalle por componente"/>
    <s v="Trabajo social o comunitario"/>
    <s v="Me proyecto a futuro innovando en el sector científico, específicamente en bioquímica y genética, esto combinado con los avances tecnológicos que hemos tenido en las ultimadas décadas. Me encantaría poder descubrir nuevos patrones de genes y así identificar enfermedades a tiempo. Asimismo, con ayuda de las terapias genéticas, tratar dichas enfermedades. También me veo educando en los distintos barrios de Medellín, es decir, brindando talleres relacionados con la biología, específicamente en las ramas de la bacteriología y genética. Finalmente, me gustaría poder traer, a los centros médicos de las zonas más necesitadas de la cuidad, laboratorios especializados."/>
    <s v="Estudiantes de EAFIT"/>
    <s v="Por la calidad académica."/>
    <s v="Vocación."/>
    <n v="4"/>
    <s v="2"/>
    <s v="NO"/>
    <s v="SI"/>
    <s v="Entre 2 y 3 millones"/>
    <s v="No"/>
    <n v="0"/>
    <n v="0"/>
    <m/>
    <s v="SI"/>
    <s v="Beca"/>
    <s v="NO"/>
    <s v=""/>
    <s v=""/>
    <s v="Si"/>
    <s v="Jose Ferney Jimenez Vergara"/>
    <s v="Unión marital"/>
    <s v="PRIMARIA"/>
    <s v="55"/>
    <s v="Maestro de obra"/>
    <s v="Empleado (con contrato laboral)"/>
    <s v="Maestro de obra"/>
    <s v="proyecivil"/>
    <n v="3400000"/>
    <s v="Si"/>
    <s v="NO"/>
    <s v="SI"/>
    <s v=""/>
    <s v="Si"/>
    <s v="Beatriz Eugenia Tapias Mazo"/>
    <s v="Unión marital"/>
    <s v="TÉCNICA"/>
    <s v="53"/>
    <s v="ama de casa"/>
    <s v="Labores del hogar y cuidado"/>
    <s v="Ama de casa"/>
    <s v="Desempleada"/>
    <n v="500000"/>
    <s v="Si"/>
    <s v="NO"/>
    <s v="NO"/>
    <m/>
    <n v="3900000"/>
    <s v="Si"/>
    <s v="Evelyn Dayana Jimenez Tapias"/>
    <s v="Hermano / Hermana"/>
    <s v="28"/>
    <s v="Estudiante"/>
    <s v="Universidad EAFIT"/>
    <n v="0"/>
    <s v="No"/>
    <s v=""/>
    <s v=""/>
    <s v=""/>
    <s v=""/>
    <s v=""/>
    <m/>
    <s v=""/>
    <s v=""/>
    <s v=""/>
    <s v=""/>
    <s v=""/>
    <s v=""/>
    <m/>
    <s v=""/>
    <s v=""/>
    <n v="0"/>
    <n v="8523000"/>
    <n v="0"/>
    <n v="0"/>
    <n v="0"/>
    <s v="No"/>
    <s v=""/>
    <s v=""/>
    <n v="0"/>
    <s v="No"/>
    <s v=""/>
    <s v=""/>
    <n v="0"/>
    <s v="No"/>
    <s v=""/>
    <s v=""/>
    <s v=""/>
    <n v="0"/>
    <m/>
    <n v="4"/>
    <n v="3"/>
    <n v="4"/>
    <n v="3"/>
    <n v="3"/>
    <n v="3"/>
    <n v="4"/>
    <n v="3"/>
    <n v="3"/>
    <n v="4"/>
    <n v="34"/>
    <s v="SI"/>
    <m/>
    <s v="SI, SON PRI"/>
    <s v="ok tienen todos los datos"/>
    <e v="#N/A"/>
    <e v="#N/A"/>
    <m/>
    <n v="2"/>
    <n v="10"/>
    <n v="8"/>
    <n v="0"/>
    <n v="15"/>
    <n v="10"/>
    <n v="20"/>
    <n v="18"/>
    <n v="16"/>
    <n v="71"/>
    <n v="0.5"/>
    <m/>
    <n v="3.5"/>
    <n v="3.5"/>
    <n v="6"/>
    <n v="3"/>
    <n v="3.5"/>
    <n v="3"/>
    <n v="7"/>
    <n v="4.5"/>
    <n v="71"/>
    <n v="0.6"/>
    <n v="0.6"/>
    <e v="#N/A"/>
    <m/>
    <m/>
    <n v="0"/>
    <m/>
    <m/>
    <s v="Biología"/>
    <e v="#N/A"/>
    <s v="183"/>
    <e v="#N/A"/>
  </r>
  <r>
    <s v="TI"/>
    <n v="1011396865"/>
    <s v="1000318135"/>
    <s v="ISABELLA IDARRAGA SUAREZ"/>
    <s v="Estudios por primera vez"/>
    <x v="1"/>
    <s v="Descartado por bajo icfes"/>
    <m/>
    <s v="En publico objetivo"/>
    <s v="2da Cohorte"/>
    <s v="Admitido"/>
    <s v="iidarragas@eafit.edu.co"/>
    <s v="iidarragas@eafit.edu.co"/>
    <s v="isaidarraga2007@gmail.com"/>
    <s v="310/420-0542"/>
    <d v="2025-05-16T00:00:00"/>
    <s v="Activo en Programa"/>
    <s v="002-Negocios Internacionales"/>
    <s v="Escuela de Administración"/>
    <d v="2007-08-17T00:00:00"/>
    <n v="18"/>
    <s v="Antioquia"/>
    <s v="Medellín"/>
    <s v="Mujer"/>
    <s v="Soltero"/>
    <s v="NO"/>
    <s v="NO"/>
    <n v="0"/>
    <s v="NO"/>
    <s v="NA"/>
    <s v="NO"/>
    <s v="NA"/>
    <s v="NO"/>
    <s v="NA"/>
    <s v="No"/>
    <s v="604/456-0165"/>
    <s v="310/420-0542"/>
    <s v="Estrato 3"/>
    <s v="cra 51  34 25"/>
    <s v="Antioquia"/>
    <s v="Bello"/>
    <s v="No aplica, no soy foráneo"/>
    <s v="Arriendo"/>
    <s v="SI"/>
    <s v="2025"/>
    <s v="AC202510273714"/>
    <n v="307"/>
    <n v="62"/>
    <n v="57"/>
    <s v="Privada"/>
    <s v="COL BETHLEMITAS"/>
    <n v="2024"/>
    <s v="Antioquia"/>
    <s v="Bello"/>
    <s v="BACHILLER"/>
    <s v="ACAD"/>
    <s v="TIPO: Privada, INSTITUCION: COL BETHLEMITAS, AÑO: 2024, CIUDAD: Bello, TITULO: BACHILLER"/>
    <s v="11"/>
    <s v="Escala de 0 - 5"/>
    <s v="Escala de 0 - 5"/>
    <s v="4,5"/>
    <s v="4,5"/>
    <m/>
    <s v="4,5"/>
    <s v="4,5"/>
    <m/>
    <n v="4.2"/>
    <n v="4.5999999999999996"/>
    <m/>
    <n v="4.5"/>
    <n v="4.4000000000000004"/>
    <m/>
    <s v="4,5"/>
    <s v="4,6"/>
    <m/>
    <s v="4,2"/>
    <s v="4,5"/>
    <m/>
    <s v="4,5"/>
    <s v="4,5"/>
    <m/>
    <s v="De 9 y 10"/>
    <n v="4.4250000000000007"/>
    <s v="NO"/>
    <s v="NA"/>
    <n v="0"/>
    <n v="0"/>
    <s v="No"/>
    <n v="45"/>
    <m/>
    <n v="45"/>
    <m/>
    <n v="45"/>
    <m/>
    <m/>
    <n v="45"/>
    <s v="Con detalle por componente"/>
    <s v="Espacios de liderazgo o representación social,Trabajo social o comunitario"/>
    <s v="Estudiar Negocios Internacionales en EAFIT siempre ha sido mi sueño, por el cual he trabajado a lo largo de los últimos años. Desde el momento en que conocí la carrera en las clases abiertas, me enamoré de ella, al igual que de la universidad. Este mismo año asistí a la IB Experience, donde aprendí mucho y comprendí la importancia de tener una postura crítica respecto a los problemas y retos globales. _x000a__x000a_Al recibir esta beca tendría la posibilidad de cumplir mi sueño y convertirme en la profesional que siempre he deseado ser: consciente, empática, innovadora y con las habilidades necesarias para ayudar a resolver situaciones problemáticas desde un punto de vista global. Esto me permitiría desarrollarme con éxito en el área en la que decida ejercer mi vida profesional. _x000a__x000a_Al conocer diferentes culturas, podré aprender de ellas, lo que me permitirá ser una ciudadana global que, desde pequeñas acciones diarias, puede contribuir a un cambio positivo en la sociedad. Desde mi carrera y con los conocimientos adquiridos, podré aportar a mi ciudad con cambios innovadores y transformadores. _x000a__x000a_Sabemos que Medellín es una ciudad que se mantiene a la vanguardia en múltiples aspectos. Sin embargo, en un mundo tan cambiante y con el fenómeno de globalización cada vez más fuerte, aún nos falta mucho como sociedad. Me encantaría ser parte de ese cambio. Con todos los conocimientos y herramientas que me brindaría estudiar en esta universidad, esto sería posible. No hay que olvidar que no se trata solo de avanzar como ciudad, sino también como sociedad, para que así el progreso sea significativo. _x000a__x000a_Obtener esta beca no solo cumpliría mi sueño y sería un gran paso para convertirme en la profesional que aspiro ser, sino también el sueño de mi familia, que siempre ha luchado para que me supere y logre grandes cosas desde nuestras posibilidades. _x000a__x000a_Gracias"/>
    <s v="Otro"/>
    <s v="Por la calidad académica."/>
    <s v="Vocación."/>
    <n v="4"/>
    <s v="0"/>
    <s v="SI"/>
    <s v="NO"/>
    <s v="Entre 3 y 4 millones"/>
    <s v="No"/>
    <n v="0"/>
    <n v="0"/>
    <m/>
    <s v="SI"/>
    <s v="Beca"/>
    <s v="NO"/>
    <s v=""/>
    <s v=""/>
    <s v="Si"/>
    <s v="Andres Mauricio Idarraga Ortiz"/>
    <s v="Casado"/>
    <s v="BACHILLERATO"/>
    <s v="47"/>
    <s v="Conductor"/>
    <s v="Independiente (trabaja por cuenta propia)"/>
    <s v="Conductor de transporte escolar"/>
    <s v="CONTRANSPORTE SAS"/>
    <n v="2100000"/>
    <s v="Si"/>
    <s v="SI"/>
    <s v="NO"/>
    <s v=""/>
    <s v="Si"/>
    <s v="Kelly Johana Suarez Monsalve"/>
    <s v="Otro"/>
    <s v="TECNOLOGÍA"/>
    <s v="42"/>
    <s v="Administradora"/>
    <s v="Independiente (trabaja por cuenta propia)"/>
    <s v="Administra tienda de barrio"/>
    <s v="Tienda MIK"/>
    <n v="2900000"/>
    <s v="Si"/>
    <s v="NO"/>
    <s v="SI"/>
    <m/>
    <n v="5000000"/>
    <s v="Si"/>
    <s v="Lucero Del Socorro Monsalve de Suarez"/>
    <s v="Abuelo / Abuela"/>
    <s v="64"/>
    <s v="Ama de casa"/>
    <s v="No aplica"/>
    <n v="0"/>
    <s v="No"/>
    <s v="Porfiria Del Socorro Monsalve Cano"/>
    <s v="Tío / Tía"/>
    <s v="69"/>
    <s v="Pensionada"/>
    <s v="No aplica"/>
    <n v="1423500"/>
    <s v="No"/>
    <s v=""/>
    <s v=""/>
    <s v=""/>
    <s v=""/>
    <s v=""/>
    <m/>
    <s v=""/>
    <s v=""/>
    <n v="134578000"/>
    <n v="0"/>
    <n v="0"/>
    <n v="0"/>
    <n v="0"/>
    <s v="Si"/>
    <s v="MOP428"/>
    <s v="2009"/>
    <n v="10000000"/>
    <s v="No"/>
    <s v=""/>
    <s v=""/>
    <n v="0"/>
    <s v="Si"/>
    <s v="Moto"/>
    <s v="yamaha"/>
    <s v="2013"/>
    <n v="2500000"/>
    <m/>
    <n v="4"/>
    <n v="4"/>
    <n v="4"/>
    <n v="4"/>
    <n v="4"/>
    <n v="4"/>
    <n v="4"/>
    <n v="4"/>
    <n v="3"/>
    <n v="4"/>
    <n v="39"/>
    <s v="SI"/>
    <s v="SI, ICFES"/>
    <s v="PRI SIN PUNTAJE ICFES Y GRADUACION ANTES DE 2025"/>
    <s v="ok puntaje icfes de informe estrategia"/>
    <e v="#N/A"/>
    <e v="#N/A"/>
    <m/>
    <n v="3"/>
    <n v="10"/>
    <n v="8"/>
    <n v="5"/>
    <n v="15"/>
    <n v="15"/>
    <n v="15"/>
    <n v="13"/>
    <n v="10.5"/>
    <n v="70.5"/>
    <n v="0.4"/>
    <m/>
    <n v="2"/>
    <n v="3.5"/>
    <n v="3"/>
    <n v="2"/>
    <n v="2"/>
    <n v="3"/>
    <n v="6"/>
    <n v="2"/>
    <n v="71"/>
    <n v="0.4"/>
    <n v="0.4"/>
    <e v="#N/A"/>
    <m/>
    <m/>
    <s v="SI, ICFES"/>
    <m/>
    <m/>
    <s v="Negocios Internacionales"/>
    <e v="#N/A"/>
    <s v="002"/>
    <e v="#N/A"/>
  </r>
  <r>
    <s v="TI"/>
    <n v="1011396981"/>
    <s v="1000400467"/>
    <s v="DANIEL TORRES TORO"/>
    <s v="Estudios por primera vez"/>
    <x v="1"/>
    <s v="Descartado estado civil"/>
    <m/>
    <s v="En publico objetivo"/>
    <s v="2da Cohorte"/>
    <s v="Admitido"/>
    <s v="dtorrest@eafit.edu.co"/>
    <s v="dtorrest@eafit.edu.co"/>
    <s v="torrestoro224@gmail.com"/>
    <s v="573053228496"/>
    <d v="2025-05-16T00:00:00"/>
    <s v="Activo en Programa"/>
    <s v="183-Biología"/>
    <s v="E Ciencias Aplic e Ingeniería"/>
    <d v="2007-09-18T00:00:00"/>
    <n v="18"/>
    <s v="Antioquia"/>
    <s v="Medellín"/>
    <s v="Hombre"/>
    <s v="Otro"/>
    <s v="NO"/>
    <s v="NO"/>
    <n v="0"/>
    <s v="NO"/>
    <s v="NA"/>
    <s v="NO"/>
    <s v="NA"/>
    <s v="NO"/>
    <s v="NA"/>
    <s v="No"/>
    <s v="604/545-7820"/>
    <s v="573053228496"/>
    <s v="Estrato 2"/>
    <s v="CR 43#86 18"/>
    <s v="Antioquia"/>
    <s v="Medellín"/>
    <s v="No aplica, no soy foráneo"/>
    <s v="Arriendo"/>
    <s v="SI"/>
    <s v="2024"/>
    <s v="AC202435307301"/>
    <n v="349"/>
    <n v="71"/>
    <n v="69"/>
    <s v="Privada"/>
    <s v="DE LA UNV. PONTIFICIA BOLIVARI"/>
    <n v="2024"/>
    <s v="Antioquia"/>
    <s v="Medellín"/>
    <s v="BACHILLER"/>
    <s v="ACAD"/>
    <s v="TIPO: Privada, INSTITUCION: DE LA UNV. PONTIFICIA BOLIVARI, AÑO: 2024, CIUDAD: Medellín, TITULO: BACHILLER"/>
    <s v="11"/>
    <s v="Escala de 0 - 5"/>
    <s v="Escala de 0 - 5"/>
    <s v="4,5"/>
    <s v="3,5"/>
    <m/>
    <s v="4,5"/>
    <s v="4"/>
    <m/>
    <n v="4.2"/>
    <n v="4.5"/>
    <m/>
    <n v="4.5"/>
    <n v="3.7"/>
    <m/>
    <s v="4,5"/>
    <s v="3,7"/>
    <m/>
    <s v="3,8"/>
    <s v="4"/>
    <m/>
    <s v="4,5"/>
    <s v="4"/>
    <m/>
    <s v="De 9 y 10"/>
    <n v="4.2249999999999996"/>
    <s v="NO"/>
    <s v="NA"/>
    <n v="0"/>
    <n v="0"/>
    <s v="No"/>
    <n v="50"/>
    <m/>
    <n v="50"/>
    <m/>
    <n v="50"/>
    <m/>
    <s v="Buen desempeño en la entrevista e interés en el programa"/>
    <n v="50"/>
    <s v="Con detalle por componente"/>
    <s v="Artísticas o culturales,Trabajo social o comunitario"/>
    <s v="Según los conocimientos con los cuales hasta día de hoy cuento de tres tópicos que considero personalmente claves para mi proyecto a futuro como profesional, como lo son mi identidad, mis aspiraciones y sobre todo el área en la cual deseo desempeñarme, se personalmente que trabajar en cualquiera de las cuatro ramas fundamentales de la biología no significaría un mayor disgusto para mí, sin embargo no dejo de avistar claramente el hecho de que cuento con inclinaciones especificas hacia ciertos segmentos de esta gran y extensa área, por esto me veré en la obligación de ordenarlas respecto a su afinidad conmigo de la siguiente manera:_x000a__x000a_1. Ecología _x000a_2. Biotecnología_x000a_3. Taxonomía_x000a_4. Genética _x000a__x000a_Así preciso ser claro con base en mi inclinación personal. De otro modo busco aportar datos adicionales, como que sería de mi entero agrado trabajar con toda aquella actividad que involucre equipos de trabajo, investigación y desarrollo con un enfoque practico e innovador en variedad de sectores como solo la biología lo sabe hacer, para devenir con esta hermosa vocación en una mejora tanto para el desarrollo de procesos y generación de conocimiento como para mi persona como profesional y la comunidad en la cual trabajo para brindar todo lo que mi oficio como biólogo me permita a favor de la misma."/>
    <s v="Página WEB"/>
    <s v="Por la calidad académica."/>
    <s v="Vocación."/>
    <n v="3"/>
    <s v="1"/>
    <s v="NO"/>
    <s v="NO"/>
    <s v="Entre 3 y 4 millones"/>
    <s v="No"/>
    <s v="NO"/>
    <s v="NO"/>
    <m/>
    <s v="SI"/>
    <s v="Beca"/>
    <s v="NO"/>
    <s v=""/>
    <s v=""/>
    <s v="Si"/>
    <s v="Jairo Alonso Torres Carvajal"/>
    <s v="Otro"/>
    <s v="TÉCNICA"/>
    <s v="51"/>
    <s v="Técnico en redes y telecomunicaciones"/>
    <s v="Empleado (con contrato laboral)"/>
    <s v="Analista de TI"/>
    <s v="Mv-tel S.A.S"/>
    <n v="3400000"/>
    <s v="Si"/>
    <s v="SI"/>
    <s v="SI"/>
    <s v="Mi padre ha sido desde siempre una persona muy responsable y dedicada en todos los ámbitos, especialmente a su trabajo y al hogar."/>
    <s v="Si"/>
    <s v="Dora Nancy Toro Chalarca"/>
    <s v="Casado"/>
    <s v="TECNOLOGÍA"/>
    <s v="49"/>
    <s v="ama de casa"/>
    <s v="Labores del hogar y cuidado"/>
    <s v="NA"/>
    <s v="NA"/>
    <n v="0"/>
    <s v="Si"/>
    <s v="NO"/>
    <s v="NO"/>
    <s v="Mi madre es una persona muy responsable con las labores del hogar y muy pendiente de la familia."/>
    <n v="3400000"/>
    <s v="Si"/>
    <s v="Juan Diego Torres Toro"/>
    <s v="Hermano / Hermana"/>
    <s v="24"/>
    <s v="Ingeniero Ambiental &amp; Estudiante de Maestría"/>
    <s v="Universidad Nacional de Colombia (Sede Medellín)"/>
    <n v="2800000"/>
    <s v="Si"/>
    <s v=""/>
    <s v=""/>
    <s v=""/>
    <s v=""/>
    <s v=""/>
    <m/>
    <s v=""/>
    <s v=""/>
    <s v=""/>
    <s v=""/>
    <s v=""/>
    <s v=""/>
    <m/>
    <s v=""/>
    <s v="Hemos sido siempre muy unidos, comprometidos y solidarios."/>
    <n v="108874000"/>
    <n v="0"/>
    <n v="0"/>
    <n v="0"/>
    <n v="0"/>
    <s v="No"/>
    <s v=""/>
    <s v=""/>
    <n v="0"/>
    <s v="No"/>
    <s v=""/>
    <s v=""/>
    <n v="0"/>
    <s v="No"/>
    <s v=""/>
    <s v=""/>
    <s v=""/>
    <n v="0"/>
    <s v="Únicamente poseemos una casa familiar."/>
    <n v="4"/>
    <n v="4"/>
    <n v="4"/>
    <n v="4"/>
    <n v="3"/>
    <n v="3"/>
    <n v="4"/>
    <n v="2"/>
    <n v="4"/>
    <n v="4"/>
    <n v="36"/>
    <s v="SI"/>
    <m/>
    <s v="SI, SON PRI"/>
    <s v="ok tienen todos los datos"/>
    <e v="#N/A"/>
    <e v="#N/A"/>
    <m/>
    <n v="2"/>
    <n v="10"/>
    <n v="10"/>
    <n v="10"/>
    <n v="15"/>
    <n v="15"/>
    <n v="20"/>
    <n v="15"/>
    <n v="15.5"/>
    <n v="85.5"/>
    <n v="0.4"/>
    <m/>
    <n v="2"/>
    <n v="3.5"/>
    <n v="8"/>
    <n v="2"/>
    <n v="2"/>
    <n v="3"/>
    <n v="8"/>
    <n v="2"/>
    <n v="85"/>
    <n v="0.5"/>
    <n v="0.5"/>
    <e v="#N/A"/>
    <m/>
    <m/>
    <n v="0"/>
    <m/>
    <m/>
    <s v="Biología"/>
    <e v="#N/A"/>
    <s v="183"/>
    <e v="#N/A"/>
  </r>
  <r>
    <s v="TI"/>
    <n v="1011397651"/>
    <s v="1000393575"/>
    <s v="EMANUEL ARIAS BUSTAMANTE"/>
    <s v="Estudios por primera vez"/>
    <x v="1"/>
    <s v="Descartado por ingresos altos"/>
    <m/>
    <s v="En publico objetivo"/>
    <s v="2da Cohorte"/>
    <s v="Admitido"/>
    <s v="eariasb@eafit.edu.co"/>
    <s v="eariasb@eafit.edu.co"/>
    <s v="eariasb@eafit.edu.co"/>
    <s v="573003867221"/>
    <d v="2025-05-16T00:00:00"/>
    <s v="Activo en Programa"/>
    <s v="084-Derecho"/>
    <s v="Escuela de Derecho"/>
    <d v="2007-12-11T00:00:00"/>
    <n v="17"/>
    <s v="Antioquia"/>
    <s v="Medellín"/>
    <s v="Hombre"/>
    <s v="Soltero"/>
    <s v="NO"/>
    <s v="NO"/>
    <n v="0"/>
    <s v="NO"/>
    <s v="NA"/>
    <s v="NO"/>
    <s v="NA"/>
    <s v="NO"/>
    <s v="NA"/>
    <s v="No"/>
    <s v="300/903-4923"/>
    <s v="573003867221"/>
    <s v="Estrato 3"/>
    <s v="CL 84 41 15"/>
    <s v="Antioquia"/>
    <s v="Medellín"/>
    <s v="No aplica, no soy foráneo"/>
    <s v="Propio"/>
    <s v="SI"/>
    <s v="2024"/>
    <s v="AC202433522224"/>
    <n v="323"/>
    <n v="64"/>
    <n v="69"/>
    <s v="Pública"/>
    <s v="INST EDUC MONTECARLO GUILLERMO"/>
    <n v="2024"/>
    <m/>
    <s v="Medellín"/>
    <s v="Bachillerato"/>
    <s v="BACHILLER"/>
    <s v="TIPO: Pública, INSTITUCION: INST EDUC MONTECARLO GUILLERMO, AÑO: 2024, CIUDAD: Medellín, TITULO: BACHILLER"/>
    <s v="11"/>
    <s v="Escala Desempeño"/>
    <s v="Escala de 0 - 5"/>
    <s v="4"/>
    <s v="4"/>
    <s v="3"/>
    <s v="4"/>
    <s v="4"/>
    <s v="4"/>
    <n v="4"/>
    <n v="4"/>
    <n v="3"/>
    <n v="4"/>
    <n v="4"/>
    <n v="3"/>
    <s v="4"/>
    <s v="4"/>
    <s v="4"/>
    <s v="4"/>
    <s v="4,5"/>
    <s v="3"/>
    <s v="4"/>
    <s v="4"/>
    <s v="3"/>
    <s v="De 9, 10 y 11"/>
    <n v="3.6666666666666665"/>
    <s v="NO"/>
    <s v="NA"/>
    <n v="0"/>
    <n v="0"/>
    <s v="No"/>
    <n v="40"/>
    <m/>
    <n v="50"/>
    <m/>
    <n v="45"/>
    <m/>
    <m/>
    <n v="45"/>
    <s v="Con detalle por componente"/>
    <s v="Otras (por ejemplo, un talento extraordinario)"/>
    <s v="Nací en Medellín, en el barrio Manrique. mis padres me han inculcado valores que han hecho de mí un hombre íntegro, lleno de aspiraciones y con el deseo de conquistar el mundo. De todos estos valores, los que más me han marcado son la Alegría, la Audacia y la Empatía. Hoy escribo esto con ilusión y plena confianza en mí mismo, aspirando a obtener una Beca para estudiar el pregrado de Derecho en la universidad EAFIT. ¿Por qué esta universidad? ¿Cómo transformare mi región? ¿Por qué derecho y como me veo ejerciendo esta profesión? ._x000a__x000a_Primero, me visualizo emprendiendo, teniendo mi propio buffet de abogado especializado en derecho privado donde me enfocaré en hacer un sistema más justo para el sector empresarial con mi sello de siempre ser honesto y defender lo justo ayudar a hacer de mi región un lugar más integro e incorruptible y aportarle así al desarrollo del país, además tengo un claro propósito de ayudar y apoyar en todo lo que pueda a cada joven y niño de mi ciudad que como yo que quiera cumplir sus sueños._x000a__x000a_En segundo lugar, quiero estudiar derecho porque desde que tengo memoria he buscado expresar mis pensamientos, además de defender lo que considero justo, me apasioné por defender a quien lo necesita, descubriendo así una vocación genuina asimismo descubrí que tengo las habilidades para tener un buen desempeño en la carrera tales como el pensamiento crítico, la buena oratoria y capacidad de argumentación. _x000a__x000a_En conclusión, tengo la certeza de que con esta oportunidad poder llegar a ser un abogado justo, con vocación y un excelente desempeño, también creo que me la merezco ya que tengo propósito de ayudar a todo aquel que se me presente en el camino y hare de esta región un espacio más justo."/>
    <s v="Estudiantes de EAFIT"/>
    <s v="Por la calidad académica."/>
    <s v="Vocación."/>
    <n v="6"/>
    <s v="4"/>
    <s v="NO"/>
    <s v="SI"/>
    <s v="Entre 4 y 5 millones"/>
    <s v="Si"/>
    <n v="0"/>
    <n v="0"/>
    <m/>
    <s v="Y"/>
    <m/>
    <s v="NO"/>
    <s v="NA"/>
    <s v="NA"/>
    <s v="Si"/>
    <s v="Manuel Mauricio Arias Durango"/>
    <s v="Unión marital"/>
    <s v="BACHILLERATO"/>
    <s v="47"/>
    <s v="Comerciante"/>
    <s v="Emprendedor (inicia un proyecto productivo o negocio propio)"/>
    <s v="Emprendedor (Gerente)"/>
    <s v="Montallantas Cotorra"/>
    <n v="3450000"/>
    <s v="Si"/>
    <s v="NO"/>
    <s v="SI"/>
    <s v=""/>
    <s v="Si"/>
    <s v="Martha Cecilia Bustamante Jaramillo"/>
    <s v="Unión marital"/>
    <m/>
    <s v="58"/>
    <s v="Vendedora"/>
    <s v="Empleado (con contrato laboral)"/>
    <s v="Vendedora"/>
    <s v="Montallantas Cotorra"/>
    <n v="1850000"/>
    <s v="Si"/>
    <s v="NO"/>
    <s v="SI"/>
    <m/>
    <n v="5300000"/>
    <s v="Si"/>
    <s v="Valeria Arias Bustamante"/>
    <s v="Hermano / Hermana"/>
    <s v="18"/>
    <s v="Estudiante"/>
    <s v="Eafit"/>
    <n v="0"/>
    <s v="No"/>
    <s v="Daniel Arias Henao"/>
    <s v="Hermano / Hermana"/>
    <s v="24"/>
    <s v="Estudiante"/>
    <s v="EAFIT"/>
    <n v="0"/>
    <s v="No"/>
    <s v="Miguel Angel Arias Paniagua"/>
    <s v="Hermano / Hermana"/>
    <s v="11"/>
    <s v="Estudiante"/>
    <s v="I. E Las Nieves"/>
    <n v="0"/>
    <s v="No"/>
    <s v="Vivo además con una tia llamada Elvia Jaramillo de 88 años que no recibe ingresos"/>
    <n v="36595340"/>
    <n v="0"/>
    <n v="0"/>
    <n v="15000000"/>
    <n v="0"/>
    <s v="No"/>
    <s v=""/>
    <s v=""/>
    <n v="0"/>
    <s v="No"/>
    <s v=""/>
    <s v=""/>
    <n v="0"/>
    <s v="No"/>
    <s v=""/>
    <s v=""/>
    <s v=""/>
    <n v="0"/>
    <m/>
    <n v="4"/>
    <n v="4"/>
    <n v="3"/>
    <n v="4"/>
    <n v="4"/>
    <n v="4"/>
    <n v="4"/>
    <n v="3"/>
    <n v="3"/>
    <n v="4"/>
    <n v="37"/>
    <s v="SI"/>
    <m/>
    <s v="SI, SON PRI"/>
    <s v="ok tienen todos los datos"/>
    <s v="Negada"/>
    <n v="20251"/>
    <m/>
    <n v="2"/>
    <n v="10"/>
    <n v="8"/>
    <n v="5"/>
    <n v="10"/>
    <n v="15"/>
    <n v="15"/>
    <n v="15"/>
    <n v="12"/>
    <n v="67"/>
    <n v="0.4"/>
    <m/>
    <n v="3.5"/>
    <n v="2.5"/>
    <n v="3"/>
    <n v="3"/>
    <n v="3.5"/>
    <n v="2.5"/>
    <n v="6"/>
    <n v="3"/>
    <n v="68"/>
    <n v="0.5"/>
    <n v="0.4"/>
    <e v="#N/A"/>
    <m/>
    <m/>
    <n v="0"/>
    <m/>
    <m/>
    <s v="Derecho"/>
    <e v="#N/A"/>
    <s v="084"/>
    <e v="#N/A"/>
  </r>
  <r>
    <s v="TI"/>
    <n v="1011397855"/>
    <s v="1000402092"/>
    <s v="DAVID STEVEN CUBURUCO COLMENARES"/>
    <s v="Estudios por primera vez"/>
    <x v="1"/>
    <s v="Descartado por ingresos altos"/>
    <m/>
    <s v="En publico objetivo"/>
    <s v="1er Cohorte"/>
    <s v="Admitido"/>
    <s v="dscuburucc@eafit.edu.co"/>
    <s v="dscuburucc@eafit.edu.co"/>
    <s v="cuburucodavidsteven69@gmail.com"/>
    <s v="315/357-6431"/>
    <d v="2025-04-25T00:00:00"/>
    <s v="Activo en Programa"/>
    <s v="001-Administración de Negocios"/>
    <s v="Escuela de Administración"/>
    <d v="2008-01-23T00:00:00"/>
    <n v="17"/>
    <s v="Antioquia"/>
    <s v="Medellín"/>
    <s v="Hombre"/>
    <s v="Soltero"/>
    <s v="SI"/>
    <s v="SI"/>
    <s v="Arauca"/>
    <s v="NO"/>
    <s v="NA"/>
    <s v="NO"/>
    <s v="NA"/>
    <s v="NO"/>
    <s v="NA"/>
    <s v="No"/>
    <s v="315/357-6431"/>
    <s v="315/357-6431"/>
    <s v="Estrato 1"/>
    <s v="CR 47 #72 32 CAMPO VALDÉS"/>
    <s v="Antioquia"/>
    <s v="Medellín"/>
    <s v="Si"/>
    <s v="Propio"/>
    <s v="SI"/>
    <s v="2024"/>
    <s v="AC202436755698"/>
    <n v="378"/>
    <n v="77"/>
    <n v="74"/>
    <s v="Pública"/>
    <s v="LICEO GUSTAVO MATAMOROS LEON"/>
    <n v="2024"/>
    <s v="Casanare"/>
    <s v="Yopal"/>
    <s v="BACHILLER"/>
    <s v="ACAD"/>
    <s v="TIPO: Pública, INSTITUCION: LICEO GUSTAVO MATAMOROS LEON, AÑO: 2024, CIUDAD: Yopal, TITULO: BACHILLER"/>
    <s v="11"/>
    <s v="Escala de 0 - 10"/>
    <s v="Escala de 0 - 10"/>
    <s v="8,3"/>
    <s v="8,2"/>
    <m/>
    <s v="8,3"/>
    <s v="8,2"/>
    <m/>
    <n v="8.9"/>
    <n v="8.6"/>
    <m/>
    <n v="9.4"/>
    <n v="8.4"/>
    <m/>
    <s v="9,2"/>
    <s v="9,3"/>
    <m/>
    <s v="8,7"/>
    <s v="8,7"/>
    <m/>
    <s v="8,5"/>
    <s v="8,1"/>
    <m/>
    <s v="De 9 y 10"/>
    <n v="8.8249999999999993"/>
    <s v="NO"/>
    <s v="NA"/>
    <n v="0"/>
    <n v="0"/>
    <s v="No"/>
    <n v="50"/>
    <m/>
    <n v="45"/>
    <m/>
    <n v="45"/>
    <m/>
    <s v="tiene 17 años es de Yopal, es bailarin y cantante de música llanera, en julio agosto, tiene una presentación, entonces va a pensar lo del ingreso a la Universidad, le gusta administración porque mas adelante quiere tener una empresa y administración le brinda todas estas herramientas, tiene un emprendimiento de gorras que vende por IG o en una tienda fisica en Yopal, le gusta EAFIT por recomendación de una familiar."/>
    <n v="46.666666666666664"/>
    <s v="Con detalle por componente"/>
    <s v="Artísticas o culturales,Deportistas de alto rendimiento o representativo,Espacios de liderazgo o representación social"/>
    <s v="Mi gusto por el campo de los negocios es tanto que me llevó a crear mi primera empresa con 16 años en el año 2024  junto a mi mejor amigo, la cual me ha enseñado lecciones importantes sobre liderazgo, trabajo en equipo y la importancia de asumir responsabilidades. _x000a_En unos años, me gustaría verme administrando y creando empresas que no solo generen empleo, sino que también contribuyan al crecimiento económico de mi país y mejoren la calidad de vida de las personas. Estoy totalmente convencido que mi creatividad, empeño y liderazgo, sumado a las habilidades que tendré como profesional se podrán fusionar para llevarle no solo a mi región, sino que a todo el país un cambio transformador en sectores productivos._x000a_Mi objetivo es seguir desarrollando iniciativas empresariales que generen empleo y beneficien a mis seres queridos, lo cual considero será posible a través de los conocimientos y habilidades que adquiriré en la Universidad EAFIT. Esta beca me permitirá concentrarme completamente en mis estudios y proyectos, sin que las preocupaciones económicas interfieran con mi desarrollo académico y personal. Sé que exploraré al máximo mis habilidades y lograré dejar en alto el nombre de la Universidad."/>
    <s v="Página WEB"/>
    <s v="Por la calidad académica."/>
    <s v="Vocación."/>
    <n v="4"/>
    <s v="2"/>
    <s v="SI"/>
    <s v="NO"/>
    <s v="Entre 8 y 9 millones"/>
    <s v="Si"/>
    <s v="SI"/>
    <s v="NO"/>
    <m/>
    <s v="SI"/>
    <s v="Beca"/>
    <s v="NO"/>
    <s v=""/>
    <s v=""/>
    <s v="Si"/>
    <s v="Argemiro Nain Cuburuco Yance"/>
    <s v="Casado"/>
    <s v="BACHILLERATO"/>
    <s v="46"/>
    <s v="Militar"/>
    <s v="Pensionado"/>
    <s v="Pensionado"/>
    <s v="CREMIL"/>
    <n v="3398913"/>
    <s v="Si"/>
    <s v="SI"/>
    <s v="NO"/>
    <s v=""/>
    <s v="Si"/>
    <s v="Eslendis Yadelis Colmenares Concha"/>
    <s v="Casado"/>
    <s v="ESPECIALIZACIÓN"/>
    <s v="41"/>
    <s v="Ingeniera de Sistemas"/>
    <s v="Empleado (con contrato laboral)"/>
    <s v="Profesional contratista"/>
    <s v="Alcaldía de Yopal"/>
    <n v="3900000"/>
    <s v="Si"/>
    <s v="NO"/>
    <s v="NO"/>
    <m/>
    <n v="7298913"/>
    <s v="Si"/>
    <s v="Eliana Salomé Cuburuco Colmenares"/>
    <s v="Hermano / Hermana"/>
    <s v="13"/>
    <s v="Estudiante"/>
    <s v="No aplica"/>
    <n v="0"/>
    <s v="No"/>
    <s v="Alisson Celeste Cuburuco Colmenares"/>
    <s v="Hermano / Hermana"/>
    <s v="8"/>
    <s v="Estudiante"/>
    <s v="No aplica"/>
    <n v="0"/>
    <s v="No"/>
    <s v=""/>
    <s v=""/>
    <s v=""/>
    <s v=""/>
    <s v=""/>
    <m/>
    <s v=""/>
    <s v=""/>
    <n v="59332000"/>
    <n v="0"/>
    <n v="0"/>
    <n v="0"/>
    <n v="0"/>
    <s v="Si"/>
    <s v="Renault"/>
    <s v="2019"/>
    <n v="30000000"/>
    <s v="No"/>
    <s v=""/>
    <s v=""/>
    <n v="0"/>
    <s v="Si"/>
    <s v="Moto"/>
    <s v="yamaha"/>
    <s v="2025"/>
    <n v="8000000"/>
    <m/>
    <n v="4"/>
    <n v="4"/>
    <n v="4"/>
    <n v="4"/>
    <n v="4"/>
    <n v="4"/>
    <n v="4"/>
    <n v="4"/>
    <n v="4"/>
    <n v="4"/>
    <n v="40"/>
    <s v="SI"/>
    <m/>
    <s v="SI, SON PRI"/>
    <s v="ok tienen todos los datos"/>
    <e v="#N/A"/>
    <e v="#N/A"/>
    <m/>
    <n v="3"/>
    <n v="6"/>
    <n v="6"/>
    <n v="15"/>
    <n v="15"/>
    <n v="15"/>
    <n v="20"/>
    <n v="10"/>
    <n v="10"/>
    <n v="81"/>
    <n v="0.4"/>
    <m/>
    <n v="3.5"/>
    <n v="2.5"/>
    <n v="1"/>
    <n v="3"/>
    <n v="3.5"/>
    <n v="2.5"/>
    <n v="1"/>
    <n v="3"/>
    <n v="81"/>
    <n v="0.4"/>
    <n v="0.5"/>
    <e v="#N/A"/>
    <m/>
    <m/>
    <n v="0"/>
    <m/>
    <m/>
    <s v="Administración de Negocios"/>
    <e v="#N/A"/>
    <s v="001"/>
    <e v="#N/A"/>
  </r>
  <r>
    <s v="TI"/>
    <n v="1011398768"/>
    <s v="1000397264"/>
    <s v="SALOME ZULETA MARTINEZ"/>
    <s v="Estudios por primera vez"/>
    <x v="1"/>
    <s v="Descartado por ingresos altos"/>
    <m/>
    <s v="En publico objetivo"/>
    <s v="2da Cohorte"/>
    <s v="Admitido"/>
    <s v="szuletam1@eafit.edu.co"/>
    <s v="szuletam1@eafit.edu.co"/>
    <s v="salozuleta701@gmail.com"/>
    <s v="500-3935"/>
    <d v="2025-05-16T00:00:00"/>
    <s v="Activo en Programa"/>
    <s v="002-Negocios Internacionales"/>
    <s v="Escuela de Administración"/>
    <d v="2008-07-08T00:00:00"/>
    <n v="17"/>
    <s v="Antioquia"/>
    <s v="Medellín"/>
    <s v="Mujer"/>
    <s v="Soltero"/>
    <s v="NO"/>
    <s v="NO"/>
    <n v="0"/>
    <s v="NO"/>
    <s v="NA"/>
    <s v="NO"/>
    <s v="NA"/>
    <s v="NO"/>
    <s v="NA"/>
    <s v="No"/>
    <s v="500-3935"/>
    <s v="NA"/>
    <s v="Estrato 3"/>
    <s v="CR 72 #15 22"/>
    <s v="Antioquia"/>
    <s v="Medellín"/>
    <s v="No aplica, no soy foráneo"/>
    <s v="Familiar"/>
    <s v="SI"/>
    <s v="2024"/>
    <s v="AC202430178398"/>
    <n v="340"/>
    <n v="66"/>
    <n v="68"/>
    <s v="Privada"/>
    <s v="COL DE LA INMACULADA"/>
    <n v="2024"/>
    <s v="Antioquia"/>
    <s v="Medellín"/>
    <s v="BACHILLER"/>
    <s v="ACAD"/>
    <s v="TIPO: Privada, INSTITUCION: COL DE LA INMACULADA, AÑO: 2024, CIUDAD: Medellín, TITULO: BACHILLER"/>
    <s v="11"/>
    <s v="Escala de 0 - 5"/>
    <s v="Escala de 0 - 5"/>
    <s v="3,8"/>
    <s v="4,8"/>
    <m/>
    <s v="4"/>
    <s v="5"/>
    <m/>
    <n v="4.5"/>
    <n v="5"/>
    <m/>
    <n v="4.2"/>
    <n v="4.9000000000000004"/>
    <m/>
    <s v="4,2"/>
    <s v="4,9"/>
    <m/>
    <s v="4,8"/>
    <s v="5"/>
    <m/>
    <s v="4,2"/>
    <s v="4,9"/>
    <m/>
    <s v="De 9 y 10"/>
    <n v="4.6500000000000004"/>
    <s v="NO"/>
    <s v="NA"/>
    <n v="0"/>
    <n v="0"/>
    <s v="No"/>
    <n v="45"/>
    <m/>
    <n v="40"/>
    <m/>
    <n v="40"/>
    <m/>
    <m/>
    <n v="41.666666666666664"/>
    <s v="Con detalle por componente"/>
    <s v="Espacios de liderazgo o representación social"/>
    <s v="Desde pequeña sueño con tener o ser parte de una empresa multinacional que aporte no solo a mi bienestar sino también al desarrollo de mi país. Una cuyo pilar fundamental sea el respeto por el medio ambiente, las personas y las comunidades donde opere. Capaz de adaptarse a diferentes contextos socio-culturales y económicos, sin perder de vista que las acciones individuales o empresariales tienen un gran impacto en la calidad de vida de las personas. _x000a__x000a_A lo largo de mi proceso de formación me he dado cuenta que el éxito de cualquier negocio no solo se da por la calidad, presentación, gestión comercial y marketing de los productos, sino también por el aprovechamiento de las oportunidades y la rápida adaptación a los cambios políticos, económicos, tecnológicos, sociales y culturales, los cuales, en este momento se presentan a gran velocidad y de manera permanente._x000a__x000a_A través de la beca busco el apoyo para obtener los conocimientos y desarrollar las competencias necesarias que me permitan comprender y participar de la dinámica de los mercados de una manera ágil, ética y competitiva. EAFIT es clave para que este sueño sea posible, pues, además de ser acreditada y con altos estándares de calidad, es innovadora y está conectada con el mundo empresarial local, nacional e internacional del que quiero ser parte. Con el acompañamiento de ustedes pretendo potenciar mis habilidades de liderazgo, analizar mercados, pensar estratégicamente, hacer uso adecuado de los recursos financieros y ambientales y convertirme en un habitante del planeta, solidario y respetuoso de las diferencias._x000a__x000a_Confío en que, al culminar mi proceso de formación, mis ideas se conviertan en acciones que transformen positivamente la empresa de la que haga parte y mi entorno, conecten a los productores regionales con mercados internacionales y aporten al desarrollo económico y social de mi región."/>
    <s v="Referencias familiares"/>
    <s v="Por estar acreditada."/>
    <s v="Alta empleabilidad."/>
    <n v="4"/>
    <s v="1"/>
    <s v="NO"/>
    <s v="NO"/>
    <s v="Entre 5 y 6 millones"/>
    <s v="No"/>
    <n v="0"/>
    <n v="0"/>
    <m/>
    <s v="SI"/>
    <s v="Beca"/>
    <s v="NO"/>
    <s v=""/>
    <s v=""/>
    <s v="Si"/>
    <s v="Juan David Marcel Zuleta Ruiz"/>
    <s v="Casado"/>
    <s v="UNIVERSITARIOS"/>
    <s v="56"/>
    <s v="Administrador de empresas"/>
    <s v="Otra"/>
    <s v="Auxiliar Administrativo - Contratista"/>
    <s v="Sena"/>
    <n v="2832500"/>
    <s v="Si"/>
    <s v="NO"/>
    <s v="NO"/>
    <s v="Mi padre es quien me apoya, escucha, conseja y motiva a luchar por mis sueños. Además, es trabajador, responsable, servicial y empático."/>
    <s v="Si"/>
    <s v="Janeth María Martinez Londoño"/>
    <s v="Otro"/>
    <s v="UNIVERSITARIOS"/>
    <s v="56"/>
    <s v="Trabajadora Social, Especialista en Gerencia de Servicios Sociales"/>
    <s v="Empleado (con contrato laboral)"/>
    <s v="Profesional"/>
    <s v="SENA"/>
    <n v="6188097"/>
    <s v="Si"/>
    <s v="SI"/>
    <s v="SI"/>
    <s v="Mi madre es mi polo a tierra, mi modelo a seguir. Es líder, organizada, con metas claras, responsable y muy trabajdora."/>
    <n v="9020597"/>
    <s v="Si"/>
    <s v="Mateo Zuleta Martinez"/>
    <s v="Hermano / Hermana"/>
    <s v="20"/>
    <s v="Estudiante"/>
    <s v="Universidad de San Buenaventura"/>
    <n v="0"/>
    <s v="No"/>
    <s v=""/>
    <s v=""/>
    <s v=""/>
    <s v=""/>
    <s v=""/>
    <m/>
    <s v=""/>
    <s v=""/>
    <s v=""/>
    <s v=""/>
    <s v=""/>
    <s v=""/>
    <m/>
    <s v=""/>
    <s v="Somos una familia unida, amorosa, con principios y valores católicos. Nuestra relación se basa en el diálogo, el respeto y límites claros. Además, hacemos parte de dos familias extensas, por el lado de mi padre y mi madre, igualmente amorosas, seriviciales y una red de apoyo permanente para todos sus integrantes."/>
    <n v="116425000"/>
    <n v="0"/>
    <n v="0"/>
    <n v="0"/>
    <n v="0"/>
    <s v="No"/>
    <s v=""/>
    <s v=""/>
    <n v="0"/>
    <s v="No"/>
    <s v=""/>
    <s v=""/>
    <n v="0"/>
    <s v="No"/>
    <s v=""/>
    <s v=""/>
    <s v=""/>
    <n v="0"/>
    <s v="Actualmente la casa en la que habitamos se está pagando con un crédito hipotecario con la Cooperativa&amp;#160;Cidesa."/>
    <n v="4"/>
    <n v="4"/>
    <n v="4"/>
    <n v="4"/>
    <n v="4"/>
    <n v="3"/>
    <n v="4"/>
    <n v="4"/>
    <n v="4"/>
    <n v="4"/>
    <n v="39"/>
    <s v="SI"/>
    <m/>
    <s v="SI, SON PRI"/>
    <s v="ok tienen todos los datos"/>
    <e v="#N/A"/>
    <e v="#N/A"/>
    <m/>
    <n v="3"/>
    <n v="10"/>
    <n v="8"/>
    <n v="10"/>
    <n v="20"/>
    <n v="15"/>
    <n v="10"/>
    <n v="8.5"/>
    <n v="8.5"/>
    <n v="73.5"/>
    <n v="0.4"/>
    <m/>
    <n v="2"/>
    <n v="3.5"/>
    <n v="1"/>
    <n v="2"/>
    <n v="2"/>
    <n v="3.5"/>
    <n v="1"/>
    <n v="2"/>
    <n v="71.5"/>
    <n v="0.4"/>
    <n v="0.4"/>
    <e v="#N/A"/>
    <m/>
    <m/>
    <n v="0"/>
    <m/>
    <m/>
    <s v="Negocios Internacionales"/>
    <e v="#N/A"/>
    <s v="002"/>
    <e v="#N/A"/>
  </r>
  <r>
    <s v="TI"/>
    <n v="1011398816"/>
    <s v="1000396176"/>
    <s v="SAMUEL CALDERÓN CASTRO"/>
    <s v="Estudios por primera vez"/>
    <x v="1"/>
    <s v="Descartado por ingresos altos"/>
    <m/>
    <s v="En publico objetivo"/>
    <s v="2da Cohorte"/>
    <s v="Admitido"/>
    <s v="scalderoc1@eafit.edu.co"/>
    <s v="scalderoc1@eafit.edu.co"/>
    <s v="calderoncastrosamuel375@gmail.com"/>
    <s v="573233995298"/>
    <d v="2025-05-16T00:00:00"/>
    <s v="Activo en Programa"/>
    <s v="001-Administración de Negocios"/>
    <s v="Escuela de Administración"/>
    <d v="2008-07-11T00:00:00"/>
    <n v="17"/>
    <s v="Antioquia"/>
    <s v="Medellín"/>
    <s v="Hombre"/>
    <s v="Soltero"/>
    <s v="NO"/>
    <s v="NO"/>
    <n v="0"/>
    <s v="NO"/>
    <s v="NA"/>
    <s v="NO"/>
    <s v="NA"/>
    <s v="NO"/>
    <s v="NA"/>
    <s v="No"/>
    <s v="573233995298"/>
    <s v="573233995298"/>
    <s v="Estrato 2"/>
    <s v="CR 6 #13 802 CORREGIMIENTO LA SIERRA"/>
    <s v="Antioquia"/>
    <s v="Puerto Nare"/>
    <s v="Si"/>
    <s v="Propio"/>
    <s v="SI"/>
    <s v="2024"/>
    <s v="AC202433619467"/>
    <n v="380"/>
    <n v="82"/>
    <n v="70"/>
    <s v="Pública"/>
    <s v="I. E. R. LA SIERRA"/>
    <n v="2024"/>
    <s v="Antioquia"/>
    <s v="Puerto Nare"/>
    <s v="BACHILLER"/>
    <s v="ACAD"/>
    <s v="TIPO: Pública, INSTITUCION: I. E. R. LA SIERRA, AÑO: 2024, CIUDAD: Puerto Nare, TITULO: BACHILLER"/>
    <s v="11"/>
    <s v="Escala de 0 - 5"/>
    <s v="Escala de 0 - 5"/>
    <s v="5"/>
    <s v="5"/>
    <m/>
    <s v="5"/>
    <s v="5"/>
    <m/>
    <n v="4.5"/>
    <n v="5"/>
    <m/>
    <n v="5"/>
    <n v="5"/>
    <m/>
    <s v="5"/>
    <s v="5"/>
    <m/>
    <s v="4,5"/>
    <s v="5"/>
    <m/>
    <s v="4,5"/>
    <s v="5"/>
    <m/>
    <s v="De 9 y 10"/>
    <n v="4.875"/>
    <s v="NO"/>
    <s v="NA"/>
    <n v="0"/>
    <n v="0"/>
    <s v="No"/>
    <n v="50"/>
    <m/>
    <n v="50"/>
    <m/>
    <n v="50"/>
    <m/>
    <m/>
    <n v="50"/>
    <s v="Con detalle por componente"/>
    <s v="Trabajo social o comunitario,Espacios de liderazgo o representación social"/>
    <s v="Siempre he observado a mi alrededor, notando que las personas que realmente tienen impacto en la sociedad son los emprendedores, pues son ellos los que dan forma a la realidad. Por ello me visualizo como un profesional capaz de asumir la responsabilidad del desarrollo de mi región gracias a los conocimientos que adquiriré en la carrera de Administración de Negocios. Aspiro a liderar proyectos que impulsen el emprendimiento local, promoviendo modelos de negocio éticos y escalables, ya que, para mí, la ganancia de una riqueza generacional no tiene por qué lograrse con prácticas reprochables, sino que es una consecuencia de la contribución a la sociedad en escala. Fundaré y gestionaré proyectos que además de ser rentables tengan un impacto social positivo, especialmente en comunidades como la mía, en las que hay ignorancia en este ámbito._x000a__x000a_En la beca encuentro una oportunidad vital que me permitiría acceder a una educación que potencie mis habilidades de liderazgo, análisis y gestión, para así poder construir soluciones a problemas reales de mi entorno. Uno de mis mayores sueños es crear programas de capacitación accesibles para emprendedores locales, de manera que se facilite el acceso a tecnología y financiamiento, fomentando una cultura de innovación desde lo regional. Esto, pues comparto la visión que tuvo Naval Ravikant en 2011: &quot;Hay casi 7 mil millones de personas en el mundo. Algún día, espero que existan casi 7 mil millones de empresas&quot;. Tengo la convicción de que cada persona debería tener su emprendimiento/proyecto. _x000a__x000a_Es por eso que esta oportunidad va más allá de mi propio beneficio, me encargaré de mover la palanca de la transformación de mi comunidad con mis propias manos."/>
    <s v="Página WEB"/>
    <s v="Proyección laboral."/>
    <s v="Vocación."/>
    <n v="4"/>
    <s v="0"/>
    <s v="SI"/>
    <s v="NO"/>
    <s v="Entre 1 y 2 millones"/>
    <s v="No"/>
    <s v="NO"/>
    <n v="0"/>
    <m/>
    <s v="SI"/>
    <s v="Beca"/>
    <s v="NO"/>
    <s v=""/>
    <s v=""/>
    <s v="Sin información"/>
    <n v="0"/>
    <m/>
    <m/>
    <m/>
    <s v=""/>
    <s v=""/>
    <m/>
    <s v=""/>
    <m/>
    <s v=""/>
    <m/>
    <m/>
    <s v="Ausente, no dependo económicamente, ni tengo contacto alguno con él."/>
    <s v="Si"/>
    <s v="Ana Maria Castro Padilla"/>
    <s v="Soltero"/>
    <s v="UNIVERSITARIOS"/>
    <s v="53"/>
    <s v="Tecnóloga en gestión administrativa"/>
    <s v="Empleado (con contrato laboral)"/>
    <s v="Tecnóloga operación, mantenimiento y servicios"/>
    <s v="Empresas Públicas de Medellín"/>
    <n v="6312360"/>
    <s v="Si"/>
    <s v="SI"/>
    <s v="NO"/>
    <m/>
    <n v="6312360"/>
    <s v="Si"/>
    <s v="Sixta Padilla de Castro"/>
    <s v="Abuelo / Abuela"/>
    <s v="83"/>
    <s v="Desempleada"/>
    <s v="Desempleada"/>
    <n v="0"/>
    <s v="No"/>
    <s v="Benjamín Castro"/>
    <s v="Abuelo / Abuela"/>
    <s v="92"/>
    <s v="Desempleado"/>
    <s v="Desempleado"/>
    <n v="0"/>
    <s v="No"/>
    <s v="David Fernando Castro Padilla"/>
    <s v="Tío / Tía"/>
    <s v="58"/>
    <s v="Auxiliar Administrativo"/>
    <s v="Municipio de Puerto Nare"/>
    <n v="2300000"/>
    <s v="No"/>
    <s v="Vivo con mis abuelos maternos, mi tío y mi madre. Mi madre es la única que aporta económicamente al hogar."/>
    <n v="0"/>
    <n v="24000000"/>
    <n v="0"/>
    <n v="0"/>
    <n v="0"/>
    <s v="No"/>
    <s v=""/>
    <s v=""/>
    <n v="0"/>
    <s v="No"/>
    <s v=""/>
    <s v=""/>
    <n v="0"/>
    <s v="No"/>
    <s v=""/>
    <s v=""/>
    <s v=""/>
    <n v="0"/>
    <s v="El apartamento se está pagando a través de un crédito de EPM (este apartamento está en el municipio de La Ceja; el núcleo familiar, incluyéndome, no vive en este apartamento). La casa en la que residimos es de un tío el cual nos ha cedido a gratuidad el alojamiento familiar."/>
    <n v="4"/>
    <n v="4"/>
    <n v="4"/>
    <n v="4"/>
    <n v="4"/>
    <n v="4"/>
    <n v="4"/>
    <n v="4"/>
    <n v="4"/>
    <n v="4"/>
    <n v="40"/>
    <s v="SI"/>
    <m/>
    <s v="SI, SON PRI"/>
    <s v="ok tienen todos los datos"/>
    <e v="#N/A"/>
    <e v="#N/A"/>
    <m/>
    <n v="3"/>
    <n v="10"/>
    <n v="10"/>
    <n v="15"/>
    <n v="20"/>
    <n v="15"/>
    <n v="20"/>
    <n v="13.5"/>
    <n v="12"/>
    <n v="92"/>
    <n v="0.4"/>
    <m/>
    <n v="3.5"/>
    <n v="2.5"/>
    <n v="3"/>
    <n v="3"/>
    <n v="3.5"/>
    <n v="2.5"/>
    <n v="3"/>
    <n v="4.5"/>
    <n v="93.5"/>
    <n v="0.4"/>
    <n v="0.5"/>
    <e v="#N/A"/>
    <m/>
    <m/>
    <n v="0"/>
    <m/>
    <m/>
    <s v="Administración de Negocios"/>
    <e v="#N/A"/>
    <s v="001"/>
    <e v="#N/A"/>
  </r>
  <r>
    <s v="CC"/>
    <n v="1011510494"/>
    <s v="1000404359"/>
    <s v="TOMAS ANDRES FORERO SERNA"/>
    <s v="Estudios por primera vez"/>
    <x v="1"/>
    <s v="Descartado por ingresos altos"/>
    <m/>
    <s v="En publico objetivo"/>
    <s v="2da Cohorte"/>
    <s v="Admitido"/>
    <s v="taforeros@eafit.edu.co"/>
    <s v="taforeros1@eafit.edu.co"/>
    <s v="forerotomas88@gmail.com"/>
    <s v="573112184746"/>
    <d v="2025-05-16T00:00:00"/>
    <s v="Activo en Programa"/>
    <s v="169-Mercadeo"/>
    <s v="Escuela de Administración"/>
    <d v="2004-06-17T00:00:00"/>
    <n v="21"/>
    <s v="Antioquia"/>
    <s v="Medellín"/>
    <s v="Hombre"/>
    <s v="Soltero"/>
    <s v="NO"/>
    <s v="NO"/>
    <n v="0"/>
    <s v="NO"/>
    <s v="NA"/>
    <s v="NO"/>
    <s v="NA"/>
    <s v="NO"/>
    <s v="NA"/>
    <s v="No"/>
    <s v="311/218-4746"/>
    <s v="573112184746"/>
    <s v="Estrato 3"/>
    <s v="CL 80#72 A 381"/>
    <s v="Antioquia"/>
    <s v="Medellín"/>
    <s v="No aplica, no soy foráneo"/>
    <s v="Arriendo"/>
    <s v="SI"/>
    <s v="2022"/>
    <s v="AC202241207620"/>
    <n v="323"/>
    <n v="61"/>
    <n v="68"/>
    <s v="Privada"/>
    <s v="COL CALASANZ"/>
    <n v="2022"/>
    <s v="Antioquia"/>
    <s v="Medellín"/>
    <s v="BACHILLER"/>
    <s v="ACAD"/>
    <s v="TIPO: Privada, INSTITUCION: COL CALASANZ, AÑO: 2022, CIUDAD: Medellín, TITULO: BACHILLER"/>
    <s v="11"/>
    <s v="Escala de 0 - 5"/>
    <s v="Escala de 0 - 5"/>
    <s v="4"/>
    <s v="4,5"/>
    <m/>
    <s v="4"/>
    <s v="4"/>
    <m/>
    <n v="4.5"/>
    <n v="4"/>
    <m/>
    <n v="4.5"/>
    <n v="4"/>
    <m/>
    <s v="4"/>
    <s v="4,5"/>
    <m/>
    <s v="4"/>
    <s v="4"/>
    <m/>
    <s v="4"/>
    <s v="4"/>
    <m/>
    <s v="De 9 y 10"/>
    <n v="4.25"/>
    <s v="NO"/>
    <s v="NA"/>
    <n v="0"/>
    <n v="0"/>
    <s v="No"/>
    <n v="40"/>
    <m/>
    <n v="40"/>
    <m/>
    <n v="40"/>
    <m/>
    <m/>
    <n v="40"/>
    <s v="Con detalle por componente"/>
    <s v="Trabajo social o comunitario"/>
    <s v="Empezaría con marcas de Medellín, específicamente en el sector de la moda siempre me ha gustado mucho y quisiera tener una asesoría para saber como otros han logrado el iniciar una marca propia en Colombia que aporte al desarrollo social y económico y  con esto obtener mucha experiencia en el ámbito (moda y desarrollo) , de donde sacan sus productos, como los utilizan, quienes confeccionan sus prendas, entre otros. Para luego ayudar con  la dirección, creatividad e identidad de un emprendimiento propio con mi madre, una idea de pijamas loungewear, muy comprometido con  dignificar el trabajo colombiano, nos gustaría ser una cara de el emprendimiento Colombiano enseñar como es un buen camino para hacerlo y de manera correcta por el camino, con una responsabilidad social en la cual empleemos personas en situaciones difíciles como madres cabeza de hogar adicionalmente mostrando que se puede crecer sin atacar con químicos al medio ambiente, teniendo unos salarios justos y horarios de trabajo justos, intentar dentro de lo posible ser una marca de ropa &quot;limpia y transparente&quot;, sin entrar en ser una marca mas que alimenta el fast fashion, y que estar enfocados en que la marca transmita la importancia del  descanso y un buen sueño en una sociedad que no descansa y le da el 80% de la importancia a la productividad, no le da importancia a dormir entre las 8-9 horas para estar sanos, a tener una postura de sueño correcta y con hábitos de sueño correctos. A demás de sentirse tan bien como para poder utilizar una prenda de vestir tan cómoda y bien hecha que no solo se pueda utilizar en la cama a la hora de dormir si no que también se pueda combinar y usar fuera de casa llegando a un mercado que en Colombia  no esta muy explotado."/>
    <s v="Amigos"/>
    <s v="Por la calidad académica."/>
    <s v="Vocación."/>
    <n v="1"/>
    <s v="0"/>
    <s v="NO"/>
    <s v="NO"/>
    <s v="Entre 4 y 5 millones"/>
    <s v="No"/>
    <s v="SI"/>
    <s v="NO"/>
    <m/>
    <s v="SI"/>
    <s v="Beca"/>
    <s v="NO"/>
    <s v=""/>
    <s v=""/>
    <s v="Si"/>
    <s v="Plinio Rolando Forero Dueñas"/>
    <s v="Unión marital"/>
    <s v="MAESTRÍA"/>
    <s v="56"/>
    <s v="ingeniero"/>
    <s v="Trabajador informal"/>
    <s v="N/A"/>
    <s v="N/A"/>
    <n v="2000000"/>
    <s v="No"/>
    <s v="NO"/>
    <s v="NO"/>
    <s v="No vivo con el ni esta presente económicamente"/>
    <s v="Si"/>
    <s v="Isisi Paola Serna Monsalve"/>
    <s v="Unión marital"/>
    <s v="MAESTRÍA"/>
    <s v="46"/>
    <s v="Trabajadora social"/>
    <s v="Empleado (con contrato laboral)"/>
    <s v="Docente orientadora"/>
    <s v="Institucion educativa Marie Poussepin"/>
    <n v="5500000"/>
    <s v="Si"/>
    <s v="NO"/>
    <s v="SI"/>
    <m/>
    <n v="7500000"/>
    <s v="No, solo vivo con mis padres"/>
    <s v=""/>
    <s v=""/>
    <s v=""/>
    <s v=""/>
    <s v=""/>
    <m/>
    <s v=""/>
    <s v=""/>
    <s v=""/>
    <s v=""/>
    <s v=""/>
    <s v=""/>
    <m/>
    <s v=""/>
    <s v=""/>
    <s v=""/>
    <s v=""/>
    <s v=""/>
    <s v=""/>
    <m/>
    <s v=""/>
    <s v=""/>
    <n v="0"/>
    <n v="0"/>
    <n v="0"/>
    <n v="0"/>
    <n v="0"/>
    <s v="No"/>
    <s v=""/>
    <s v=""/>
    <n v="0"/>
    <s v="No"/>
    <s v=""/>
    <s v=""/>
    <n v="0"/>
    <s v="No"/>
    <s v=""/>
    <s v=""/>
    <s v=""/>
    <n v="0"/>
    <m/>
    <n v="4"/>
    <n v="4"/>
    <n v="4"/>
    <n v="4"/>
    <n v="4"/>
    <n v="4"/>
    <n v="4"/>
    <n v="3"/>
    <n v="4"/>
    <n v="4"/>
    <n v="39"/>
    <s v="SI"/>
    <m/>
    <s v="SI, SON PRI"/>
    <s v="ok tienen todos los datos"/>
    <e v="#N/A"/>
    <e v="#N/A"/>
    <m/>
    <n v="3"/>
    <n v="10"/>
    <n v="8"/>
    <n v="5"/>
    <n v="15"/>
    <n v="15"/>
    <n v="10"/>
    <n v="11.5"/>
    <n v="11.5"/>
    <n v="66.5"/>
    <n v="0.4"/>
    <m/>
    <n v="2"/>
    <n v="4.5"/>
    <n v="1"/>
    <n v="4"/>
    <n v="2"/>
    <n v="4"/>
    <n v="1"/>
    <n v="4.5"/>
    <n v="64.5"/>
    <n v="0.4"/>
    <n v="0.4"/>
    <e v="#N/A"/>
    <m/>
    <m/>
    <n v="0"/>
    <m/>
    <m/>
    <s v="Mercadeo"/>
    <e v="#N/A"/>
    <s v="169"/>
    <e v="#N/A"/>
  </r>
  <r>
    <s v="CC"/>
    <n v="1011512013"/>
    <s v="1000403458"/>
    <s v="SIMON CADAVID CUELLO"/>
    <s v="Transferencia Externa"/>
    <x v="1"/>
    <s v="No cumple, otros estudios de pregrado"/>
    <m/>
    <s v="En publico objetivo"/>
    <s v="2da Cohorte"/>
    <s v="Admitido"/>
    <s v="scadavidc7@eafit.edu.co"/>
    <s v="scadavidc7@eafit.edu.co"/>
    <s v="cadavidsimon7@gmail.com"/>
    <s v="573014090249"/>
    <d v="2025-05-16T00:00:00"/>
    <s v="Activo en Programa"/>
    <s v="002-Negocios Internacionales"/>
    <s v="Escuela de Administración"/>
    <d v="2006-09-17T00:00:00"/>
    <n v="19"/>
    <s v="Antioquia"/>
    <s v="Medellín"/>
    <s v="Hombre"/>
    <s v="Soltero"/>
    <s v="NO"/>
    <s v="NO"/>
    <n v="0"/>
    <s v="NO"/>
    <s v="NA"/>
    <s v="NO"/>
    <s v="NA"/>
    <s v="NO"/>
    <s v="NA"/>
    <s v="No"/>
    <s v="301/409-0249"/>
    <s v="573014090249"/>
    <s v="Estrato 2"/>
    <s v="CL 48 #61 43 IN 135"/>
    <s v="Antioquia"/>
    <s v="Copacabana"/>
    <s v="No aplica, no soy foráneo"/>
    <s v="Familiar"/>
    <s v="SI"/>
    <s v="2023"/>
    <s v="AC202342656999"/>
    <n v="312"/>
    <n v="64"/>
    <n v="67"/>
    <s v="Pública"/>
    <s v="IE NMAL SUP. MARIA AUXILIADORA"/>
    <n v="2023"/>
    <s v="Antioquia"/>
    <s v="Copacabana"/>
    <s v="BACHILLER"/>
    <s v="NORM"/>
    <s v="TIPO: Pública, INSTITUCION: IE NMAL SUP. MARIA AUXILIADORA, AÑO: 2023, CIUDAD: Copacabana, TITULO: BACHILLER"/>
    <n v="0"/>
    <n v="0"/>
    <s v="PCA TEX"/>
    <m/>
    <m/>
    <m/>
    <m/>
    <m/>
    <m/>
    <m/>
    <m/>
    <m/>
    <m/>
    <m/>
    <m/>
    <m/>
    <m/>
    <m/>
    <m/>
    <m/>
    <m/>
    <m/>
    <m/>
    <m/>
    <s v="Ver PCA TEX"/>
    <n v="4.4000000000000004"/>
    <s v="SI"/>
    <s v="TIPO: Privada, INSTITUCION: UNV. DE SAN BUENAVENTURA, AÑO: 0, CIUDAD: Medellín, TITULO: NEGOCIADOR INTERNACIONAL"/>
    <s v="PREGRADO"/>
    <s v=" TITULO: NEGOCIADOR INTERNACIONAL"/>
    <s v="No"/>
    <n v="45"/>
    <m/>
    <n v="45"/>
    <m/>
    <n v="45"/>
    <m/>
    <m/>
    <n v="45"/>
    <s v="Con detalle por componente"/>
    <s v="Trabajo social o comunitario"/>
    <s v="Me visualizo creando mi propia empresa, ofreciendo productos y servicios innovadores y funcionales, siendo líder a nivel nacional y posicionándome poco a poco en diferentes países y mercados. Igualmente cumpliendo uno de mis propósitos el cual es ayudar a crecer la economía local y del país, creando oportunidades de trabajo justas y dignas para la sociedad. Como Negociador Internacional también brindaré mis servicios para apoyar a empresas locales que quieran expandirse a mercados internacionales, ayudándoles en aspectos como la adaptación cultural del producto, la logística internacional y el estudio previo de los mercados._x000a__x000a_Gracias a la beca talento cuento con el respaldo para hacer realidad este proyecto de vida, este apoyo impulsará mi compromiso social y económico con la región y el país, siendo así, al momento que empiece a ejercer mi profesión, trabajaré arduamente por la transformación de mi comunidad, impulsando el emprendimiento, la creación de empleos, y el acceso a una educación de calidad. Asimismo, aspiro a ser un agente de cambio, que desde mi rol como Negociador internacional inspire a todos los jóvenes a seguir soñando en grande, prepararse profesionalmente y alcanzar todos sus sueños."/>
    <s v="Página WEB"/>
    <s v="Por la calidad académica."/>
    <s v="Vocación."/>
    <n v="3"/>
    <s v="1"/>
    <s v="NO"/>
    <s v="NO"/>
    <s v="Entre 3 y 4 millones"/>
    <s v="No"/>
    <n v="0"/>
    <s v="NO"/>
    <m/>
    <s v="SI"/>
    <m/>
    <s v="NO"/>
    <s v=""/>
    <s v=""/>
    <s v="Si"/>
    <s v="Francisco Javier Cadavid Gonzalez"/>
    <s v="Unión marital"/>
    <s v="UNIVERSITARIOS"/>
    <s v="60"/>
    <s v="Antropología"/>
    <s v="Independiente (trabaja por cuenta propia)"/>
    <s v="Arqueólogo"/>
    <s v="trabaja por cuenta propia"/>
    <n v="2500000"/>
    <s v="Si"/>
    <s v="NO"/>
    <s v="NO"/>
    <s v="Es una persona que se desempeña con profesionalidad en las labores que ejerce, una persona que se compromete en cumplir los objetivos y metas que se traza, y dentro de su formacion como antropólogo ha ejercido labores que han ayudado a la sociedad."/>
    <s v="Si"/>
    <s v="Ana Cristina Cuello Díaz"/>
    <s v="Unión marital"/>
    <s v="UNIVERSITARIOS"/>
    <s v="57"/>
    <s v="Antropóloga"/>
    <s v="Empleado (con contrato laboral)"/>
    <s v="Arqueológa residente"/>
    <s v="ÁREA DE INFRAESTRUCTURA S.A.S"/>
    <n v="3933000"/>
    <s v="Si"/>
    <s v="NO"/>
    <s v="NO"/>
    <s v="Es una mujer que siente pasion por el trabajo que realiza, comprometida con el cuidado de su familia, siempre busca el bienestar de las personas que la rodean, es muy buena madre y compañera de vida."/>
    <n v="6433000"/>
    <s v="No, solo vivo con mis padres"/>
    <s v=""/>
    <s v=""/>
    <s v=""/>
    <s v=""/>
    <s v=""/>
    <m/>
    <s v=""/>
    <s v=""/>
    <s v=""/>
    <s v=""/>
    <s v=""/>
    <s v=""/>
    <m/>
    <s v=""/>
    <s v=""/>
    <s v=""/>
    <s v=""/>
    <s v=""/>
    <s v=""/>
    <m/>
    <s v=""/>
    <s v=""/>
    <n v="120000000"/>
    <n v="0"/>
    <n v="150000000"/>
    <n v="0"/>
    <n v="0"/>
    <s v="Si"/>
    <s v="Chevrolet"/>
    <s v="1996"/>
    <n v="9000000"/>
    <s v="No"/>
    <s v=""/>
    <s v=""/>
    <n v="0"/>
    <s v="Si"/>
    <s v="Otro carro"/>
    <s v="Renault"/>
    <s v="2010"/>
    <n v="19000000"/>
    <s v="No aplica"/>
    <n v="4"/>
    <n v="4"/>
    <n v="4"/>
    <n v="4"/>
    <n v="4"/>
    <n v="4"/>
    <n v="4"/>
    <n v="4"/>
    <n v="3"/>
    <n v="4"/>
    <n v="39"/>
    <s v="SI"/>
    <m/>
    <s v="SI, SON TEX, EN LUGAR DE NOTAS TIENEN PCA"/>
    <s v="ok tienen todos los datos"/>
    <s v="Negada"/>
    <n v="20251"/>
    <m/>
    <n v="3"/>
    <n v="10"/>
    <n v="10"/>
    <n v="5"/>
    <n v="15"/>
    <n v="15"/>
    <n v="15"/>
    <n v="12"/>
    <n v="12"/>
    <n v="72"/>
    <n v="0.4"/>
    <m/>
    <n v="3.5"/>
    <n v="3.5"/>
    <n v="3"/>
    <n v="2"/>
    <n v="3.5"/>
    <n v="3.5"/>
    <n v="3"/>
    <n v="2"/>
    <n v="72"/>
    <n v="0.4"/>
    <n v="0.4"/>
    <e v="#N/A"/>
    <m/>
    <m/>
    <n v="0"/>
    <m/>
    <m/>
    <s v="Negocios Internacionales"/>
    <e v="#N/A"/>
    <s v="002"/>
    <e v="#N/A"/>
  </r>
  <r>
    <s v="TI"/>
    <n v="1011512526"/>
    <s v="1000406546"/>
    <s v="ISABELLA SIMANCA GIRALDO"/>
    <s v="Estudios por primera vez"/>
    <x v="1"/>
    <s v="No cumple, puntaje ICFES menor a 300"/>
    <m/>
    <s v="En publico objetivo"/>
    <s v="2da Cohorte"/>
    <s v="Admitido"/>
    <s v="isimancag@eafit.edu.co"/>
    <e v="#N/A"/>
    <s v="giraldoisabella1011@gmail.com"/>
    <s v="573004564221"/>
    <d v="2025-05-16T00:00:00"/>
    <s v="Activo en Programa"/>
    <s v="169-Mercadeo"/>
    <s v="Escuela de Administración"/>
    <d v="2007-06-05T00:00:00"/>
    <n v="18"/>
    <s v="Antioquia"/>
    <s v="Medellín"/>
    <s v="Mujer"/>
    <s v="Soltero"/>
    <s v="SI"/>
    <s v="SI"/>
    <s v="Granada"/>
    <s v="NO"/>
    <s v="NA"/>
    <s v="NO"/>
    <s v="NA"/>
    <s v="NO"/>
    <s v="NA"/>
    <s v="No"/>
    <s v="300/456-4221"/>
    <s v="573004564221"/>
    <s v="Estrato 1"/>
    <s v="CL 48 F JUAN XXIII SAN JAVIER"/>
    <s v="Antioquia"/>
    <s v="Medellín"/>
    <s v="No aplica, no soy foráneo"/>
    <s v="Familiar"/>
    <s v="SI"/>
    <s v="2023"/>
    <s v="AC202343469343"/>
    <n v="297"/>
    <n v="66"/>
    <n v="62"/>
    <s v="Pública"/>
    <s v="INST EDUC JUAN XXIII"/>
    <n v="2023"/>
    <s v="Antioquia"/>
    <s v="Medellín"/>
    <s v="BACHILLER"/>
    <s v="ACAD"/>
    <s v="TIPO: Pública, INSTITUCION: INST EDUC JUAN XXIII, AÑO: 2023, CIUDAD: Medellín, TITULO: BACHILLER"/>
    <s v="11"/>
    <s v="Escala Desempeño"/>
    <s v="Escala de 0 - 5"/>
    <s v="4"/>
    <s v="4"/>
    <m/>
    <s v="5"/>
    <s v="4"/>
    <m/>
    <n v="4.5"/>
    <n v="4.5"/>
    <m/>
    <n v="4.5"/>
    <n v="4.5"/>
    <m/>
    <s v="5"/>
    <s v="4,5"/>
    <m/>
    <s v="4"/>
    <s v="4"/>
    <m/>
    <s v="5"/>
    <s v="4"/>
    <m/>
    <s v="De 9 y 10"/>
    <n v="4.5"/>
    <s v="NO"/>
    <s v="NA"/>
    <n v="0"/>
    <n v="0"/>
    <s v="No"/>
    <n v="50"/>
    <m/>
    <n v="50"/>
    <m/>
    <n v="50"/>
    <m/>
    <m/>
    <n v="50"/>
    <s v="Con detalle por componente"/>
    <s v="Espacios de liderazgo o representación social,Trabajo social o comunitario"/>
    <s v="Me imagino siendo una profesional en mercadeo que trabaja con pasión, ayudando a crecer ideas, negocios y sueños, especialmente los de mi comunidad. Quiero acompañar a emprendedores, a esas personas que con esfuerzo sacan adelante sus proyectos, para que puedan dar a conocer lo que hacen de una forma auténtica, conectando con sus clientes y creciendo de verdad._x000a__x000a_Esta beca es una oportunidad que me abriría las puertas para formarme en una universidad como EAFIT, donde sé que podré aprender de grandes profesores, desarrollar mi talento y crecer no solo como estudiante, sino como persona. Poder estudiar allí, sin que el dinero sea un obstáculo, me permitiría enfocarme completamente en aprender para luego devolverle eso a mi región._x000a__x000a_Sueño con crear espacios donde los pequeños negocios, sobre todo de mujeres y jóvenes, puedan aprender a usar el mercadeo para destacar lo que hacen, para que sus productos o servicios lleguen lejos y tengan más oportunidades. Quiero ayudar a que la economía de mi zona crezca desde lo local, desde lo que somos, y mostrar que con apoyo, visión y educación, sí es posible transformar realidades."/>
    <s v="Anuncio periódico WEB"/>
    <s v="Por la calidad académica."/>
    <s v="Vocación."/>
    <n v="2"/>
    <s v="1"/>
    <s v="SI"/>
    <s v="NO"/>
    <s v="Entre 1 y 2 millones"/>
    <s v="No"/>
    <n v="0"/>
    <n v="0"/>
    <m/>
    <s v="SI"/>
    <s v="Beca"/>
    <s v="NO"/>
    <s v=""/>
    <s v=""/>
    <s v="Si"/>
    <s v="Gricelio Simanca Gaviria"/>
    <s v="Casado"/>
    <s v="TÉCNICA"/>
    <s v="49"/>
    <s v="Operario"/>
    <s v="Empleado (con contrato laboral)"/>
    <s v="Operario de planta"/>
    <s v="Sumicol Corona"/>
    <n v="2000000"/>
    <s v="No"/>
    <s v="NO"/>
    <s v="NO"/>
    <s v="Actualmente mis padres se encuentran en diálogos para definir los aportes de mi padre hacia nosotros"/>
    <s v="Si"/>
    <s v="Liliana Emilce Giraldo Botero"/>
    <s v="Casado"/>
    <s v="BACHILLERATO"/>
    <s v="42"/>
    <s v="Vendedora"/>
    <s v="Trabajador informal"/>
    <s v="Vendedora"/>
    <s v="Mayoristas Cata"/>
    <n v="1500000"/>
    <s v="Si"/>
    <s v="SI"/>
    <s v="NO"/>
    <m/>
    <n v="3500000"/>
    <s v="Si"/>
    <s v="Sebastián Simanca Giraldo"/>
    <s v="Hermano / Hermana"/>
    <s v="10"/>
    <s v="Estudiante"/>
    <s v="JUAN XXIII"/>
    <n v="0"/>
    <s v="No"/>
    <s v=""/>
    <s v=""/>
    <s v=""/>
    <s v=""/>
    <s v=""/>
    <m/>
    <s v=""/>
    <s v=""/>
    <s v=""/>
    <s v=""/>
    <s v=""/>
    <s v=""/>
    <m/>
    <s v=""/>
    <s v=""/>
    <n v="0"/>
    <n v="0"/>
    <n v="0"/>
    <n v="0"/>
    <n v="0"/>
    <s v="No"/>
    <s v=""/>
    <s v=""/>
    <n v="0"/>
    <s v="No"/>
    <s v=""/>
    <s v=""/>
    <n v="0"/>
    <s v="No"/>
    <s v=""/>
    <s v=""/>
    <s v=""/>
    <n v="0"/>
    <m/>
    <n v="3"/>
    <n v="4"/>
    <n v="4"/>
    <n v="4"/>
    <n v="4"/>
    <n v="3"/>
    <n v="3"/>
    <n v="4"/>
    <n v="4"/>
    <n v="4"/>
    <n v="37"/>
    <s v="SI"/>
    <m/>
    <s v="SI, SON PRI"/>
    <s v="ok tienen todos los datos"/>
    <s v="Negada Talento"/>
    <n v="20241"/>
    <m/>
    <n v="3"/>
    <n v="6"/>
    <n v="6"/>
    <n v="0"/>
    <n v="20"/>
    <n v="15"/>
    <n v="20"/>
    <n v="19.5"/>
    <n v="17"/>
    <n v="78"/>
    <n v="0.5"/>
    <m/>
    <n v="3.5"/>
    <n v="3.5"/>
    <n v="6"/>
    <n v="4"/>
    <n v="3.5"/>
    <n v="3.5"/>
    <n v="8"/>
    <n v="4.5"/>
    <n v="80.5"/>
    <s v="80 - 100%"/>
    <n v="0.7"/>
    <e v="#N/A"/>
    <s v="se baja por icfes inferior a 300"/>
    <m/>
    <n v="0"/>
    <m/>
    <m/>
    <s v="Mercadeo"/>
    <e v="#N/A"/>
    <s v="169"/>
    <e v="#N/A"/>
  </r>
  <r>
    <s v="TI"/>
    <n v="1011513369"/>
    <s v="1000388786"/>
    <s v="SAMUEL ZAPATA VARGAS"/>
    <s v="Estudios por primera vez"/>
    <x v="1"/>
    <s v="Descartado por PG y pregrado"/>
    <m/>
    <s v="En publico objetivo"/>
    <s v="3ra Cohorte"/>
    <s v="Admitido"/>
    <s v="szapatav9@eafit.edu.co"/>
    <s v="szapatav9@eafit.edu.co"/>
    <s v="samuelzapatav2008@gmail.com"/>
    <s v="315/899-4820"/>
    <d v="2025-05-30T00:00:00"/>
    <s v="Activo en Programa"/>
    <s v="010-Ingeniería de Sistemas"/>
    <s v="E Ciencias Aplic e Ingeniería"/>
    <d v="2008-08-02T00:00:00"/>
    <n v="17"/>
    <s v="Antioquia"/>
    <s v="Medellín"/>
    <s v="Hombre"/>
    <s v="Soltero"/>
    <s v="NO"/>
    <s v="NO"/>
    <n v="0"/>
    <s v="NO"/>
    <s v="NA"/>
    <s v="NO"/>
    <s v="NA"/>
    <s v="NO"/>
    <s v="NA"/>
    <s v="No"/>
    <s v="312/817-3614"/>
    <s v="315/899-4820"/>
    <s v="Estrato 3"/>
    <s v="CR 68 A #103 20"/>
    <s v="Antioquia"/>
    <s v="Medellín"/>
    <s v="No aplica, no soy foráneo"/>
    <s v="Arriendo"/>
    <s v="SI"/>
    <s v="2024"/>
    <s v="AC202433489531"/>
    <n v="329"/>
    <n v="65"/>
    <n v="70"/>
    <s v="Pública"/>
    <s v="INST EDUC COLEGIO LOYOLA PARA"/>
    <n v="2024"/>
    <s v="Antioquia"/>
    <s v="Medellín"/>
    <s v="BACHILLER"/>
    <s v="ACAD"/>
    <s v="TIPO: Pública, INSTITUCION: INST EDUC COLEGIO LOYOLA PARA, AÑO: 2024, CIUDAD: Medellín, TITULO: BACHILLER"/>
    <s v="11"/>
    <s v="Escala Desempeño"/>
    <s v="Escala de 0 - 5"/>
    <s v="4,5"/>
    <s v="4"/>
    <m/>
    <s v="4"/>
    <s v="4"/>
    <m/>
    <n v="4.5"/>
    <n v="4"/>
    <m/>
    <n v="4"/>
    <n v="4"/>
    <m/>
    <s v="4"/>
    <s v="4"/>
    <m/>
    <s v="4"/>
    <s v="4"/>
    <m/>
    <s v="4"/>
    <s v="4"/>
    <m/>
    <s v="De 9 y 10"/>
    <n v="4.125"/>
    <s v="NO"/>
    <s v="NA"/>
    <n v="0"/>
    <n v="0"/>
    <s v="No"/>
    <n v="45"/>
    <m/>
    <n v="50"/>
    <m/>
    <n v="40"/>
    <m/>
    <s v="Buen desempeño en la entrevista, con experiencia previa en programación y alta convicción en la decisión para elegir sistemas"/>
    <n v="45"/>
    <s v="Con detalle por componente"/>
    <s v="Ninguna"/>
    <s v="me veo en un futuro ejerciendo mi carrera en ingenieria de sistemas por medio de mi negocio de tecnologia que estara enfocado en la ciberseguridad, ya que mi meta es ayudar a las pequeñas, medias y algunas grandes empresas a mejorar su infraestructura, darles soluciones efectivas porque he notado que en nuestro pais las empresas no dimensionan ni entienden la gran imporctancia de la ciberseguridad y aunque quisieran, no cuentan con las herramientas correctas y esto puede ayudar, ya que si no se protegen los datos de los usuarios ni los interesas de la empresa podria ser muy malo y por medio de el negocio podria mejorar la seguridad digital de Colombia lo que llevaría a menos perdidas. la beca me seria de gran ayuda, ya que podre concentrarme deforma total en mis estudios y  en la realizacion de mi carrera profesional, de esta y de mas metas que contribuirían en nuestra ciudad y país"/>
    <s v="Otro"/>
    <s v="Por la calidad académica."/>
    <s v="Vocación."/>
    <n v="3"/>
    <s v="1"/>
    <s v="SI"/>
    <s v="NO"/>
    <s v="Entre 3 y 4 millones"/>
    <s v="Si"/>
    <s v="Y"/>
    <s v="N"/>
    <m/>
    <s v="Y"/>
    <m/>
    <s v="SI"/>
    <s v="CARNICOS Y ALIMENTOS"/>
    <s v="carnicos m y j"/>
    <s v="Si"/>
    <s v="Jose Jaime Ramirez Agudelo"/>
    <s v="Casado"/>
    <s v="TÉCNICA"/>
    <s v="37"/>
    <s v="Chef"/>
    <s v="Empleado (con contrato laboral)"/>
    <s v="Jefe de Cocina"/>
    <s v="Cocorollo"/>
    <n v="2450000"/>
    <s v="Si"/>
    <s v="NO"/>
    <s v="SI"/>
    <s v="-Es PADRASTRO-No se logro montar cerificado a tiempo"/>
    <s v="Si"/>
    <s v="Juliet Andrea Vargas Ibarra"/>
    <s v="Casado"/>
    <s v="TECNOLOGÍA"/>
    <s v="37"/>
    <s v="Administrar"/>
    <s v="Empleado (con contrato laboral)"/>
    <s v="Administradora"/>
    <s v=" BROKERS LOGISTICS AMERICA S.A.S."/>
    <n v="1800000"/>
    <s v="Si"/>
    <s v="SI"/>
    <s v="SI"/>
    <m/>
    <n v="4250000"/>
    <s v="Si"/>
    <s v="Aracelly Vargas Ibarra"/>
    <s v="Abuelo / Abuela"/>
    <s v="65"/>
    <s v="Jubilada"/>
    <s v="SENA"/>
    <n v="5000000"/>
    <s v="No"/>
    <s v="Michael Peter Carfero"/>
    <s v="Abuelo / Abuela"/>
    <s v="57"/>
    <s v="Pensionado"/>
    <s v="SENA y Social Security"/>
    <n v="8000000"/>
    <s v="No"/>
    <s v="Raul Eduardo Quintero Vargas"/>
    <s v="Tío / Tía"/>
    <s v="45"/>
    <s v="Contador publico"/>
    <s v="Control Group Asesoria &amp; consultoria"/>
    <n v="9000000"/>
    <s v="No"/>
    <s v=""/>
    <n v="0"/>
    <n v="0"/>
    <n v="0"/>
    <n v="0"/>
    <n v="0"/>
    <s v="No"/>
    <s v=""/>
    <s v=""/>
    <n v="0"/>
    <s v="No"/>
    <s v=""/>
    <s v=""/>
    <n v="0"/>
    <s v="No"/>
    <s v=""/>
    <s v=""/>
    <s v=""/>
    <n v="0"/>
    <m/>
    <n v="4"/>
    <n v="4"/>
    <n v="3"/>
    <n v="4"/>
    <n v="4"/>
    <n v="4"/>
    <n v="4"/>
    <n v="4"/>
    <n v="3"/>
    <n v="4"/>
    <n v="38"/>
    <s v="SI"/>
    <m/>
    <s v="SI, SON PRI"/>
    <s v="ok tienen todos los datos"/>
    <e v="#N/A"/>
    <e v="#N/A"/>
    <m/>
    <n v="3"/>
    <n v="10"/>
    <n v="8"/>
    <n v="5"/>
    <n v="15"/>
    <n v="15"/>
    <n v="15"/>
    <n v="19"/>
    <n v="18"/>
    <n v="78"/>
    <n v="0.5"/>
    <m/>
    <n v="3.5"/>
    <n v="4.5"/>
    <n v="6"/>
    <n v="4"/>
    <n v="3.5"/>
    <n v="4"/>
    <n v="7"/>
    <n v="4.5"/>
    <n v="77"/>
    <n v="0.7"/>
    <n v="0.7"/>
    <e v="#N/A"/>
    <m/>
    <m/>
    <n v="0"/>
    <m/>
    <m/>
    <s v="Ingeniería de Sistemas"/>
    <e v="#N/A"/>
    <s v="010"/>
    <e v="#N/A"/>
  </r>
  <r>
    <s v="CC"/>
    <n v="1013101917"/>
    <s v="1000261039"/>
    <s v="ANA SOFIA PARDO TOLEDO"/>
    <s v="Estudios por primera vez"/>
    <x v="1"/>
    <s v="No cumple, puntaje ICFES menor a 300"/>
    <s v="Rescatado"/>
    <s v="En publico objetivo"/>
    <s v="3ra Cohorte"/>
    <s v="Admitido"/>
    <s v="aspardot@eafit.edu.co"/>
    <s v="aspardot@eafit.edu.co"/>
    <s v="jbanapardo@gmail.com"/>
    <s v="300/661-5652"/>
    <d v="2025-05-30T00:00:00"/>
    <s v="Activo en Programa"/>
    <s v="112-Comunicación Social"/>
    <s v="Escuela de Artes y Humanidades"/>
    <d v="2004-10-11T00:00:00"/>
    <n v="21"/>
    <s v="Bogotá"/>
    <s v="Bogotá D.C."/>
    <s v="Mujer"/>
    <s v="Soltero"/>
    <s v="NO"/>
    <s v="NO"/>
    <n v="0"/>
    <s v="NO"/>
    <s v="NA"/>
    <s v="NO"/>
    <s v="NA"/>
    <s v="NO"/>
    <s v="NA"/>
    <s v="No"/>
    <s v="300/661-5652"/>
    <s v="300/661-5652"/>
    <s v="Estrato 3"/>
    <s v="CL 66 SUR #44 33"/>
    <s v="Antioquia"/>
    <s v="Sabaneta"/>
    <s v="No aplica, no soy foráneo"/>
    <s v="Arriendo"/>
    <s v="SI"/>
    <s v="2025"/>
    <s v="AC202510882068"/>
    <n v="232"/>
    <n v="45"/>
    <n v="50"/>
    <s v="Privada"/>
    <s v="COLEGIO HARVARD"/>
    <n v="2023"/>
    <s v="Santander"/>
    <s v="Bucaramanga"/>
    <s v="BACHILLER"/>
    <s v="ACAD"/>
    <s v="TIPO: Privada, INSTITUCION: COLEGIO HARVARD, AÑO: 2023, CIUDAD: Bucaramanga, TITULO: BACHILLER"/>
    <s v="11"/>
    <s v="Escala de 0 - 5"/>
    <s v="Escala de 0 - 5"/>
    <s v="3,1"/>
    <s v="4"/>
    <m/>
    <s v="3,1"/>
    <s v="4"/>
    <m/>
    <n v="4"/>
    <n v="3.5"/>
    <m/>
    <n v="4.3"/>
    <n v="3.4"/>
    <m/>
    <s v="3,5"/>
    <s v="3,3"/>
    <m/>
    <s v="3,4"/>
    <s v="3,1"/>
    <m/>
    <s v="4"/>
    <s v="3,4"/>
    <m/>
    <s v="De 9 y 10"/>
    <n v="3.8000000000000003"/>
    <s v="NO"/>
    <s v="NA"/>
    <n v="0"/>
    <n v="0"/>
    <s v="No"/>
    <n v="45"/>
    <m/>
    <n v="50"/>
    <m/>
    <n v="50"/>
    <m/>
    <m/>
    <n v="48.333333333333336"/>
    <s v="Con detalle por componente"/>
    <s v="Trabajo social o comunitario,Otras (por ejemplo, un talento extraordinario)"/>
    <s v="Desde pequeña he comprendido el poder de las palabras y el valor de ser escuchado. Nací y crecí en una región marcada por el conflicto, pero también por la esperanza. Estudiar Comunicación Social y Periodismo en EAFIT representa para mí la oportunidad de transformar esa realidad desde el conocimiento, la empatía y la acción._x000a__x000a_Uno de mis mayores sueños es fundar una organización en San José del Guaviare que brinde acompañamiento y orientación a jóvenes víctimas del conflicto armado. Deseo crear espacios donde puedan reconstruir su historia, fortaleciendo su voz a través de la comunicación._x000a__x000a_También quiero impactar positivamente en el departamento del Meta, otra tierra que hace parte de mis raíces. Allí aspiro a desarrollar proyectos periodísticos que visibilicen las realidades sociales que muchas veces son ignoradas. Me interesa un periodismo que escuche, que conecte, que denuncie, pero también que construya._x000a__x000a_Para mí, comunicar no es solo informar: es acompañar, transformar y sanar. Quiero ser una comunicadora cercana, que narre con sensibilidad las historias de quienes no han tenido la oportunidad de ser oídos. Creo profundamente en una comunicación más humana y comprometida con las comunidades._x000a__x000a_La beca es, además, una necesidad real: por la situación económica de mi familia, es la única opción que tengo para estudiar. Ser beneficiaria significaría no solo un alivio para ellos, sino la posibilidad de cumplir mi propósito de vida._x000a__x000a_Estoy lista para poner mi voz al servicio de los demás, con ética, sensibilidad y pasión. Porque comunicar también es sanar."/>
    <s v="Amigos"/>
    <s v="Por la oferta académica."/>
    <s v="Vocación."/>
    <n v="4"/>
    <s v="1"/>
    <s v="SI"/>
    <s v="NO"/>
    <s v="Entre 1 y 2 millones"/>
    <s v="Si"/>
    <n v="0"/>
    <n v="0"/>
    <m/>
    <s v="SI"/>
    <s v="Beca"/>
    <s v="NO"/>
    <s v=""/>
    <s v=""/>
    <s v="Si"/>
    <s v="Javier Francisco Pardo Horrillo"/>
    <s v="Casado"/>
    <s v="MAESTRÍA"/>
    <s v="40"/>
    <s v="psicologo clinico"/>
    <s v="Independiente (trabaja por cuenta propia)"/>
    <s v="psicologo clinico"/>
    <s v="tiene un consultorio, es independiente"/>
    <n v="4000000"/>
    <s v="No"/>
    <s v="NO"/>
    <s v="NO"/>
    <s v="mi padre a pesar de que ha sido un padre presente emocionalmente ,no ha sido un padre presente económicamente ya que el sufre de una enfermedad que se llama colitis ulcerativa, eso ha hecho que mi padre no pueda desarrollar bien su papel de un padre que este muy pendiente."/>
    <s v="Si"/>
    <s v="Luz Milena Toledo Cañaveral"/>
    <s v="Otro"/>
    <m/>
    <s v="41"/>
    <s v="Independiente"/>
    <s v="Emprendedor (inicia un proyecto productivo o negocio propio)"/>
    <s v="Independiente"/>
    <s v="tiene un restaurante de comida saludable"/>
    <n v="3000000"/>
    <s v="Si"/>
    <s v="SI"/>
    <s v="NO"/>
    <s v="mi madre, ha comenzado un restaurante hace unos 3 años, eso nos ayuda a sostenernos a mi abuela, mi hermana menor y yo, ya que siempre ha sido madre soltera"/>
    <n v="7000000"/>
    <s v="Si"/>
    <s v="Maria Teresa Dugarte de Toledo"/>
    <s v="Abuelo / Abuela"/>
    <s v="74"/>
    <s v="Pensionada"/>
    <s v="nada"/>
    <n v="1000000"/>
    <s v="No"/>
    <s v="Gabriela Cepeda Toledo"/>
    <s v="Hermano / Hermana"/>
    <s v="7"/>
    <s v="Estudiante"/>
    <s v="home school"/>
    <n v="0"/>
    <s v="No"/>
    <s v=""/>
    <s v=""/>
    <s v=""/>
    <s v=""/>
    <s v=""/>
    <m/>
    <s v=""/>
    <s v="mi abuela, es una señora de edad, que con su pensión paga sus gastos médicos y mi hermana es una niña que padece de asperger"/>
    <n v="0"/>
    <n v="0"/>
    <n v="0"/>
    <n v="0"/>
    <n v="0"/>
    <s v="No"/>
    <s v=""/>
    <s v=""/>
    <n v="0"/>
    <s v="No"/>
    <s v=""/>
    <s v=""/>
    <n v="0"/>
    <s v="No"/>
    <s v=""/>
    <s v=""/>
    <s v=""/>
    <n v="0"/>
    <m/>
    <n v="1"/>
    <n v="1"/>
    <n v="1"/>
    <n v="1"/>
    <n v="1"/>
    <n v="1"/>
    <n v="2"/>
    <n v="1"/>
    <n v="1"/>
    <n v="1"/>
    <n v="11"/>
    <s v="NO"/>
    <s v="SI, ICFES"/>
    <s v="PRI SIN PUNTAJE ICFES Y GRADUACION ANTES DE 2025"/>
    <s v="ok puntaje icfes de informe estrategia"/>
    <e v="#N/A"/>
    <e v="#N/A"/>
    <m/>
    <n v="2"/>
    <n v="10"/>
    <n v="8"/>
    <n v="0"/>
    <n v="10"/>
    <n v="0"/>
    <n v="20"/>
    <n v="13.5"/>
    <n v="11.5"/>
    <n v="51.5"/>
    <n v="0.4"/>
    <m/>
    <n v="2"/>
    <n v="4.5"/>
    <n v="1"/>
    <n v="4"/>
    <n v="2"/>
    <n v="4"/>
    <n v="3"/>
    <n v="4.5"/>
    <n v="51.5"/>
    <n v="0.4"/>
    <n v="0.4"/>
    <e v="#N/A"/>
    <m/>
    <m/>
    <s v="SI, ICFES"/>
    <m/>
    <m/>
    <s v="Comunicación Social"/>
    <e v="#N/A"/>
    <s v="112"/>
    <e v="#N/A"/>
  </r>
  <r>
    <s v="TI"/>
    <n v="1013119250"/>
    <s v="1000409018"/>
    <s v="TOMAS SANTIAGO PRADA SANABRIA"/>
    <s v="Estudios por primera vez"/>
    <x v="1"/>
    <s v="Descartado por bajo icfes"/>
    <m/>
    <s v="En publico objetivo"/>
    <s v="3ra Cohorte"/>
    <s v="Admitido"/>
    <s v="tspradas@eafit.edu.co"/>
    <e v="#N/A"/>
    <s v="pradatomas758@gmail.com"/>
    <s v="573125139596"/>
    <d v="2025-05-30T00:00:00"/>
    <s v="Activo en Programa"/>
    <s v="084-Derecho"/>
    <s v="Escuela de Derecho"/>
    <d v="2007-12-20T00:00:00"/>
    <n v="17"/>
    <s v="Bogotá"/>
    <s v="Bogotá D.C."/>
    <s v="Hombre"/>
    <s v="Soltero"/>
    <s v="NO"/>
    <s v="NO"/>
    <n v="0"/>
    <s v="NO"/>
    <s v="NA"/>
    <s v="NO"/>
    <s v="NA"/>
    <s v="NO"/>
    <s v="NA"/>
    <s v="No"/>
    <s v="312/513-9596"/>
    <s v="573125139596"/>
    <s v="Estrato 2"/>
    <s v="CL 13 11 47"/>
    <s v="Tolima"/>
    <s v="Guamo"/>
    <s v="Si"/>
    <s v="Propio"/>
    <s v="SI"/>
    <s v="2024"/>
    <s v="AC202435315874"/>
    <n v="308"/>
    <n v="62"/>
    <n v="61"/>
    <s v="Privada"/>
    <s v="LICEO MARÍA JOSÉ"/>
    <n v="2024"/>
    <m/>
    <s v="Espinal"/>
    <s v="Bachillerato"/>
    <s v="Académico"/>
    <m/>
    <s v="11"/>
    <s v="Escala Desempeño"/>
    <s v="Escala de 0 - 5"/>
    <s v="4,5"/>
    <s v="4,5"/>
    <m/>
    <s v="4,5"/>
    <s v="4,5"/>
    <m/>
    <n v="4.5"/>
    <n v="5"/>
    <m/>
    <n v="4.5"/>
    <n v="5"/>
    <m/>
    <s v="4,5"/>
    <s v="5"/>
    <m/>
    <s v="4,5"/>
    <s v="5"/>
    <m/>
    <s v="4,5"/>
    <s v="5"/>
    <m/>
    <s v="De 9 y 10"/>
    <n v="4.75"/>
    <s v="NO"/>
    <s v="NA"/>
    <n v="0"/>
    <n v="0"/>
    <s v="No"/>
    <n v="45"/>
    <m/>
    <n v="50"/>
    <m/>
    <n v="50"/>
    <m/>
    <m/>
    <n v="48.333333333333336"/>
    <s v="Con detalle por componente"/>
    <s v="Espacios de liderazgo o representación social,Trabajo social o comunitario"/>
    <s v="Desde que fui admitido al programa de Derecho, me visualizo como un estudiante íntegro y con valores. Día a día me levantaré agradecido con mis padres y con Dios por brindarme la oportunidad de estudiar. También me levantaré con la emoción de aprender nuevos conceptos, compartir con mis compañeros y crecer personal y académicamente._x000a__x000a_Al finalizar mi etapa de estudios, me visualizo como un abogado íntegro, que se comprometerá con Dios y con la ciudadanía a velar por la justicia, la equidad y la defensa de los derechos fundamentales._x000a__x000a_Gracias a la solidaridad de la universidad, muchos jóvenes que no contamos con suficientes recursos económicos tenemos la posibilidad de estudiar. Obtener esta beca significa para mí una oportunidad de superación, pero también una gran responsabilidad._x000a__x000a_Por eso, mi propósito es poner mi granito de arena para, poco a poco, ir transformando y mejorando mi país. Pienso regresar a mi pueblo y poner todos mis conocimientos al servicio de la comunidad, ayudando a quienes más lo necesiten. Estoy convencido de que, desde el Derecho, puedo aportar un cambio real y positivo."/>
    <s v="Amigos"/>
    <s v="Por la calidad académica."/>
    <s v="Vocación."/>
    <n v="3"/>
    <s v="1"/>
    <s v="SI"/>
    <s v="NO"/>
    <s v="Entre 3 y 4 millones"/>
    <s v="Si"/>
    <s v="SI"/>
    <s v="SI"/>
    <m/>
    <s v="SI"/>
    <m/>
    <s v="NO"/>
    <s v=""/>
    <s v=""/>
    <s v="Si"/>
    <s v="Nelson Enrique Prada Mendoza"/>
    <s v="Unión marital"/>
    <s v="BACHILLERATO"/>
    <s v="45"/>
    <s v="Carnicero"/>
    <s v="Emprendedor (inicia un proyecto productivo o negocio propio)"/>
    <s v="Carnicero"/>
    <s v="Carnicería la bendición"/>
    <n v="1300000"/>
    <s v="Si"/>
    <s v="SI"/>
    <s v="NO"/>
    <s v="Mi papá es el hombre que yo más admiro en el mundo, a pesar de las adversidades siempre se levanta con una sonrisa y aunque las cosas no siempre salen como las planea, nunca deja de luchar."/>
    <s v="Si"/>
    <s v="Viviana Sanabria Gualtero"/>
    <s v="Unión marital"/>
    <s v="UNIVERSITARIOS"/>
    <s v="40"/>
    <s v="Administradora"/>
    <s v="Emprendedor (inicia un proyecto productivo o negocio propio)"/>
    <s v="Cajera, administradora"/>
    <s v="Carnicería la bendición"/>
    <n v="2500000"/>
    <s v="Si"/>
    <s v="NO"/>
    <s v="NO"/>
    <s v="Mi madre ha sido la persona que se ha encargado de educarme y guiarme toda mi vida, generalmente paso más tiempo con ella y es la persona que siempre está para mí, sin importar la situación."/>
    <n v="3800000"/>
    <s v="Si"/>
    <s v="Laura Catalina Prada Sanabria"/>
    <s v="Hermano / Hermana"/>
    <s v="12"/>
    <s v="Estudiante"/>
    <s v="Liceo María José"/>
    <n v="0"/>
    <s v="No"/>
    <s v=""/>
    <s v=""/>
    <s v=""/>
    <s v=""/>
    <s v=""/>
    <m/>
    <s v=""/>
    <s v=""/>
    <s v=""/>
    <s v=""/>
    <s v=""/>
    <s v=""/>
    <m/>
    <s v=""/>
    <s v=""/>
    <n v="0"/>
    <n v="0"/>
    <n v="0"/>
    <n v="35000000"/>
    <n v="0"/>
    <s v="No"/>
    <s v=""/>
    <s v=""/>
    <n v="0"/>
    <s v="Si"/>
    <s v="Toyota (furgón)"/>
    <s v="1999"/>
    <n v="30000000"/>
    <s v="No"/>
    <s v=""/>
    <s v=""/>
    <s v=""/>
    <n v="0"/>
    <s v="El furgón se utiliza generalmente en la carnicería y la casa donde vivimos es de mis abuelos"/>
    <n v="3"/>
    <n v="4"/>
    <n v="3"/>
    <n v="4"/>
    <n v="4"/>
    <n v="3"/>
    <n v="4"/>
    <n v="4"/>
    <n v="3"/>
    <n v="4"/>
    <n v="36"/>
    <s v="SI"/>
    <s v="SI, TIPO IE"/>
    <s v="PRI SIN TIPO IE"/>
    <s v="pendiente tipo ie"/>
    <e v="#N/A"/>
    <e v="#N/A"/>
    <m/>
    <n v="2"/>
    <n v="10"/>
    <n v="10"/>
    <n v="5"/>
    <n v="20"/>
    <n v="15"/>
    <n v="20"/>
    <n v="15"/>
    <n v="13.5"/>
    <n v="83.5"/>
    <n v="0.4"/>
    <m/>
    <n v="2"/>
    <n v="2.5"/>
    <n v="6"/>
    <n v="3"/>
    <n v="2"/>
    <n v="2.5"/>
    <n v="7"/>
    <n v="3.5"/>
    <n v="85"/>
    <n v="0.5"/>
    <n v="0.5"/>
    <e v="#N/A"/>
    <m/>
    <m/>
    <s v="SI, TIPO IE"/>
    <m/>
    <m/>
    <s v="Derecho"/>
    <e v="#N/A"/>
    <s v="084"/>
    <e v="#N/A"/>
  </r>
  <r>
    <s v="CC"/>
    <n v="1013262778"/>
    <s v="1000407487"/>
    <s v="SANTIAGO MOSQUERA HINESTROZA"/>
    <s v="Estudios por primera vez"/>
    <x v="1"/>
    <s v="Duda, cursando o graduado de tecnica o tecnologia"/>
    <m/>
    <s v="En publico objetivo"/>
    <s v="3ra Cohorte"/>
    <s v="Admitido"/>
    <s v="smosquerah@eafit.edu.co"/>
    <e v="#N/A"/>
    <s v="santiagomosqhz@gmail.com"/>
    <s v="3223845250, 6041234567"/>
    <d v="2025-05-30T00:00:00"/>
    <s v="Matrícula"/>
    <s v="010-Ingeniería de Sistemas"/>
    <s v="E Ciencias Aplic e Ingeniería"/>
    <s v="15/10/2006"/>
    <n v="19"/>
    <s v="Bogotá"/>
    <s v="Bogotá D.C."/>
    <s v="Hombre"/>
    <s v="Soltero"/>
    <s v="NO"/>
    <s v="NO"/>
    <s v="NA"/>
    <s v="NO"/>
    <s v="NA"/>
    <s v="SI"/>
    <s v="Comunidad Negra"/>
    <s v="SI"/>
    <s v="Afrocolombianos"/>
    <s v="No"/>
    <s v="NA"/>
    <s v="NA"/>
    <s v="Estrato 3"/>
    <s v="CL 77 #57 B 35 IN 301"/>
    <s v="Antioquia"/>
    <s v="Bello"/>
    <s v="No aplica, no soy foráneo"/>
    <s v="Arriendo"/>
    <s v="SI"/>
    <s v="2024"/>
    <s v="AC202431783497"/>
    <n v="318"/>
    <n v="65"/>
    <n v="59"/>
    <s v="Pública"/>
    <s v="Institución educativa Santa Catalina"/>
    <n v="2024"/>
    <m/>
    <s v="Bello"/>
    <s v="Bachillerato"/>
    <s v="Académico"/>
    <m/>
    <s v="Once"/>
    <s v="0-50"/>
    <s v="Escala de 0 - 5"/>
    <m/>
    <m/>
    <m/>
    <m/>
    <m/>
    <m/>
    <n v="4"/>
    <n v="4"/>
    <m/>
    <n v="4"/>
    <n v="4"/>
    <m/>
    <m/>
    <m/>
    <m/>
    <m/>
    <m/>
    <m/>
    <m/>
    <m/>
    <m/>
    <s v="De 9 y 10"/>
    <n v="4"/>
    <s v="SI"/>
    <s v="Tecnica en  Gestion Administrativa- SENA- Finalizada"/>
    <s v="TECNICA"/>
    <s v="Tecnica en  Gestion Administrativa"/>
    <s v="No"/>
    <s v="Sin informacion"/>
    <s v="Sin informacion"/>
    <s v="Sin informacion"/>
    <s v="Sin informacion"/>
    <s v="Sin informacion"/>
    <s v="Sin informacion"/>
    <s v="Sin informacion"/>
    <n v="40"/>
    <s v="Sin detalle por componente"/>
    <s v="Otras (por ejemplo, un talento extraordinario),Espacios de liderazgo o representación social"/>
    <s v="Estudiar Ingeniería de Sistemas en EAFIT es mucho más que una simple meta académica para mí es el camino hacia un sueño que he tenido desde hace tiempo. Siempre he creído que los ingenieros son los que realmente transforman el mundo. Quiero ser ese profesional que no solo se dedica a resolver problemas tecnológicos, sino que también busca mejorar la vida de los demás._x000a__x000a_Me imagino trabajando en proyectos que realmente marquen la diferencia, aportando soluciones en cualquier lugar donde me encuentre. Pero, sobre todo sueño con regresar a Nuquí, el pueblo de mis abuelos y contribuir al desarrollo de esa comunidad. En Nuquí muchas personas aún carecen de acceso a internet, buenos equipos o herramientas tecnológicas básicas. Eso no es justo, y quiero ser parte del cambio._x000a__x000a_Sé que no será fácil, pero precisamente por eso esta beca es tan crucial para mí. Tener esta oportunidad me permitiría estudiar sin preocupaciones económicas y enfocarme en dar lo mejor de mí. Me brindaría la posibilidad de prepararme adecuadamente para, algún día, devolver todo ese conocimiento a mi región._x000a__x000a_Quiero utilizar lo que aprenda para llevar tecnología a lugares que aún no la conocen, para conectar a niños y jóvenes con nuevas oportunidades. Sé lo que es soñar en grande y sentir que a veces no se tienen los recursos necesarios. Por eso, esta beca no solo sería un apoyo para mí, sino una inversión en alguien que realmente desea hacer la diferencia._x000a__x000a_Creo firmemente en el poder de la educación con propósito. Si me brindan esta oportunidad, me comprometo a convertirla en acciones concretas que beneficien a Colombia, desde mi carrera y mis raíces."/>
    <s v="Referencias familiares"/>
    <s v="Por la calidad académica."/>
    <s v="Vocación."/>
    <n v="1"/>
    <s v="2"/>
    <s v="NO"/>
    <s v="NO"/>
    <s v="Entre 1 y 2 millones"/>
    <s v="No"/>
    <n v="0"/>
    <n v="0"/>
    <m/>
    <s v="Y"/>
    <m/>
    <s v="NO"/>
    <s v="NA"/>
    <s v="NA"/>
    <s v="Sin información"/>
    <n v="0"/>
    <m/>
    <m/>
    <m/>
    <s v=""/>
    <s v=""/>
    <m/>
    <s v=""/>
    <m/>
    <s v=""/>
    <m/>
    <m/>
    <s v="Mi padre es desplazado por la violencia en el chocó y desde que yo era muy joven se fue de la casa y desde entonces lo he visto un par de veces, pero no tengo mucha más información sobre él."/>
    <s v="Si"/>
    <s v="Saray Mosquera Hinestroza"/>
    <m/>
    <m/>
    <m/>
    <s v="Manicurista"/>
    <s v="Trabajador informal"/>
    <s v="Manicurista independiente"/>
    <s v="N/A"/>
    <n v="800000"/>
    <s v="No"/>
    <m/>
    <m/>
    <s v="Mi mamá no tiene un salario fijo, en promedio 800000 es lo que gana, ella se fue para el chocó porque la vida allá es más económica y yo me quedé para seguir estudiando."/>
    <n v="800000"/>
    <s v="Si"/>
    <s v="Saray Mosquera Hinestroza"/>
    <s v="Hermano / Hermana"/>
    <s v="23"/>
    <s v="Estudiante"/>
    <s v="Universidad de Medellín"/>
    <n v="600000"/>
    <s v="Si"/>
    <s v=""/>
    <s v=""/>
    <s v=""/>
    <s v=""/>
    <s v=""/>
    <m/>
    <s v=""/>
    <s v=""/>
    <s v=""/>
    <s v=""/>
    <s v=""/>
    <s v=""/>
    <m/>
    <s v=""/>
    <s v="Vivo con mi hermana, pero como ella es estudiante no tiene un sueldo fijo, con lo que gana ella aporta gran parte a la casa."/>
    <n v="0"/>
    <n v="0"/>
    <n v="0"/>
    <n v="0"/>
    <n v="0"/>
    <s v="No"/>
    <s v=""/>
    <s v=""/>
    <n v="0"/>
    <s v="No"/>
    <s v=""/>
    <s v=""/>
    <n v="0"/>
    <s v="No"/>
    <s v=""/>
    <s v=""/>
    <s v=""/>
    <n v="0"/>
    <m/>
    <n v="4"/>
    <n v="4"/>
    <n v="3"/>
    <n v="4"/>
    <n v="3"/>
    <n v="4"/>
    <n v="2"/>
    <n v="4"/>
    <n v="2"/>
    <n v="2"/>
    <n v="32"/>
    <s v="SI"/>
    <s v="SI, ICFES"/>
    <s v="PRI SIN PUNTAJE ICFES, TIPO IES, DETALLE OTROS ESTUDIOS Y DETALLE ENTREVISTA"/>
    <s v="pendiente tipo ie"/>
    <e v="#N/A"/>
    <e v="#N/A"/>
    <m/>
    <n v="3"/>
    <n v="10"/>
    <n v="8"/>
    <n v="5"/>
    <n v="15"/>
    <n v="10"/>
    <n v="10"/>
    <n v="20"/>
    <n v="20"/>
    <n v="70"/>
    <s v="80 - 100%"/>
    <m/>
    <n v="3.5"/>
    <n v="4.5"/>
    <n v="8"/>
    <n v="4"/>
    <n v="3.5"/>
    <n v="4"/>
    <n v="8"/>
    <n v="4.5"/>
    <n v="68"/>
    <s v="80 - 100%"/>
    <n v="0.7"/>
    <e v="#N/A"/>
    <m/>
    <m/>
    <s v="SI, ICFES"/>
    <m/>
    <m/>
    <s v="Ingeniería de Sistemas"/>
    <e v="#N/A"/>
    <s v="010"/>
    <e v="#N/A"/>
  </r>
  <r>
    <s v="TI"/>
    <n v="1013264238"/>
    <s v="1000381669"/>
    <s v="ANA MARÍA ORREGO SALAZAR"/>
    <s v="Estudios por primera vez"/>
    <x v="1"/>
    <s v="Descartado por baja prioridad pregrado"/>
    <m/>
    <s v="En publico objetivo"/>
    <s v="2da Cohorte"/>
    <s v="Admitido"/>
    <s v="amorregos@eafit.edu.co"/>
    <s v="amorregos@eafit.edu.co"/>
    <s v="anamariaorrego20072@gmail.com"/>
    <s v="573185344634"/>
    <d v="2025-05-16T00:00:00"/>
    <s v="Activo en Programa"/>
    <s v="083-Música"/>
    <s v="Escuela de Artes y Humanidades"/>
    <d v="2007-04-24T00:00:00"/>
    <n v="18"/>
    <s v="Bogotá"/>
    <s v="Bogotá D.C."/>
    <s v="Mujer"/>
    <s v="Otro"/>
    <s v="NO"/>
    <s v="NO"/>
    <n v="0"/>
    <s v="NO"/>
    <s v="NA"/>
    <s v="NO"/>
    <s v="NA"/>
    <s v="NO"/>
    <s v="NA"/>
    <s v="No"/>
    <s v="318/534-4634"/>
    <s v="573185344634"/>
    <s v="Estrato 3"/>
    <s v="CL 9 B SUR #79 A- 121"/>
    <s v="Antioquia"/>
    <s v="Bello"/>
    <s v="Si"/>
    <s v="Arriendo"/>
    <s v="SI"/>
    <s v="2024"/>
    <s v="AC202410168310"/>
    <n v="397"/>
    <n v="76"/>
    <n v="80"/>
    <s v="Privada"/>
    <s v="COL. SAN LUIS GONZAGA"/>
    <n v="2024"/>
    <s v="Caldas"/>
    <s v="Manizales"/>
    <s v="BACHILLER"/>
    <n v="0"/>
    <s v="TIPO: Privada, INSTITUCION: COL. SAN LUIS GONZAGA, AÑO: 2024, CIUDAD: Manizales, TITULO: BACHILLER"/>
    <s v="11"/>
    <s v="Escala de 0 - 5"/>
    <s v="Escala de 0 - 5"/>
    <s v="4,6"/>
    <s v="4,2"/>
    <m/>
    <s v="4,6"/>
    <s v="4,1"/>
    <m/>
    <n v="4.8"/>
    <n v="4.0999999999999996"/>
    <m/>
    <n v="4.4000000000000004"/>
    <n v="4.2"/>
    <m/>
    <s v="4,7"/>
    <s v="4,9"/>
    <m/>
    <s v="5"/>
    <s v="4,7"/>
    <m/>
    <s v="4,9"/>
    <s v="4,5"/>
    <m/>
    <s v="De 9 y 10"/>
    <n v="4.375"/>
    <s v="NO"/>
    <s v="NA"/>
    <n v="0"/>
    <n v="0"/>
    <s v="No"/>
    <s v="Sin informacion"/>
    <s v="Sin informacion"/>
    <s v="Sin informacion"/>
    <s v="Sin informacion"/>
    <s v="Sin informacion"/>
    <s v="Sin informacion"/>
    <s v="No es común tener mujeres en percusión y presentó un examen teórico y audición impecable"/>
    <s v="10 "/>
    <s v="Audicion musica"/>
    <s v="Artísticas o culturales,Espacios de liderazgo o representación social,Otras (por ejemplo, un talento extraordinario)"/>
    <s v="Desde que decidí estudiar música y dedicarme a ser percusionista, entendí que mi mayor sueño es conocer el mundo a través de los sonidos. Quiero recorrer mi país, descubrir sus paisajes y su gente por medio de sus ritmos, compartir la música con todos los que me encuentre en el camino, e invitar a muchos niños y jóvenes como yo a descubrir este universo sonoro._x000a__x000a_Sueño con ser parte de la Banda Sinfónica Nacional de Colombia, y más adelante continuar mi formación fuera del país, explorando nuevas culturas, haciendo una especialización y una maestría. Me veo tocando en grandes escenarios, haciendo parte de orquestas como la Filarmónica de Berlín o la Sinfónica de Londres, llevando siempre conmigo la fuerza y la calidez de la música colombiana._x000a__x000a_Siento que esta beca puede ser el inicio de ese camino. Con ella tendría acceso a una formación de excelencia, a maestros que me inspiren y a espacios donde pueda crecer como artista. Pero también quiero que mi crecimiento tenga eco: regresar a mi región y sembrar. Crear proyectos que lleven la música a más niños, formar semilleros, acompañar procesos musicales en zonas donde aún no hay oportunidades, y levantar escenarios donde antes solo había silencio._x000a__x000a_Colombia ES un país de bandas, arte y cultura, y pienso demostrarlo a toda costa a través de mi crecimiento y desarrollo como percusionista devota._x000a__x000a_Ojalá todo eso comience aquí, dando mi primer gran paso en EAFIT."/>
    <s v="A través del Colegio"/>
    <s v="Por la infraestructura."/>
    <s v="Nivel académico de docentes."/>
    <n v="1"/>
    <s v="1"/>
    <s v="NO"/>
    <s v="NO"/>
    <s v="Entre 4 y 5 millones"/>
    <s v="Si"/>
    <n v="0"/>
    <n v="0"/>
    <m/>
    <s v="SI"/>
    <s v="Beca"/>
    <s v="NO"/>
    <s v=""/>
    <s v=""/>
    <s v="Si"/>
    <s v="Daniel Alberto Orrego Zapata"/>
    <s v="Otro"/>
    <s v="MAESTRÍA"/>
    <s v="54"/>
    <s v="Asesor financiero"/>
    <s v="Independiente (trabaja por cuenta propia)"/>
    <s v="Asesor de finanzas personales"/>
    <s v="12Ffinanzas"/>
    <n v="3000000"/>
    <s v="No"/>
    <s v="SI"/>
    <s v="SI"/>
    <s v="Mi padre quiere lograr sacar adelante un emprendimiento sobre educación financiera para reportados en centrales de riesgo, sin embargo, se ha visto en la necesidad de realizar otras tareas no relacionadas con su profesión para poder generar ingresos, como por ejemplo, dependiente judicial y conductor de plataformas digitales tales como Uber."/>
    <s v="Si"/>
    <s v="Sandra María Salazar Rendón"/>
    <s v="Soltero"/>
    <s v="UNIVERSITARIOS"/>
    <s v="56"/>
    <s v="Asistente operativa"/>
    <s v="Empleado (con contrato laboral)"/>
    <s v="Asistente operativa"/>
    <s v="Seguros SURA"/>
    <n v="500000"/>
    <s v="No"/>
    <s v="NO"/>
    <s v="NO"/>
    <s v="Cuando mi hermano y yo nacimos, mi mamá se dedicó a ser ama de casa, hasta que hace 10 años mis padres se divorciaron y ella comenzó a buscar y pasar por distintos empleos, sin embargo, por razones personales y de salud (problemas en la cadera) tenía que retirarse cada poco tiempo. Actualmente, mi madre se dedica a trabajar para un compañero de ella en los seguros de Sura, como su asistente."/>
    <n v="3500000"/>
    <s v="Si"/>
    <s v="Catalina Álvarez Castaño"/>
    <s v="Primos"/>
    <s v="33"/>
    <s v="Administradora financiera"/>
    <s v="Fondo de Garantías (FGA)"/>
    <n v="5000000"/>
    <s v="No"/>
    <s v="Pedro José Orrego Salazar"/>
    <s v="Hermano / Hermana"/>
    <s v="20"/>
    <s v="Estudiante de ingeniería de sistemas"/>
    <s v="Universidad EIA"/>
    <n v="0"/>
    <s v="No"/>
    <s v=""/>
    <s v=""/>
    <s v=""/>
    <s v=""/>
    <s v=""/>
    <m/>
    <s v=""/>
    <s v="A parte de las observaciones ya realizadas sobre mis padres, mi hermano está estudiando ingeniería de sistemas con un crédito del ICETEX que está cubriendo mi padre."/>
    <n v="0"/>
    <n v="0"/>
    <n v="0"/>
    <n v="0"/>
    <n v="0"/>
    <s v="No"/>
    <s v=""/>
    <s v=""/>
    <n v="0"/>
    <s v="No"/>
    <s v=""/>
    <s v=""/>
    <n v="0"/>
    <s v="No"/>
    <s v=""/>
    <s v=""/>
    <s v=""/>
    <n v="0"/>
    <s v="No se poseen vehículos ni bienes inmuembles"/>
    <n v="4"/>
    <n v="3"/>
    <n v="4"/>
    <n v="4"/>
    <n v="4"/>
    <n v="4"/>
    <n v="4"/>
    <n v="4"/>
    <n v="4"/>
    <n v="4"/>
    <n v="39"/>
    <s v="SI"/>
    <m/>
    <s v="PRI SIN PUNTAJE ENTREVISTA"/>
    <s v="ok es de musica, se deja puntaje del pregrado de 1 a 10 y comentario"/>
    <e v="#N/A"/>
    <e v="#N/A"/>
    <m/>
    <n v="1"/>
    <n v="10"/>
    <n v="8"/>
    <n v="15"/>
    <n v="15"/>
    <n v="15"/>
    <n v="20"/>
    <n v="18.5"/>
    <n v="16.5"/>
    <n v="91.5"/>
    <n v="0.5"/>
    <m/>
    <n v="2"/>
    <n v="4.5"/>
    <n v="6"/>
    <n v="4"/>
    <n v="2"/>
    <n v="4"/>
    <n v="8"/>
    <n v="4.5"/>
    <n v="91.5"/>
    <n v="0.7"/>
    <n v="0.8"/>
    <e v="#N/A"/>
    <m/>
    <m/>
    <n v="0"/>
    <m/>
    <m/>
    <s v="Música"/>
    <e v="#N/A"/>
    <s v="083"/>
    <e v="#N/A"/>
  </r>
  <r>
    <s v="TI"/>
    <n v="1013267098"/>
    <s v="1000404986"/>
    <s v="SAMUEL GUTIERREZ SUAREZ"/>
    <s v="Estudios por primera vez"/>
    <x v="1"/>
    <s v="Descartado por ingresos altos"/>
    <m/>
    <s v="En publico objetivo"/>
    <s v="1er Cohorte"/>
    <s v="Admitido"/>
    <s v="sgutierrs2@eafit.edu.co"/>
    <e v="#N/A"/>
    <s v="gsamuel1518@gmail.com"/>
    <s v="573195729195"/>
    <d v="2025-04-25T00:00:00"/>
    <s v="Activo en Programa"/>
    <s v="237-Diseño Interactivo"/>
    <s v="Escuela de Artes y Humanidades"/>
    <d v="2008-04-15T00:00:00"/>
    <n v="17"/>
    <s v="Bogotá"/>
    <s v="Bogotá D.C."/>
    <s v="Hombre"/>
    <s v="Soltero"/>
    <s v="NO"/>
    <s v="NO"/>
    <n v="0"/>
    <s v="NO"/>
    <s v="NA"/>
    <s v="NO"/>
    <s v="NA"/>
    <s v="NO"/>
    <s v="NA"/>
    <s v="No"/>
    <s v="320/274-5570"/>
    <s v="573195729195"/>
    <s v="Estrato 3"/>
    <s v="BOGOTÁ DC"/>
    <s v="Bogotá"/>
    <s v="Bogotá D.C."/>
    <s v="Si"/>
    <s v="Propio"/>
    <s v="SI"/>
    <s v="2024"/>
    <s v="AC202435938444"/>
    <n v="327"/>
    <n v="73"/>
    <n v="57"/>
    <s v="Privada"/>
    <s v="LICEO MATOVELLE"/>
    <n v="2024"/>
    <s v="Bogotá"/>
    <s v="Bogotá D.C."/>
    <s v="BACHILLER"/>
    <s v="ACAD"/>
    <s v="TIPO: Privada, INSTITUCION: LICEO MATOVELLE, AÑO: 2024, CIUDAD: Bogotá D.C., TITULO: BACHILLER"/>
    <s v="11"/>
    <s v="Escala de 0 - 10"/>
    <s v="Escala de 0 - 10"/>
    <s v="8,1"/>
    <s v="8,1"/>
    <m/>
    <s v="8"/>
    <s v="8"/>
    <m/>
    <n v="8.5"/>
    <n v="8.1"/>
    <m/>
    <n v="7.6"/>
    <n v="8.8000000000000007"/>
    <m/>
    <s v="8,8"/>
    <s v="9,2"/>
    <m/>
    <s v="7,8"/>
    <s v="7,8"/>
    <m/>
    <s v="8,4"/>
    <s v="8,4"/>
    <m/>
    <s v="De 9 y 10"/>
    <n v="8.25"/>
    <s v="NO"/>
    <s v="NA"/>
    <n v="0"/>
    <n v="0"/>
    <s v="No"/>
    <n v="45"/>
    <m/>
    <n v="40"/>
    <m/>
    <n v="50"/>
    <m/>
    <s v="Tiene aptitudes que pueden garantizarle un buen proceso en el programa, pero parece estar más enfocado en el arte gráfico y en el mercadeo, que en el diseño medial. Sin embargo, parece abierto al cambio y manifiesta su interés por aprender nuevos conceptos. Necesitaría información sobre becas o apoyo financiero."/>
    <n v="45"/>
    <s v="Con detalle por componente"/>
    <s v="Artísticas o culturales"/>
    <s v="La falta de creatividad humana en la actualidad me genera gran incertidumbre sobre el futuro de la comunicación en una sociedad cada vez más dominada por la falta de imaginación, considero que EAFIT con sus propuestas innovadoras me puede guiar en busca de la transformación tanto de la sociedad colombiana como del mundo. Mi idea es revolucionar el concepto del diseño y tomar las riendas de una nueva generación en pro de la imaginación y las ideas innovadoras. El impacto de las herramientas audiovisuales se ha consolidado en los últimos años como el instrumento más importante a la hora de transmitir mensajes, y con tantas oportunidades aún por explorar, las posibilidades de aplicación son infinitas._x000a_El pregrado de Diseño Interactivo que propone la universidad es definitivamente lo que siempre he soñado estudiar y por medio de la BECA TALENTO estoy seguro que podré lograrlo. Mi proposito es utilizar la creatividad de una forma revolucionaria para expresar y plasmar mis ideas en la vida de los demás, me parece que es precisamente en lo que se debería enfocar la humanidad actual, siempre he sido una persona muy curiosa en el campo de los medios audiovisuales y me encanta que la universidad se enfoca en las propuestas innovadoras, me interesa aplicar mis propias ideas a los proyectos y mostrar mi visión de la vida._x000a_Mi proyección a futuro es trabajar para una gran empresa extranjera como gran ejecutivo de publicidad, aplicar nuevas ideas e imponer nuevos estándares en la industria del diseño y la comunicación publicitaria, me veo desarrollando proyectos audiovisuales que den voz a historias relevantes para la sociedad, inspirar a otros jóvenes para ver el poder de la comunicación y las herramientas audiovisuales."/>
    <s v="Amigos"/>
    <s v="Por la calidad académica."/>
    <s v="Certificación."/>
    <n v="3"/>
    <s v="1"/>
    <s v="NO"/>
    <s v="NO"/>
    <s v="Entre 4 y 5 millones"/>
    <s v="Si"/>
    <s v="SI"/>
    <s v="SI"/>
    <s v="Crédito educativo propio"/>
    <s v="SI"/>
    <s v="Beca"/>
    <s v="NO"/>
    <s v=""/>
    <s v=""/>
    <s v="Si"/>
    <s v="WILLIAM HERNANDO GUTIERREZ MEDINA"/>
    <s v="Casado"/>
    <s v="TECNOLOGÍA"/>
    <s v="53"/>
    <s v="Independiente"/>
    <s v="Independiente (trabaja por cuenta propia)"/>
    <s v="FABRICACION DE MOBILIARIO EN MADERA"/>
    <s v="PETS THINGS"/>
    <n v="3500000"/>
    <s v="Si"/>
    <s v="NO"/>
    <s v="NO"/>
    <s v="Mi padre cuenta con una microempresa de fabricacion y venta de mobiliario en madera para mascotas"/>
    <s v="Si"/>
    <s v="MAGDA LORENA SUAREZ ECHEVERRY"/>
    <s v="Casado"/>
    <s v="ESPECIALIZACIÓN"/>
    <s v="48"/>
    <s v="INGENIERA ELECTRICISTA"/>
    <s v="Independiente (trabaja por cuenta propia)"/>
    <s v="INGENIERA DISEÑADORA SISTEMAS ELECTRICOS"/>
    <s v="Independiente"/>
    <n v="3000000"/>
    <s v="No"/>
    <s v="SI"/>
    <s v="NO"/>
    <s v="Mi madre se desempeña como ingeniera consultora y realiza diseño de instalaciones eléctricas"/>
    <n v="6500000"/>
    <s v="Si"/>
    <s v="SANTIAGO GUTIERREZ SUAREZ"/>
    <s v="Hermano / Hermana"/>
    <s v="27"/>
    <s v="Musico - Productor Musical"/>
    <s v="Desempleado"/>
    <n v="0"/>
    <s v="No"/>
    <s v=""/>
    <s v=""/>
    <s v=""/>
    <s v=""/>
    <s v=""/>
    <m/>
    <s v=""/>
    <s v=""/>
    <s v=""/>
    <s v=""/>
    <s v=""/>
    <s v=""/>
    <m/>
    <s v=""/>
    <s v=""/>
    <n v="0"/>
    <n v="111129000"/>
    <n v="0"/>
    <n v="0"/>
    <n v="0"/>
    <s v="Si"/>
    <s v="Chevrolet"/>
    <s v="2013"/>
    <n v="59295000"/>
    <s v="No"/>
    <s v=""/>
    <s v=""/>
    <n v="0"/>
    <s v="No"/>
    <s v=""/>
    <s v=""/>
    <s v=""/>
    <n v="0"/>
    <s v="El vehiculo se esta pagando actualmente"/>
    <n v="4"/>
    <n v="4"/>
    <n v="3"/>
    <n v="4"/>
    <n v="4"/>
    <n v="3"/>
    <n v="4"/>
    <n v="3"/>
    <n v="3"/>
    <n v="4"/>
    <n v="36"/>
    <s v="SI"/>
    <m/>
    <s v="SI, SON PRI"/>
    <s v="ok tienen todos los datos"/>
    <s v="Negada"/>
    <n v="20251"/>
    <m/>
    <n v="3"/>
    <n v="10"/>
    <n v="8"/>
    <n v="5"/>
    <n v="15"/>
    <n v="15"/>
    <n v="15"/>
    <n v="9.5"/>
    <n v="9.5"/>
    <n v="69.5"/>
    <n v="0.4"/>
    <m/>
    <n v="2"/>
    <n v="2.5"/>
    <n v="3"/>
    <n v="2"/>
    <n v="2"/>
    <n v="2.5"/>
    <n v="3"/>
    <n v="2"/>
    <n v="67.5"/>
    <n v="0.4"/>
    <n v="0.4"/>
    <e v="#N/A"/>
    <m/>
    <m/>
    <n v="0"/>
    <m/>
    <m/>
    <s v="Diseño Interactivo"/>
    <e v="#N/A"/>
    <s v="237"/>
    <e v="#N/A"/>
  </r>
  <r>
    <s v="CC"/>
    <n v="1013339831"/>
    <s v="1000403718"/>
    <s v="VICTOR MANUEL ROLDÁN LONDOÑO"/>
    <s v="Estudios por primera vez"/>
    <x v="1"/>
    <s v="Duda, cursando o graduado de tecnica o tecnologia"/>
    <m/>
    <s v="En publico objetivo"/>
    <s v="1er Cohorte"/>
    <s v="Admitido"/>
    <s v="vmroldanl@eafit.edu.co"/>
    <s v="vmroldanl@eafit.edu.co"/>
    <s v="victormanuelroldan56@gmail.com"/>
    <s v="573116277698"/>
    <d v="2025-04-25T00:00:00"/>
    <s v="Activo en Programa"/>
    <s v="010-Ingeniería de Sistemas"/>
    <s v="E Ciencias Aplic e Ingeniería"/>
    <d v="2005-11-30T00:00:00"/>
    <n v="20"/>
    <s v="Antioquia"/>
    <s v="Medellín"/>
    <s v="Hombre"/>
    <s v="Soltero"/>
    <s v="NO"/>
    <s v="NO"/>
    <n v="0"/>
    <s v="NO"/>
    <s v="NA"/>
    <s v="NO"/>
    <s v="NA"/>
    <s v="NO"/>
    <s v="NA"/>
    <s v="No"/>
    <s v="571-7543"/>
    <s v="573116277698"/>
    <s v="Estrato 3"/>
    <s v="CR 31 CL 62 A 18"/>
    <s v="Antioquia"/>
    <s v="Medellín"/>
    <s v="No aplica, no soy foráneo"/>
    <s v="Propio"/>
    <s v="SI"/>
    <s v="2022"/>
    <s v="AC202245957584"/>
    <n v="304"/>
    <n v="56"/>
    <n v="68"/>
    <s v="Pública"/>
    <s v="INST EDUC FEDERICO OZANAM"/>
    <n v="2022"/>
    <m/>
    <s v="Medellín"/>
    <s v="Tecnólogo"/>
    <s v="BACHILLER"/>
    <s v="TIPO: Pública, INSTITUCION: INST EDUC FEDERICO OZANAM, AÑO: 2022, CIUDAD: Medellín, TITULO: BACHILLER"/>
    <s v="11"/>
    <s v="Escala Desempeño"/>
    <s v="Escala de 0 - 5"/>
    <s v="5"/>
    <s v="5"/>
    <m/>
    <s v="5"/>
    <s v="5"/>
    <m/>
    <n v="5"/>
    <n v="4.5"/>
    <m/>
    <n v="5"/>
    <n v="4.5"/>
    <m/>
    <s v="5"/>
    <s v="4,5"/>
    <m/>
    <s v="5"/>
    <s v="4,5"/>
    <m/>
    <s v="5"/>
    <s v="4,5"/>
    <m/>
    <s v="De 9 y 10"/>
    <n v="4.75"/>
    <s v="SI"/>
    <s v="TIPO: Pública, INSTITUCION: SERVICIO NACIONAL DE APRENDIZA, AÑO: 2022, CIUDAD: Medellín, TITULO: TÉCNICO EN PROGRAMACIÓN"/>
    <s v="TECNICA"/>
    <s v=" TITULO: TÉCNICO EN PROGRAMACIÓN"/>
    <s v="No"/>
    <n v="40"/>
    <m/>
    <n v="50"/>
    <m/>
    <n v="50"/>
    <m/>
    <m/>
    <n v="46.666666666666664"/>
    <s v="Con detalle por componente"/>
    <s v="Deportistas de alto rendimiento o representativo"/>
    <s v="Quiero mejorar mis habilidades técnicas y humanas, me visualizo como un gran ingeniero de sistemas no solo como un profesional capacitado, sino como una persona en constante crecimiento, tanto en el ámbito personal como profesional en una gran organización. A través de la beca, quiero convertirme en un ejemplo para otros jóvenes de mi comunidad, demostrando que con esfuerzo, dedicación y muchas ganas es posible alcanzar metas importantes. Uno de mis propósitos es ser un ejemplo a seguir, ayudando y motivando a muchas personas."/>
    <s v="Página WEB"/>
    <s v="Por la calidad académica."/>
    <s v="Vocación."/>
    <n v="1"/>
    <s v="0"/>
    <s v="SI"/>
    <s v="NO"/>
    <s v="Entre 2 y 3 millones"/>
    <s v="No"/>
    <s v="SI"/>
    <n v="0"/>
    <m/>
    <s v="SI"/>
    <s v="Beca"/>
    <s v="SI"/>
    <s v="BANCOLOMBIA"/>
    <s v="aprendiz"/>
    <s v="Si"/>
    <s v="Victor Hugo Roldán Jiménez"/>
    <s v="Soltero"/>
    <s v="BACHILLERATO"/>
    <s v="64"/>
    <s v="Pensionado"/>
    <s v="Pensionado"/>
    <s v="Independiente"/>
    <s v="No aplica, es pensionado"/>
    <n v="1500000"/>
    <s v="No"/>
    <s v="NO"/>
    <s v="NO"/>
    <s v="Mi papá tiene 63 años, es pensionado hace un año y nunca ha vivido conmigo. Sin embargo, tengo una buena relación con él y constantemente me motiva para el ingreso a la universidad. En su vida laboral siempre ha sido independiente."/>
    <s v="Si"/>
    <s v="Eliana Yolima Londoño Cataño"/>
    <s v="Soltero"/>
    <s v="BACHILLERATO"/>
    <s v="54"/>
    <s v="Distribuidora de productos de panadería"/>
    <s v="Independiente (trabaja por cuenta propia)"/>
    <s v="Dueña de un negocio de distribución de productos de panadería"/>
    <s v="Productos y Distribuciones GAO"/>
    <n v="2750000"/>
    <s v="Si"/>
    <s v="NO"/>
    <s v="NO"/>
    <s v="Mi mamá es quien asume las responsabilidades de nuestra casa y siempre está pendiente de mí y todas mis necesidades. Adicionalmente, tiene un negocio en el cual distribuye productos de panadería en supermercados. Es la persona de la que más recibo apoyo en todos los aspectos de mi vida, siempre brindándome su respaldo y su amor incondicional, quiero retribuirle todo el esfuerzo que día a día hace por mí."/>
    <n v="4250000"/>
    <s v="No, solo vivo con mis padres"/>
    <s v=""/>
    <s v=""/>
    <s v=""/>
    <s v=""/>
    <s v=""/>
    <m/>
    <s v=""/>
    <s v=""/>
    <s v=""/>
    <s v=""/>
    <s v=""/>
    <s v=""/>
    <m/>
    <s v=""/>
    <s v=""/>
    <s v=""/>
    <s v=""/>
    <s v=""/>
    <s v=""/>
    <m/>
    <s v=""/>
    <s v=""/>
    <n v="0"/>
    <n v="110000000"/>
    <n v="0"/>
    <n v="0"/>
    <n v="0"/>
    <s v="Si"/>
    <s v="Chevrolet LUV 2300"/>
    <s v="1998"/>
    <n v="13500000"/>
    <s v="No"/>
    <s v=""/>
    <s v=""/>
    <n v="0"/>
    <s v="Si"/>
    <s v="Moto"/>
    <s v="Agility"/>
    <s v="2015"/>
    <n v="4500000"/>
    <s v="Motocicletas&amp;#58;1. Agility RS Naked - Modelo 2015 - $4'500.0002. Yamaha SZ15RR - Modelo 2019 - $6'000.000Furgón en el que realiza sus labores&amp;#58;2. Chevrolet LUV 2300 - Modelo 1998"/>
    <n v="4"/>
    <n v="4"/>
    <n v="3"/>
    <n v="4"/>
    <n v="4"/>
    <n v="4"/>
    <n v="4"/>
    <n v="4"/>
    <n v="4"/>
    <n v="4"/>
    <n v="39"/>
    <s v="SI"/>
    <m/>
    <s v="SI, SON PRI"/>
    <s v="ok tienen todos los datos"/>
    <e v="#N/A"/>
    <e v="#N/A"/>
    <m/>
    <n v="3"/>
    <n v="10"/>
    <n v="8"/>
    <n v="5"/>
    <n v="20"/>
    <n v="15"/>
    <n v="20"/>
    <n v="15"/>
    <n v="14"/>
    <n v="84"/>
    <n v="0.4"/>
    <m/>
    <n v="3.5"/>
    <n v="2.5"/>
    <n v="6"/>
    <n v="2"/>
    <n v="3.5"/>
    <n v="2.5"/>
    <n v="7"/>
    <n v="2"/>
    <n v="83"/>
    <n v="0.5"/>
    <n v="0.5"/>
    <e v="#N/A"/>
    <m/>
    <m/>
    <n v="0"/>
    <m/>
    <m/>
    <s v="Ingeniería de Sistemas"/>
    <e v="#N/A"/>
    <s v="010"/>
    <e v="#N/A"/>
  </r>
  <r>
    <s v="CC"/>
    <n v="1013340472"/>
    <s v="1000406623"/>
    <s v="MARVIN SANTIAGO LONDOÑO SERNA"/>
    <s v="Estudios por primera vez"/>
    <x v="1"/>
    <s v="Descartado por est 1 e ingresos bajos"/>
    <m/>
    <s v="En publico objetivo"/>
    <s v="1er Cohorte"/>
    <s v="Admitido"/>
    <s v="mslondonos@eafit.edu.co"/>
    <e v="#N/A"/>
    <s v="marvinsantiagoser@gmail.com"/>
    <s v="573011612262"/>
    <d v="2025-04-25T00:00:00"/>
    <s v="Activo en Programa"/>
    <s v="183-Biología"/>
    <s v="E Ciencias Aplic e Ingeniería"/>
    <d v="2009-03-19T00:00:00"/>
    <n v="16"/>
    <s v="Antioquia"/>
    <s v="Medellín"/>
    <s v="Hombre"/>
    <s v="Soltero"/>
    <s v="NO"/>
    <s v="NO"/>
    <n v="0"/>
    <s v="NO"/>
    <s v="NA"/>
    <s v="NO"/>
    <s v="NA"/>
    <s v="NO"/>
    <s v="NA"/>
    <s v="No"/>
    <s v="no aplica"/>
    <s v="573011612262"/>
    <s v="Estrato 1"/>
    <s v="DG 67 B AV 40 44"/>
    <s v="Antioquia"/>
    <s v="Bello"/>
    <s v="No aplica, no soy foráneo"/>
    <s v="Arriendo"/>
    <s v="SI"/>
    <s v="2024"/>
    <s v="AC202432942720"/>
    <n v="360"/>
    <n v="73"/>
    <n v="74"/>
    <s v="Pública"/>
    <s v="IE ALBERTO LEBRUM MUNERA"/>
    <n v="2024"/>
    <s v="Antioquia"/>
    <s v="Bello"/>
    <s v="BACHILLER"/>
    <s v="ACAD"/>
    <s v="TIPO: Pública, INSTITUCION: IE ALBERTO LEBRUM MUNERA, AÑO: 2024, CIUDAD: Bello, TITULO: BACHILLER"/>
    <s v="11"/>
    <s v="Escala de 0 - 5"/>
    <s v="Escala de 0 - 5"/>
    <s v="3,9"/>
    <s v="3,9"/>
    <m/>
    <s v="3,9"/>
    <s v="3,7"/>
    <m/>
    <n v="3.9"/>
    <n v="3.8"/>
    <m/>
    <n v="3.7"/>
    <n v="3.9"/>
    <m/>
    <s v="4,7"/>
    <s v="5"/>
    <m/>
    <s v="3,7"/>
    <s v="3,7"/>
    <m/>
    <s v="3,8"/>
    <s v="4,8"/>
    <m/>
    <s v="De 9 y 10"/>
    <n v="3.8249999999999997"/>
    <s v="NO"/>
    <s v="NA"/>
    <n v="0"/>
    <n v="0"/>
    <s v="No"/>
    <n v="50"/>
    <m/>
    <n v="50"/>
    <m/>
    <n v="50"/>
    <m/>
    <s v="Excelente desempeño en la entrevista"/>
    <n v="50"/>
    <s v="Con detalle por componente"/>
    <s v="Trabajo social o comunitario,Artísticas o culturales,Espacios de liderazgo o representación social"/>
    <s v="Fui admitido en la universidad EAFIT para el pregrado de Biología, este pregrado usualmente conlleva a uno de dos caminos, volverte profesor, o un investigador (sin contar las especializaciones)._x000a_En mi caso, yo quiero ser un investigador y divulgador de información científica, ayudando al país y a la comunidad con nuevos descubrimientos y avances en cuanto al estudio de la biología  y la vida en la tierra._x000a_Tampoco tengo problema con ser profesor, puesto que podría ayudar a las nuevas generaciones instruyéndolos acerca de el como están compuestos los seres humanos y los demás seres vivos que los rodean"/>
    <s v="Otro"/>
    <s v="Por la calidad académica."/>
    <s v="Vocación."/>
    <n v="3"/>
    <s v="1"/>
    <s v="NO"/>
    <s v="NO"/>
    <s v="Entre 1 y 2 millones"/>
    <s v="No"/>
    <n v="0"/>
    <n v="0"/>
    <m/>
    <s v="SI"/>
    <s v="Beca"/>
    <s v="NO"/>
    <s v=""/>
    <s v=""/>
    <s v="No, fallecido"/>
    <n v="0"/>
    <m/>
    <m/>
    <m/>
    <s v=""/>
    <s v=""/>
    <m/>
    <s v=""/>
    <m/>
    <s v=""/>
    <m/>
    <m/>
    <s v="Murió el 21 de Diciembre de 2009"/>
    <s v="Si"/>
    <s v="Teresa de Jesus Serna Castañeda"/>
    <s v="Soltero"/>
    <s v="TÉCNICA"/>
    <s v="45"/>
    <s v="Recepcionista"/>
    <s v="Empleado (con contrato laboral)"/>
    <s v="Recepcionista"/>
    <s v="Hotel Ayacucho Real"/>
    <n v="1820000"/>
    <s v="Si"/>
    <s v="SI"/>
    <s v="NO"/>
    <s v="Mi Madre es una persona increíble, la admiro más que a nadie, me ha dado todo lo que he querido y más, siempre me ha apoyado al 1000%"/>
    <n v="1820000"/>
    <s v="Si"/>
    <s v="Julia Irene Serna Castañeda"/>
    <s v="Hermano / Hermana"/>
    <s v="26"/>
    <s v="abogada"/>
    <s v="independiente"/>
    <n v="0"/>
    <s v="No"/>
    <s v=""/>
    <s v=""/>
    <s v=""/>
    <s v=""/>
    <s v=""/>
    <m/>
    <s v=""/>
    <s v=""/>
    <s v=""/>
    <s v=""/>
    <s v=""/>
    <s v=""/>
    <m/>
    <s v=""/>
    <s v=""/>
    <n v="0"/>
    <n v="0"/>
    <n v="0"/>
    <n v="0"/>
    <n v="0"/>
    <s v="No"/>
    <s v=""/>
    <s v=""/>
    <n v="0"/>
    <s v="No"/>
    <s v=""/>
    <s v=""/>
    <n v="0"/>
    <s v="No"/>
    <s v=""/>
    <s v=""/>
    <s v=""/>
    <n v="0"/>
    <s v="No tenemos &amp;#58;("/>
    <n v="4"/>
    <n v="3"/>
    <n v="4"/>
    <n v="4"/>
    <n v="3"/>
    <n v="3"/>
    <n v="4"/>
    <n v="3"/>
    <n v="3"/>
    <n v="4"/>
    <n v="35"/>
    <s v="SI"/>
    <m/>
    <s v="SI, SON PRI"/>
    <s v="ok tienen todos los datos"/>
    <e v="#N/A"/>
    <e v="#N/A"/>
    <m/>
    <n v="2"/>
    <n v="6"/>
    <n v="6"/>
    <n v="10"/>
    <n v="10"/>
    <n v="15"/>
    <n v="20"/>
    <n v="20"/>
    <n v="20"/>
    <n v="81"/>
    <s v="80 - 100%"/>
    <m/>
    <n v="3.5"/>
    <n v="4.5"/>
    <n v="8"/>
    <n v="4"/>
    <n v="3.5"/>
    <n v="4"/>
    <n v="8"/>
    <n v="4.5"/>
    <n v="81"/>
    <s v="80 - 100%"/>
    <n v="1"/>
    <e v="#N/A"/>
    <m/>
    <m/>
    <n v="0"/>
    <m/>
    <m/>
    <s v="Biología"/>
    <e v="#N/A"/>
    <s v="183"/>
    <e v="#N/A"/>
  </r>
  <r>
    <s v="TI"/>
    <n v="1013344295"/>
    <s v="1000332444"/>
    <s v="JAHCOBO JARAMILLO CUÉLLAR"/>
    <s v="Estudios por primera vez"/>
    <x v="3"/>
    <s v="Descartado por baja prioridad pregrado"/>
    <m/>
    <s v="En publico objetivo"/>
    <s v="2da Cohorte"/>
    <s v="Admitido"/>
    <s v="jjaramilc1@eafit.edu.co"/>
    <s v="jjaramilc1@eafit.edu.co"/>
    <s v="jacobojaramillocuellar@gmail.com"/>
    <s v="573218372726"/>
    <d v="2025-05-16T00:00:00"/>
    <s v="Activo en Programa"/>
    <s v="113-Ingeniería Física"/>
    <s v="E Ciencias Aplic e Ingeniería"/>
    <d v="2008-03-25T00:00:00"/>
    <n v="17"/>
    <s v="Antioquia"/>
    <s v="Medellín"/>
    <s v="Hombre"/>
    <s v="Soltero"/>
    <s v="NO"/>
    <s v="NO"/>
    <n v="0"/>
    <s v="NO"/>
    <s v="NA"/>
    <s v="NO"/>
    <s v="NA"/>
    <s v="NO"/>
    <s v="NA"/>
    <s v="No"/>
    <s v="321/837-2726"/>
    <s v="573218372726"/>
    <s v="Estrato 1"/>
    <s v="CR 32 #85 C- 100"/>
    <s v="Antioquia"/>
    <s v="Medellín"/>
    <s v="No aplica, no soy foráneo"/>
    <s v="Arriendo"/>
    <s v="SI"/>
    <s v="2024"/>
    <s v="AC202435957279"/>
    <n v="330"/>
    <n v="75"/>
    <n v="62"/>
    <s v="Pública"/>
    <s v="I.E. INEM JOSE FELIX DE RESTRE"/>
    <n v="2024"/>
    <s v="Antioquia"/>
    <s v="Medellín"/>
    <s v="BACHILLER"/>
    <s v="ACAD"/>
    <s v="TIPO: Pública, INSTITUCION: I.E. INEM JOSE FELIX DE RESTRE, AÑO: 2024, CIUDAD: Medellín, TITULO: BACHILLER"/>
    <s v="11"/>
    <s v="Escala Desempeño"/>
    <s v="Escala de 0 - 5"/>
    <s v="4"/>
    <s v="4"/>
    <m/>
    <s v="4"/>
    <s v="4"/>
    <m/>
    <n v="4.5"/>
    <n v="4"/>
    <m/>
    <n v="4"/>
    <n v="4.5"/>
    <m/>
    <s v="4"/>
    <s v="4"/>
    <m/>
    <s v="4"/>
    <s v="4"/>
    <m/>
    <s v="4"/>
    <s v="4"/>
    <m/>
    <s v="De 9 y 10"/>
    <n v="4.25"/>
    <s v="NO"/>
    <s v="NA"/>
    <n v="0"/>
    <n v="0"/>
    <s v="No"/>
    <n v="50"/>
    <m/>
    <n v="50"/>
    <m/>
    <n v="50"/>
    <m/>
    <s v="Falta la entrevista de admisión recién implementada. El aspirante no la ha programado de manera correcta."/>
    <n v="50"/>
    <s v="Con detalle por componente"/>
    <s v="Artísticas o culturales,Trabajo social o comunitario,Espacios de liderazgo o representación social"/>
    <s v="Estudiar Ingeniería Física en EAFIT es para mí más que una meta académica, es el primer paso para asumir un compromiso profundo con mi pasion en donde, me visualizo como un ingeniero físico que integra rigurosamente los fundamentos teóricos de la física con la capacidad de aplicación práctica de la ingeniería, sin importar el lugar de trabajo. Creo firmemente que la transformación de un país requiere profesionales que comprendan el mundo desde sus principios más fundamentales y que, al mismo tiempo, sepan materializarlos en soluciones concretas._x000a__x000a_Mi proposito se orienta hacia el desarrollo e implementación de energías renovables eficientes, sostenibles y seguras, incluyendo tecnologías como la energía atómica, siempre con un enfoque ético, técnico y humanista. Colombia necesita una revolución energética que respete el medio ambiente, y que además beneficie especialmente a los sectores más olvidados que son, los campesinos. Ellos son el corazón productivo de nuestro país, y merecen acceso a tecnologías limpias, estables y accesibles que dignifiquen su labor y mejoren su calidad de vida._x000a__x000a_La beca me permitiría formarme con excelencia, sin que las barreras económicas condicionen mi futuro, y me compromete aún más con una visión transformadora. Quiero aportar a la construcción de un país que valore el conocimiento, donde la ingeniería y la física trabajen unidas no solo para innovar, sino para sanar y fortalecer el tejido social, productivo y ambiental de Colombia."/>
    <s v="A través del Colegio"/>
    <s v="Por la calidad académica."/>
    <s v="Vocación."/>
    <n v="3"/>
    <s v="0"/>
    <s v="SI"/>
    <s v="NO"/>
    <s v="Entre 2 y 3 millones"/>
    <s v="No"/>
    <n v="0"/>
    <n v="0"/>
    <m/>
    <s v="SI"/>
    <s v="Beca"/>
    <s v="NO"/>
    <s v=""/>
    <s v=""/>
    <s v="Sin información"/>
    <n v="0"/>
    <m/>
    <m/>
    <m/>
    <s v=""/>
    <s v=""/>
    <m/>
    <s v=""/>
    <m/>
    <s v=""/>
    <m/>
    <m/>
    <s v=""/>
    <s v="Si"/>
    <s v="Marialuisa Cuellar Garcia"/>
    <s v="Otro"/>
    <s v="TECNOLOGÍA"/>
    <s v="40"/>
    <s v="Asesora de empresas"/>
    <s v="Independiente (trabaja por cuenta propia)"/>
    <s v="Independiente"/>
    <s v="Project Asesorias y Licitaciones"/>
    <n v="2000000"/>
    <s v="Si"/>
    <s v="SI"/>
    <s v="SI"/>
    <m/>
    <n v="2000000"/>
    <s v="Si"/>
    <s v="Ofelia de Jesus Garcia de Sanchez"/>
    <s v="Abuelo / Abuela"/>
    <s v="74"/>
    <s v="Pensionada"/>
    <s v="."/>
    <n v="0"/>
    <s v="No"/>
    <s v=""/>
    <s v=""/>
    <s v=""/>
    <s v=""/>
    <s v=""/>
    <m/>
    <s v=""/>
    <s v=""/>
    <s v=""/>
    <s v=""/>
    <s v=""/>
    <s v=""/>
    <m/>
    <s v=""/>
    <s v=""/>
    <n v="0"/>
    <n v="0"/>
    <n v="0"/>
    <n v="0"/>
    <n v="0"/>
    <s v="No"/>
    <s v=""/>
    <s v=""/>
    <n v="0"/>
    <s v="No"/>
    <s v=""/>
    <s v=""/>
    <n v="0"/>
    <s v="No"/>
    <s v=""/>
    <s v=""/>
    <s v=""/>
    <n v="0"/>
    <m/>
    <n v="1"/>
    <n v="2"/>
    <n v="2"/>
    <n v="1"/>
    <n v="1"/>
    <n v="2"/>
    <n v="1"/>
    <n v="2"/>
    <n v="2"/>
    <n v="1"/>
    <n v="15"/>
    <s v="NO"/>
    <m/>
    <s v="SI, SON PRI"/>
    <s v="ok tienen todos los datos"/>
    <e v="#N/A"/>
    <e v="#N/A"/>
    <m/>
    <n v="1"/>
    <n v="6"/>
    <n v="6"/>
    <n v="10"/>
    <n v="15"/>
    <n v="0"/>
    <n v="20"/>
    <n v="20"/>
    <n v="20"/>
    <n v="71"/>
    <s v="80 - 100%"/>
    <m/>
    <n v="3.5"/>
    <n v="4.5"/>
    <n v="8"/>
    <n v="4"/>
    <n v="3.5"/>
    <n v="4"/>
    <n v="8"/>
    <n v="4.5"/>
    <n v="71"/>
    <s v="80 - 100%"/>
    <s v="Negado"/>
    <e v="#N/A"/>
    <m/>
    <m/>
    <n v="0"/>
    <m/>
    <m/>
    <s v="Ingeniería Física"/>
    <e v="#N/A"/>
    <m/>
    <e v="#N/A"/>
  </r>
  <r>
    <s v="TI"/>
    <n v="1013458198"/>
    <s v="1000308531"/>
    <s v="MARIA PAULINA BETANCUR ROJAS"/>
    <s v="Transferencia Externa"/>
    <x v="4"/>
    <s v="No cumple, estrato 4"/>
    <m/>
    <s v="En publico objetivo"/>
    <s v="1er Cohorte"/>
    <s v="Admitido"/>
    <s v="mpbetancur@eafit.edu.co"/>
    <s v="mpbetancur@eafit.edu.co"/>
    <s v="mpaulinabetr@gmail.com"/>
    <s v="300/470-3899"/>
    <d v="2025-04-25T00:00:00"/>
    <s v="Activo en Programa"/>
    <s v="237-Diseño Interactivo"/>
    <s v="Escuela de Artes y Humanidades"/>
    <d v="2005-08-21T00:00:00"/>
    <n v="20"/>
    <s v="Antioquia"/>
    <s v="Medellín"/>
    <s v="Mujer"/>
    <s v="Soltero"/>
    <s v="NO"/>
    <s v="NO"/>
    <n v="0"/>
    <s v="NO"/>
    <s v="NA"/>
    <s v="NO"/>
    <s v="NA"/>
    <s v="NO"/>
    <s v="NA"/>
    <s v="No"/>
    <s v="300/470-3899"/>
    <s v="300/470-3899"/>
    <s v="Estrato 4"/>
    <s v="CL 75 SUR #42 97"/>
    <s v="Antioquia"/>
    <s v="Sabaneta"/>
    <s v="No aplica, no soy foráneo"/>
    <s v="Propio"/>
    <s v="SI"/>
    <s v="2022"/>
    <s v="AC202241643493"/>
    <n v="352"/>
    <n v="74"/>
    <n v="72"/>
    <s v="Privada"/>
    <s v="COL CORAZONISTA"/>
    <n v="2022"/>
    <s v="Antioquia"/>
    <s v="Medellín"/>
    <s v="BACHILLER"/>
    <s v="ACAD"/>
    <s v="TIPO: Privada, INSTITUCION: COL CORAZONISTA, AÑO: 2022, CIUDAD: Medellín, TITULO: BACHILLER"/>
    <n v="0"/>
    <n v="0"/>
    <s v="PCA TEX"/>
    <m/>
    <m/>
    <m/>
    <m/>
    <m/>
    <m/>
    <m/>
    <m/>
    <m/>
    <m/>
    <m/>
    <m/>
    <m/>
    <m/>
    <m/>
    <m/>
    <m/>
    <m/>
    <m/>
    <m/>
    <m/>
    <s v="Ver PCA TEX"/>
    <n v="3.8"/>
    <s v="SI"/>
    <s v="TIPO: Privada, INSTITUCION: UNIVERSIDAD CES, AÑO: 0, CIUDAD: Medellín, TITULO: QUÍMICO FARMACÉUTICO (Medellín)"/>
    <s v="PREGRADO"/>
    <s v=" TITULO: QUÍMICO FARMACÉUTICO (Medellín)"/>
    <s v="No"/>
    <n v="50"/>
    <m/>
    <n v="50"/>
    <m/>
    <n v="50"/>
    <m/>
    <s v="Centrada en su propósito. Con convicción sobre el programa de Diseño Interactivo. Realizó evaluación previa de pros y contras con el programa antes de tomar la decisión."/>
    <n v="50"/>
    <s v="Con detalle por componente"/>
    <s v="Artísticas o culturales,Deportistas de alto rendimiento o representativo,Otras (por ejemplo, un talento extraordinario)"/>
    <s v="Me visualizo ejerciendo el pregrado de diseño interactivo creando experiencias digitales alineadas con la cuarta revolución industrial; experiencias que faciliten la vida de las personas, pero que a su vez logren conectar con sus emociones y deseos, para contribuir a sus relaciones, decisiones y aprendizajes. Además, planeo fusionar el diseño interactivo con las bases que adquirí en medicina y química, pues creo firmemente que un profesional exitoso hoy, debe ser integral y capaz de conectar conocimientos de diversas áreas con el fin de generar soluciones más completas, éticas y de verdadero impacto._x000a__x000a_Mi mayor propósito es contribuirle a nuestro maravilloso país; deseo que a través de mi trabajo, Colombia continúe escalando posiciones en los rankings de países innovadores y que sea capaz de cambiar su narrativa histórica. Anhelo ayudar a la deconstrucción de la imagen negativa que nos ha acompañado a lo largo de los años, demostrando que acá no solo hay historia oscura y belleza natural, sino también mentes brillantes capaces de transformar, innovar y generar cambios reales._x000a__x000a_La obtención de esta beca para mí representa una oportunidad invaluable de acceder a una formación de calidad superior en una universidad tan prestigiosa como EAFIT, la cual me ayudará a potenciar todas mis capacidades e ideas, además de inculcar habilidades fundamentales como el liderazgo y el emprendimiento, permitiéndome aplicar mis conocimientos en el desarrollo de soluciones digitales, específicamente en Medellín. Me visualizo apoyando a emprendedores locales, impulsando proyectos que contribuyan al crecimiento económico y social de la región, y motivando a las nuevas generaciones, para que se atrevan a soñar, crear y construir un futuro mejor para la comunidad."/>
    <s v="Amigos"/>
    <s v="Proyección laboral."/>
    <s v="Vocación."/>
    <n v="3"/>
    <s v="0"/>
    <s v="SI"/>
    <s v="NO"/>
    <s v="Entre 12 y 13 millones"/>
    <s v="No"/>
    <n v="0"/>
    <n v="0"/>
    <m/>
    <s v="SI"/>
    <s v="Beca"/>
    <s v="NO"/>
    <s v=""/>
    <s v=""/>
    <s v="Sin información"/>
    <n v="0"/>
    <m/>
    <m/>
    <m/>
    <s v=""/>
    <s v=""/>
    <m/>
    <s v=""/>
    <m/>
    <s v=""/>
    <m/>
    <m/>
    <s v="El padre es totalmente ausente."/>
    <s v="Si"/>
    <s v="Luisa Fernanda Rojas Hoyos"/>
    <s v="Casado"/>
    <s v="DOCTORADO"/>
    <s v="47"/>
    <s v="Ingeniera Química"/>
    <s v="Empleado (con contrato laboral)"/>
    <s v="Profesora vinculada"/>
    <s v="Universidad De Antioquia"/>
    <n v="10915966"/>
    <s v="Si"/>
    <s v="NO"/>
    <s v="NO"/>
    <s v="Mi madre es mi mayor inspiración, me apoya a cumplir todos mi sueños y me ha inculcado los valores necesarios para ser una persona íntegra y las habilidades esenciales para ser una profesional exitosa. Además, es mi sustento económico, lo cual ha sido muy valioso para mi considerando la ausencia de mi padre."/>
    <n v="10915966"/>
    <s v="Si"/>
    <s v="Sergio Andrés Ruiz Acevedo"/>
    <s v="PADRASTRO"/>
    <s v="43"/>
    <s v="Desempleado (Se encuentra en la búsqueda activa de empleo)"/>
    <s v="Estudios realizados en la Universidad de Medellín"/>
    <n v="0"/>
    <s v="No"/>
    <s v=""/>
    <s v=""/>
    <s v=""/>
    <s v=""/>
    <s v=""/>
    <m/>
    <s v=""/>
    <s v=""/>
    <s v=""/>
    <s v=""/>
    <s v=""/>
    <s v=""/>
    <m/>
    <s v=""/>
    <s v=""/>
    <n v="0"/>
    <n v="600000000"/>
    <n v="0"/>
    <n v="0"/>
    <n v="0"/>
    <s v="Si"/>
    <s v="Renault"/>
    <s v="2025"/>
    <n v="81000000"/>
    <s v="No"/>
    <s v=""/>
    <s v=""/>
    <n v="0"/>
    <s v="Si"/>
    <s v="Otro carro"/>
    <s v="Nissan"/>
    <s v="2023"/>
    <n v="85000000"/>
    <m/>
    <n v="4"/>
    <n v="4"/>
    <n v="4"/>
    <n v="4"/>
    <n v="4"/>
    <n v="4"/>
    <n v="4"/>
    <n v="4"/>
    <n v="4"/>
    <n v="4"/>
    <n v="40"/>
    <s v="SI"/>
    <m/>
    <s v="SI, SON TEX, EN LUGAR DE NOTAS TIENEN PCA"/>
    <s v="ok tienen todos los datos"/>
    <e v="#N/A"/>
    <e v="#N/A"/>
    <m/>
    <n v="3"/>
    <n v="4"/>
    <n v="4"/>
    <n v="10"/>
    <n v="10"/>
    <n v="15"/>
    <n v="20"/>
    <n v="4.5"/>
    <n v="4.5"/>
    <n v="63.5"/>
    <n v="0.4"/>
    <m/>
    <n v="2"/>
    <n v="2.5"/>
    <n v="0"/>
    <n v="0"/>
    <n v="2"/>
    <n v="2.5"/>
    <n v="0"/>
    <n v="0"/>
    <n v="63.5"/>
    <n v="0.4"/>
    <s v="Negado"/>
    <e v="#N/A"/>
    <m/>
    <m/>
    <n v="0"/>
    <m/>
    <m/>
    <s v="Diseño Interactivo"/>
    <e v="#N/A"/>
    <m/>
    <e v="#N/A"/>
  </r>
  <r>
    <s v="CC"/>
    <n v="1013458237"/>
    <s v="1000369034"/>
    <s v="SOFIA MONTOYA AMAYA"/>
    <s v="Estudios por primera vez"/>
    <x v="2"/>
    <s v="No cumple, puntaje ICFES menor a 300"/>
    <m/>
    <s v="En publico objetivo"/>
    <s v="3ra Cohorte"/>
    <s v="Admitido"/>
    <s v="smontoya15@eafit.edu.co"/>
    <s v="smontoya15@eafit.edu.co"/>
    <s v="sofimontoya0908@gmail.com"/>
    <s v="305/342-3079"/>
    <d v="2025-05-30T00:00:00"/>
    <s v="Activo en Programa"/>
    <s v="112-Comunicación Social"/>
    <s v="Escuela de Artes y Humanidades"/>
    <d v="2005-09-08T00:00:00"/>
    <n v="20"/>
    <s v="Antioquia"/>
    <s v="Medellín"/>
    <s v="Mujer"/>
    <s v="Soltero"/>
    <s v="NO"/>
    <s v="NO"/>
    <n v="0"/>
    <s v="NO"/>
    <s v="NA"/>
    <s v="NO"/>
    <s v="NA"/>
    <s v="NO"/>
    <s v="NA"/>
    <s v="No"/>
    <s v="305/342-3079"/>
    <s v="305/342-3079"/>
    <s v="Estrato 3"/>
    <s v="CR 94 CL 49 24"/>
    <s v="Antioquia"/>
    <s v="Medellín"/>
    <s v="No aplica, no soy foráneo"/>
    <s v="Arriendo"/>
    <s v="SI"/>
    <s v="2022"/>
    <s v="AC202242975662"/>
    <n v="233"/>
    <n v="57"/>
    <n v="42"/>
    <s v="Privada"/>
    <s v="COL PADRE MANYANET"/>
    <n v="2022"/>
    <s v="Antioquia"/>
    <s v="Medellín"/>
    <s v="BACHILLER"/>
    <s v="ACAD"/>
    <s v="TIPO: Privada, INSTITUCION: COL PADRE MANYANET, AÑO: 2022, CIUDAD: Medellín, TITULO: BACHILLER"/>
    <s v="11"/>
    <s v="Escala de 0 - 5"/>
    <s v="Escala de 0 - 5"/>
    <s v="4"/>
    <s v="4"/>
    <m/>
    <s v="4"/>
    <s v="4"/>
    <m/>
    <n v="4"/>
    <n v="3.7"/>
    <m/>
    <n v="3.9"/>
    <n v="4"/>
    <m/>
    <s v="3,4"/>
    <s v="4"/>
    <m/>
    <s v="4,5"/>
    <s v="4,1"/>
    <m/>
    <s v="3,4"/>
    <s v="3,5"/>
    <m/>
    <s v="De 9 y 10"/>
    <n v="3.9"/>
    <s v="NO"/>
    <s v="NA"/>
    <n v="0"/>
    <n v="0"/>
    <s v="No"/>
    <n v="35"/>
    <m/>
    <n v="40"/>
    <m/>
    <n v="40"/>
    <m/>
    <m/>
    <n v="38.333333333333336"/>
    <s v="Con detalle por componente"/>
    <s v="Trabajo social o comunitario"/>
    <s v="Desde que era pequeña siempre he soñado con hacer algo que realmente marque una diferencia. Y estudiar comunicación social es para mí una oportunidad de transformar la realidad de muchas personas a través de vivencias, historias y creando empatía. Me veo en un futuro contando historias desconocidas para el mundo, dándole apoyo a aquellas personas que no han tenido la oportunidad de ser escuchadas y usando los medios para generar conciencia y verdaderos cambios en una región tan increíble como lo es Antioquia._x000a_Quiero aportar en proyectos que inspiren, que informen con responsabilidad y que motiven a los demás a tomar acción. También me visualizo creando campañas de temas sociales importantes y creando soluciones en aquellas personas que lo necesiten. La comunicación tiene el valor de poder educarnos, de unirnos y de lograr impactar en las personas._x000a_Obtener esta beca sería una gran oportunidad para prepararme y crecer de la mejor manera, no solo académicamente sino también como ser humano. Mi objetivo es poder aplicar todo lo aprendido para crear proyectos que realmente logren ayudar a aquellas mujeres, hombres y jóvenes que creen que su voz no tiene importancia._x000a_Estoy segura que, si me lo propongo con esfuerzo, dedicación y estas oportunidades que nos brindan, puedo ser un gran aporte para un gran cambio y seguir siendo esa persona que siempre está dispuesta a ayudar a quien necesita de mi."/>
    <s v="Amigos"/>
    <s v="Por la calidad académica."/>
    <s v="Vocación."/>
    <n v="4"/>
    <s v="2"/>
    <s v="NO"/>
    <s v="NO"/>
    <s v="Entre 8 y 9 millones"/>
    <s v="No"/>
    <s v="SI"/>
    <n v="0"/>
    <m/>
    <s v="SI"/>
    <s v="Beca"/>
    <s v="NO"/>
    <s v=""/>
    <s v=""/>
    <s v="Si"/>
    <s v="Juan Fernando Montoya Ceballos"/>
    <s v="Casado"/>
    <s v="UNIVERSITARIOS"/>
    <s v="55"/>
    <s v="Ingeniero de Sistemas"/>
    <s v="Empleado (con contrato laboral)"/>
    <s v="Lider de soluciones y inteligencia de negocios"/>
    <s v="Éxito"/>
    <n v="8554000"/>
    <s v="Si"/>
    <s v="NO"/>
    <s v="SI"/>
    <s v=""/>
    <s v="Si"/>
    <s v="Caterine Amaya Ramirez"/>
    <s v="Otro"/>
    <m/>
    <s v="50"/>
    <s v="ama de casa"/>
    <s v="Labores del hogar y cuidado"/>
    <s v="Ser Madre"/>
    <s v="."/>
    <n v="0"/>
    <s v="Si"/>
    <s v="NO"/>
    <s v="NO"/>
    <m/>
    <n v="8554000"/>
    <s v="Si"/>
    <s v="Alejandro Montoya Amaya"/>
    <s v="Hermano / Hermana"/>
    <s v="21"/>
    <s v="Estudiante"/>
    <s v="UdeM"/>
    <n v="0"/>
    <s v="No"/>
    <s v="Maria Camila Montoya Amaya"/>
    <s v="Hermano / Hermana"/>
    <s v="25"/>
    <s v="Psicóloga"/>
    <s v="Tronex"/>
    <n v="2000000"/>
    <s v="No"/>
    <s v=""/>
    <s v=""/>
    <s v=""/>
    <s v=""/>
    <s v=""/>
    <m/>
    <s v=""/>
    <s v=""/>
    <n v="285000000"/>
    <n v="0"/>
    <n v="0"/>
    <n v="0"/>
    <n v="0"/>
    <s v="Si"/>
    <s v="Nissan"/>
    <s v="2013"/>
    <n v="30000000"/>
    <s v="No"/>
    <s v=""/>
    <s v=""/>
    <n v="0"/>
    <s v="No"/>
    <s v=""/>
    <s v=""/>
    <s v=""/>
    <n v="0"/>
    <m/>
    <n v="4"/>
    <n v="3"/>
    <n v="4"/>
    <n v="4"/>
    <n v="4"/>
    <n v="4"/>
    <n v="4"/>
    <n v="3"/>
    <n v="4"/>
    <n v="4"/>
    <n v="38"/>
    <s v="SI"/>
    <m/>
    <s v="SI, SON PRI"/>
    <s v="ok tienen todos los datos"/>
    <e v="#N/A"/>
    <e v="#N/A"/>
    <m/>
    <n v="2"/>
    <n v="10"/>
    <n v="8"/>
    <n v="0"/>
    <n v="10"/>
    <n v="15"/>
    <n v="10"/>
    <n v="7"/>
    <n v="7.5"/>
    <n v="52.5"/>
    <n v="0.4"/>
    <m/>
    <n v="2"/>
    <n v="3.5"/>
    <n v="1"/>
    <n v="1"/>
    <n v="2"/>
    <n v="3"/>
    <n v="1"/>
    <n v="1"/>
    <n v="50"/>
    <n v="0.4"/>
    <s v="Negado"/>
    <e v="#N/A"/>
    <m/>
    <m/>
    <n v="0"/>
    <m/>
    <m/>
    <s v="Comunicación Social"/>
    <e v="#N/A"/>
    <m/>
    <e v="#N/A"/>
  </r>
  <r>
    <s v="CC"/>
    <n v="1013460309"/>
    <s v="1000409932"/>
    <s v="ISABELLA JARAMILLO TRIANA"/>
    <s v="Estudios por primera vez"/>
    <x v="1"/>
    <s v="No cumple, estrato 4"/>
    <m/>
    <s v="En publico objetivo"/>
    <s v="3ra Cohorte"/>
    <s v="Admitido"/>
    <s v="ijaramillt@eafit.edu.co"/>
    <e v="#N/A"/>
    <s v="isabella.jaramillo.triana@gmail.com"/>
    <s v="573162909357"/>
    <d v="2025-05-30T00:00:00"/>
    <s v="Activo en Programa"/>
    <s v="169-Mercadeo"/>
    <s v="Escuela de Administración"/>
    <d v="2007-05-15T00:00:00"/>
    <n v="18"/>
    <s v="Antioquia"/>
    <s v="Medellín"/>
    <s v="Mujer"/>
    <s v="Soltero"/>
    <s v="NO"/>
    <s v="NO"/>
    <n v="0"/>
    <s v="NO"/>
    <s v="NA"/>
    <s v="NO"/>
    <s v="NA"/>
    <s v="NO"/>
    <s v="NA"/>
    <s v="No"/>
    <s v="347-4531"/>
    <s v="573162909357"/>
    <s v="Estrato 4"/>
    <s v="CL 8 84 F 25"/>
    <s v="Antioquia"/>
    <s v="Medellín"/>
    <s v="No aplica, no soy foráneo"/>
    <s v="Propio"/>
    <s v="SI"/>
    <s v="2024"/>
    <s v="AC202430556899"/>
    <n v="250"/>
    <n v="47"/>
    <n v="56"/>
    <s v="Privada"/>
    <s v="COL SANTA MARIA DEL ROSARIO"/>
    <n v="2024"/>
    <s v="Antioquia"/>
    <s v="Medellín"/>
    <s v="BACHILLER"/>
    <s v="ACAD"/>
    <s v="TIPO: Privada, INSTITUCION: COL SANTA MARIA DEL ROSARIO, AÑO: 2024, CIUDAD: Medellín, TITULO: BACHILLER"/>
    <s v="11"/>
    <s v="Escala Desempeño"/>
    <s v="Escala de 0 - 5"/>
    <s v="4"/>
    <s v="4"/>
    <m/>
    <s v="4"/>
    <s v="4,5"/>
    <m/>
    <n v="4"/>
    <n v="4"/>
    <m/>
    <n v="4.5"/>
    <n v="4.5"/>
    <m/>
    <s v="4"/>
    <s v="4,5"/>
    <m/>
    <s v="4,5"/>
    <s v="4,5"/>
    <m/>
    <s v="4,5"/>
    <s v="4,5"/>
    <m/>
    <s v="De 9 y 10"/>
    <n v="4.25"/>
    <s v="NO"/>
    <s v="NA"/>
    <n v="0"/>
    <n v="0"/>
    <s v="No"/>
    <n v="50"/>
    <m/>
    <n v="50"/>
    <m/>
    <n v="50"/>
    <m/>
    <m/>
    <n v="50"/>
    <s v="Con detalle por componente"/>
    <s v="Deportistas de alto rendimiento o representativo"/>
    <s v="Me visualizo especializándome en mercadeo digital y desarrollo de marca par empresas, especialmente aquellas ubicadas en regiones como la mía, donde el potencial emprendedor existe, pero muchas veces carece de visibilidad, asesoría estrategia o recursos para crecer. Por eso me gustaría acompañar a los emprendedores locales en el diseño de propuestas de valor que sean competitivas y sostenibles, promoviendo el consumo responsable y el fortalecimiento de nuestras economías._x000a_La obtención de esta beca representa para mí una oportunidad única para acceder a una formación de alta calidad, que luego podré poner al servicio de mi comunidad. _x000a_Con las herramientas adquiridas, podré liderar iniciativas de capacitación en mercadeo para jóvenes y emprendedores, crear campañas que impulsen contribuyan a la construcción de una identidad regional sólida y atractiva."/>
    <s v="A través del Colegio"/>
    <s v="Por la calidad académica."/>
    <s v="Vocación."/>
    <n v="3"/>
    <s v="1"/>
    <s v="SI"/>
    <s v="NO"/>
    <s v="Entre 6 y 7 millones"/>
    <s v="No"/>
    <n v="0"/>
    <s v="SI"/>
    <m/>
    <s v="SI"/>
    <m/>
    <s v="NO"/>
    <s v=""/>
    <s v=""/>
    <s v="Si"/>
    <s v="Sergio Andrés Jaramillo Tobón"/>
    <s v="Casado"/>
    <s v="TÉCNICA"/>
    <s v="52"/>
    <s v="Tecnologo en mercadeo"/>
    <s v="Independiente (trabaja por cuenta propia)"/>
    <s v="Productor de campo en eventos."/>
    <s v="BTL marketing solutions SAS"/>
    <n v="2500000"/>
    <s v="Si"/>
    <s v="NO"/>
    <s v="NO"/>
    <s v="Trabaja en el año solo para fechas especificas de fiestas tradicionales del país."/>
    <s v="Si"/>
    <s v="Sandra Milena Triana Gaviria"/>
    <s v="Casado"/>
    <s v="BACHILLERATO"/>
    <s v="45"/>
    <s v="ama de casa"/>
    <s v="Labores del hogar y cuidado"/>
    <s v="Ama de casa"/>
    <s v="Ama de casa"/>
    <n v="0"/>
    <s v="Si"/>
    <s v="NO"/>
    <s v="NO"/>
    <m/>
    <n v="2500000"/>
    <s v="Si"/>
    <s v="Juan Felipe Jaramillo Tobón"/>
    <s v="Tío / Tía"/>
    <s v="50"/>
    <s v="Administración de empresas"/>
    <s v="Btl marketing solutions SAS"/>
    <n v="4500000"/>
    <s v="No"/>
    <s v=""/>
    <s v=""/>
    <s v=""/>
    <s v=""/>
    <s v=""/>
    <m/>
    <s v=""/>
    <s v=""/>
    <s v=""/>
    <s v=""/>
    <s v=""/>
    <s v=""/>
    <m/>
    <s v=""/>
    <s v=""/>
    <n v="0"/>
    <n v="200430000"/>
    <n v="0"/>
    <n v="0"/>
    <n v="0"/>
    <s v="Si"/>
    <s v="Chevrolet"/>
    <s v="2016"/>
    <n v="41000000"/>
    <s v="No"/>
    <s v=""/>
    <s v=""/>
    <n v="0"/>
    <s v="No"/>
    <s v=""/>
    <s v=""/>
    <s v=""/>
    <n v="0"/>
    <s v="Apartamento con hipoteca con bancolombia y el vehículo con prenda en banco de bogota"/>
    <n v="4"/>
    <n v="3"/>
    <n v="3"/>
    <n v="4"/>
    <n v="4"/>
    <n v="4"/>
    <n v="4"/>
    <n v="4"/>
    <n v="3"/>
    <n v="4"/>
    <n v="37"/>
    <s v="SI"/>
    <m/>
    <s v="SI, SON PRI"/>
    <s v="ok tienen todos los datos"/>
    <e v="#N/A"/>
    <e v="#N/A"/>
    <m/>
    <n v="3"/>
    <n v="4"/>
    <n v="4"/>
    <n v="0"/>
    <n v="15"/>
    <n v="15"/>
    <n v="20"/>
    <n v="13.5"/>
    <n v="13.5"/>
    <n v="67.5"/>
    <n v="0.4"/>
    <m/>
    <n v="2"/>
    <n v="2.5"/>
    <n v="8"/>
    <n v="1"/>
    <n v="2"/>
    <n v="2.5"/>
    <n v="8"/>
    <n v="1"/>
    <n v="67.5"/>
    <n v="0.4"/>
    <n v="0.4"/>
    <e v="#N/A"/>
    <m/>
    <m/>
    <n v="0"/>
    <m/>
    <m/>
    <s v="Mercadeo"/>
    <e v="#N/A"/>
    <s v="169"/>
    <e v="#N/A"/>
  </r>
  <r>
    <s v="TI"/>
    <n v="1013460395"/>
    <s v="1000404372"/>
    <s v="ALEJANDRA MURILLO MONTOYA"/>
    <s v="Estudios por primera vez"/>
    <x v="1"/>
    <s v="No cumple, puntaje ICFES menor a 300"/>
    <m/>
    <s v="En publico objetivo"/>
    <s v="1er Cohorte"/>
    <s v="Admitido"/>
    <s v="amurillom2@eafit.edu.co"/>
    <e v="#N/A"/>
    <s v="alejamurillo9813@gmail.com"/>
    <s v="573052017286"/>
    <d v="2025-04-25T00:00:00"/>
    <s v="Activo en Programa"/>
    <s v="014-Ingeniería Mecánica"/>
    <s v="E Ciencias Aplic e Ingeniería"/>
    <d v="2007-05-13T00:00:00"/>
    <n v="18"/>
    <s v="Antioquia"/>
    <s v="Medellín"/>
    <s v="Mujer"/>
    <s v="Soltero"/>
    <s v="NO"/>
    <s v="NO"/>
    <n v="0"/>
    <s v="SI"/>
    <s v="Médica"/>
    <s v="NO"/>
    <s v="NA"/>
    <s v="NO"/>
    <s v="NA"/>
    <s v="No"/>
    <s v="604/298-0207"/>
    <s v="573052017286"/>
    <s v="Estrato 2"/>
    <s v="CL 32 #69 48 AP 202"/>
    <s v="Antioquia"/>
    <s v="Itagui"/>
    <s v="No aplica, no soy foráneo"/>
    <s v="Arriendo"/>
    <s v="SI"/>
    <s v="2024"/>
    <s v="AC202434646543"/>
    <n v="286"/>
    <n v="52"/>
    <n v="56"/>
    <s v="Pública"/>
    <s v="INSTITUCION EDUCATIVA ESTEBAN"/>
    <n v="2024"/>
    <s v="Antioquia"/>
    <s v="Itagui"/>
    <s v="BACHILLER"/>
    <s v="ACAD"/>
    <s v="TIPO: Pública, INSTITUCION: INSTITUCION EDUCATIVA ESTEBAN, AÑO: 2024, CIUDAD: Itagui, TITULO: BACHILLER"/>
    <s v="11"/>
    <s v="Escala Desempeño"/>
    <s v="Escala de 0 - 5"/>
    <s v="4"/>
    <s v="4"/>
    <m/>
    <s v="4"/>
    <s v="4"/>
    <m/>
    <n v="5"/>
    <n v="4"/>
    <m/>
    <n v="5"/>
    <n v="4"/>
    <m/>
    <s v="5"/>
    <s v="4"/>
    <m/>
    <s v="4"/>
    <s v="4"/>
    <m/>
    <s v="4,5"/>
    <s v="4"/>
    <m/>
    <s v="De 9 y 10"/>
    <n v="4.5"/>
    <s v="NO"/>
    <s v="NA"/>
    <n v="0"/>
    <n v="0"/>
    <s v="No"/>
    <n v="50"/>
    <m/>
    <n v="50"/>
    <m/>
    <n v="50"/>
    <m/>
    <m/>
    <n v="50"/>
    <s v="Con detalle por componente"/>
    <s v="Artísticas o culturales,Trabajo social o comunitario"/>
    <s v="Cordial Saludo,_x000a_Señores,_x000a_Comité de Becas_x000a_Universidad EAFIT_x000a__x000a_El camino de la vida es tan impredecible y lleno de incalculables sorpresas, y por esto, sé que no tengo nada certero en la mía. Les confieso que todavía ronda en mi cabeza la pregunta que Don Jaime, mi entrevistador, me dijo, sobre cómo me veo graduándome como ingeniera mecánica y siéndoles sincera, hasta hoy, no encuentro la respuesta perfecta para aquella pregunta, porque, aunque sueño haciendo felices a mis padres que cada día luchan por mi educación, no tengo ni la menor idea. Dios me ha enseñado que cada instante puede dar un rotundo cambio de 360 grados en un solo segundo, por esto, aún estoy averiguándolo, en cada día que puedo escuchar mí corazón latir, apreciando, lo que Dios tenga para mí. Mas, puedo decirles, que de lo que sí estoy muy segura, es que me visualizo ejerciendo está profesión siendo igual de extraordinaria que las personas que amo. Quiero ser igual de creativa y cariñosa que mamá, igual de inteligente y humilde que papá, igual de divertida y dedicada que mis hermanos, igual de sabia como mis abuelos e igual de desbordante de fe y esperanza como mi amiga Jimena, sus hijos y esposo; quiero ejercer está profesión, abrazándola con mi corazón que está lleno de todos ellos y mi amor por Dios, la vida, los propósitos y los aprendizajes, pese a ser imperfecta y tener mucho por aprender. Sé que mis dificultades estarán por debajo de otras, pues ninguna vida está exenta de atravesarlas, pero, si Dios me permite obtener la beca, me esforzaré en transmitir toda la esperanza, fe, amor y valor por la vida, que Él me enseñó, por medio de esta profesión, a todas las personas que me rodean y tenga la bendición de conocer."/>
    <s v="Estudiantes de EAFIT"/>
    <s v="Por la calidad académica."/>
    <s v="Vocación."/>
    <n v="3"/>
    <s v="3"/>
    <s v="SI"/>
    <s v="NO"/>
    <s v="Entre 1 y 2 millones"/>
    <s v="No"/>
    <n v="0"/>
    <n v="0"/>
    <m/>
    <s v="SI"/>
    <s v="Beca"/>
    <s v="NO"/>
    <s v=""/>
    <s v=""/>
    <s v="Si"/>
    <s v="John Eduardo Murillo Gil"/>
    <s v="Casado"/>
    <s v="BACHILLERATO"/>
    <s v="52"/>
    <s v="Conductor de transporte de mercancía y transporte público"/>
    <s v="Pensionado"/>
    <s v="Pensionado"/>
    <s v="Ninguna"/>
    <n v="1423500"/>
    <s v="Si"/>
    <s v="SI"/>
    <s v="NO"/>
    <s v="Mi padre, llamado John Eduardo Murillo Gil, nacido en el mes de agosto de 1973, tiene 51 años, tiene siete hermanos de los cuales dos ya han fallecido. Mi abuela, su madre, está viva, pero su padre, mi abuelo, falleció hace muchos años. Fue un estudiante inteligente y reconocido en su Institución Educativa Santa Rosa de Lima, pero, debido a los problemas económicos que enfrentaba en su familia, no pudo continuar estudiando la carrera profesional que tanto añoraba&amp;#58; Medicina. Por lo tanto, solo tiene el título de Bachiller. Papá trabajó desde muy pequeño vendiendo frutas o verduras para ayudar a mi abuela a sostener la economía del hogar, pues ella cuidaba como madre soltera de los siete ya que mi abuelo los dejó siendo muy pequeños, y al ser adulto trabajó muchos años en funerarias, trasporte público y transporte de mercancía. Sin embargo, debido a que en el año de 2023 en el mes de noviembre tuvieron que operarlo de corazón abierto al darle un tromboembolismo pulmonar que terminó por desencadenarle su actual enfermedad, llamada&amp;#58; hipertensión pulmonar, por esto, no pudo seguir trabajando por lo que fue pensionado. Siempre he visto a mi papá como mi caballero de armadura, el ser más perseverante, humilde, fuerte, trabajador, valiente, honesto y sobre todo educado que conozco. Él, es el ser que más me cuida, enseña y está incondicionalmente para mí. Mi papá siempre será mi primer e incondicional amor, soy yo la privilegiada que tengo la gran bendición de llamarlo papá, del cual tengo tanto que aprender y sueño ser igual de extraordinaria que él."/>
    <s v="Si"/>
    <s v="Alejandra María Montoya Durango"/>
    <s v="Casado"/>
    <s v="TÉCNICA"/>
    <s v="40"/>
    <s v="Secretaria profesional y auxiliar de sistemas"/>
    <s v="Labores del hogar y cuidado"/>
    <s v="Ama de casa"/>
    <s v="NINGUNA"/>
    <n v="0"/>
    <s v="Si"/>
    <s v="NO"/>
    <s v="NO"/>
    <s v="Mi madre, llamada Alejandra María Montoya Durango, nacida en el mes de mayo de 1985, tiene 39 años. Tiene dos hermanos y sus padres, mis abuelos, ambos están vivos y casados. Mamá estudió hasta el grado noveno en mi misma Institución Educativa Esteban Ochoa de Itagüí, y curso los grados décimo y once en la Institución Educativa Consejo Municipal de Itagüí graduándose como bachiller con media técnica en comercio. Mi madre estudió en el SENA como técnica profesional en secretariado, las practicas empresariales las realizó en una empresa llamada Icoltrans, en la cual trabajó durante 17 años, estudió además en el CESDE una técnica en sistemas. Luego, por nosotros, sus hijos, y por el tiempo de pandemia, tomó la decisión de dar un salto de fe al renunciar para estar con nosotros en casa cuidándonos. Un año después, inició a laborar en una empresa llamada Divix, en la cual desempeñaba sus labores desde la casa por lo cual mamá se puso muy feliz pues así podía continuar acompañándonos a mi hermano menor y a mí, y en estar más tranquila con los gastos del hogar; pero luego de un tiempo, tuvo que renunciar debido a los graves problemas de salud de mi padre que fue operado por el tromboembolismo de emergencia en la clínica CardioVid en una cirugía de doce horas, de mi hermano menor que tiene una enfermedad huérfana autoinmune y por mi cirugía de corazón abierto, en la misma clínica que papá y el mismo año, debido al alto riesgo que tenía de sufrir una muerte súbita y la enfermedad autoinmune que también tengo. Mamá no ha podido volver a laborar en una empresa, pero la he logrado escuchar diciendo con gran orgullo que en estos momentos está desempeñando la labor más importante de su vida&amp;#58; cuidarnos, estar incondicionalmente en nuestros momentos más difíciles de salud, trasmitiéndonos incalculable fe, amor, ánimo y paz, alejando de nosotros el miedo. Mamá tiene un don único y especial de tener la capacidad de penetrar en lo más profundo de mi ser. Es el tipo de mujer tan admirable que algún día espero llegar a ser, pues mamá es amorosa, paciente, creativa, estudiosa, amante por aprender, inteligente, graciosa, entregada a su hogar, delicada, organizada, una esplendida esposa y una invaluable madre."/>
    <n v="1423500"/>
    <s v="Si"/>
    <s v="Juan Pablo Murillo Montoya"/>
    <s v="Hermano / Hermana"/>
    <s v="11"/>
    <s v="Estudiante"/>
    <s v="Institución Educativa Esteban Ochoa"/>
    <n v="0"/>
    <s v="No"/>
    <s v=""/>
    <s v=""/>
    <s v=""/>
    <s v=""/>
    <s v=""/>
    <m/>
    <s v=""/>
    <s v=""/>
    <s v=""/>
    <s v=""/>
    <s v=""/>
    <s v=""/>
    <m/>
    <s v=""/>
    <s v="Como familia tenemos como nuestro todo a Dios. Los cuatro tenemos muy buena comunicación entre nosotros, papá y mamá nos enseñan a mi hermanito y a mi a ser mejores cada día, nos enseñan la importancia de nunca olvidar los principios y valores que siembran con tanto amor en nuestro corazón, además de la importancia de ser educados, estudiosos, del respeto por los demás y por nosotros mismos, de la importancia de amar a Dios y de luchar por nuestros sueños pese a las circunstancias difíciles que en la vida se nos puedan presentar. Nos han enseñado que no debemos dejar de soñar y de seguir apreciando la vida. Papá y mamá son un ejemplo genuino de amor, de fe, de unión, de lucha, que juntos llevando veintidós años como esposos, han salido adelante a pesar de las dificultades, y al final, siempre regalándonos una enorme sonrisa y repletándonos el rostro de sus besos. La economía de nuestro hogar se ha visto muy afectada por los problemas de salud que se han presentado desde hace dos años hasta hoy con la salud de mi papá, mi hermanito y mía, como mencionaba anteriormente. Sin embargo, esto ante nuestros ojos, nos ha unido más como familia y envolviéndonos en más amor. La enfermedad, ante mis ojos, ha sido un instrumento de Dios en nuestras vidas, aunque trajo consigo sus momentos de llanto, dolor, desconsuelo, miedo, Dios por medio de ella nos mostró y enseñó lo que antes no apreciábamos, como por ejemplo el tiempo, cada respiro, latido, o algo como una sonrisa, un abrazo, una cena juntos o un te amo, que siendo para otros algo monótono, para nosotros se convirtió en un tesoro incomparable, llenándonos más de fe y aprecio por cada segundo que tenemos con vida. La enfermedad me enseñó a apreciar cada instante con mi familia, a no dejar de abrazarlos, sonreírles, ayudarles o decirles un te amo sin saber si mañana podré hacerlo o no. Mi familia, siempre será el gran motor de mi corazón junto con Dios, son mis mejores amigos, los seres que han sido y son mi inmensa bendición de Dios, por la cual siempre podré decir, que a pesar de las tristezas, dolores, retos y dificultades, siempre les agradeceré por darme una vida plenamente feliz a su lado."/>
    <n v="0"/>
    <n v="0"/>
    <n v="0"/>
    <n v="0"/>
    <n v="0"/>
    <s v="No"/>
    <s v=""/>
    <s v=""/>
    <n v="0"/>
    <s v="No"/>
    <s v=""/>
    <s v=""/>
    <n v="0"/>
    <s v="No"/>
    <s v=""/>
    <s v=""/>
    <s v=""/>
    <n v="0"/>
    <s v="Mi familia no posee ningún bien inmueble ni ningún vehículo. La vivienda en la que vivimos es arrendada."/>
    <n v="4"/>
    <n v="4"/>
    <n v="3"/>
    <n v="4"/>
    <n v="4"/>
    <n v="4"/>
    <n v="4"/>
    <n v="4"/>
    <n v="3"/>
    <n v="4"/>
    <n v="38"/>
    <s v="SI"/>
    <m/>
    <s v="SI, SON PRI"/>
    <s v="ok tienen todos los datos"/>
    <e v="#N/A"/>
    <e v="#N/A"/>
    <m/>
    <n v="3"/>
    <n v="10"/>
    <n v="10"/>
    <n v="0"/>
    <n v="20"/>
    <n v="15"/>
    <n v="20"/>
    <n v="20"/>
    <n v="20"/>
    <n v="85"/>
    <s v="80 - 100%"/>
    <m/>
    <n v="3.5"/>
    <n v="4.5"/>
    <n v="8"/>
    <n v="4"/>
    <n v="3.5"/>
    <n v="4"/>
    <n v="8"/>
    <n v="4.5"/>
    <n v="85"/>
    <s v="80 - 100%"/>
    <n v="0.7"/>
    <e v="#N/A"/>
    <s v="se baja por icfes inferior a 300"/>
    <m/>
    <n v="0"/>
    <m/>
    <m/>
    <s v="Ingeniería Mecánica"/>
    <e v="#N/A"/>
    <s v="014"/>
    <e v="#N/A"/>
  </r>
  <r>
    <s v="TI"/>
    <n v="1013460811"/>
    <s v="1000393658"/>
    <s v="DAVID CARDONA ORDOÑEZ"/>
    <s v="Estudios por primera vez"/>
    <x v="5"/>
    <s v="Cumple Nutresa"/>
    <m/>
    <s v="En publico objetivo"/>
    <s v="1er Cohorte"/>
    <s v="Admitido"/>
    <s v="dcardonao1@eafit.edu.co"/>
    <s v="dcardonao1@eafit.edu.co"/>
    <s v="dacardonatc@gmail.com"/>
    <s v="573244320077"/>
    <d v="2025-04-25T00:00:00"/>
    <s v="Activo en Programa"/>
    <s v="169-Mercadeo"/>
    <s v="Escuela de Administración"/>
    <d v="2007-09-04T00:00:00"/>
    <n v="18"/>
    <s v="Antioquia"/>
    <s v="Medellín"/>
    <s v="Hombre"/>
    <s v="Soltero"/>
    <s v="NO"/>
    <s v="NO"/>
    <n v="0"/>
    <s v="NO"/>
    <s v="NA"/>
    <s v="NO"/>
    <s v="NA"/>
    <s v="NO"/>
    <s v="NA"/>
    <s v="No"/>
    <s v="427-8453"/>
    <s v="573244320077"/>
    <s v="Estrato 3"/>
    <s v="CR 130 B #64 49"/>
    <s v="Antioquia"/>
    <s v="Medellín"/>
    <s v="No aplica, no soy foráneo"/>
    <s v="Familiar"/>
    <s v="SI"/>
    <s v="2024"/>
    <s v="AC202433101482"/>
    <n v="322"/>
    <n v="63"/>
    <n v="69"/>
    <s v="Pública"/>
    <s v="INST EDUC MATER DEI"/>
    <n v="2024"/>
    <s v="Antioquia"/>
    <s v="Medellín"/>
    <s v="BACHILLER"/>
    <s v="TECN"/>
    <s v="TIPO: Pública, INSTITUCION: INST EDUC MATER DEI, AÑO: 2024, CIUDAD: Medellín, TITULO: BACHILLER"/>
    <s v="11"/>
    <s v="Escala de 0 - 5"/>
    <s v="Escala de 0 - 5"/>
    <s v="4,8"/>
    <s v="4,7"/>
    <m/>
    <s v="4,7"/>
    <s v="4,7"/>
    <m/>
    <n v="4.7"/>
    <n v="4.3"/>
    <m/>
    <n v="4.5"/>
    <n v="4.2"/>
    <m/>
    <s v="4,4"/>
    <s v="3,7"/>
    <m/>
    <s v="4,5"/>
    <s v="4,7"/>
    <m/>
    <s v="4,8"/>
    <s v="4,6"/>
    <m/>
    <s v="De 9 y 10"/>
    <n v="4.4249999999999998"/>
    <s v="NO"/>
    <s v="NA"/>
    <n v="0"/>
    <n v="0"/>
    <s v="No"/>
    <n v="50"/>
    <m/>
    <n v="50"/>
    <m/>
    <n v="50"/>
    <m/>
    <m/>
    <n v="50"/>
    <s v="Con detalle por componente"/>
    <s v="Espacios de liderazgo o representación social,Otras (por ejemplo, un talento extraordinario)"/>
    <s v="Una vez me hicieron una pregunta: &quot;David, ¿cuál es tu propósito?&quot; Tenía 12 años, estaba en un evento de crecimiento personal, lo pensé unos segundos y respondí con certeza: &quot;Construir mi imaginación&quot;._x000a__x000a_Desde niño, he entendido que el mercadeo va más allá de vender: transforma ideas en realidades. A los 9 años creé un canal de YouTube y, sin saberlo, ya aplicaba estrategias de mercadeo: diseñaba miniaturas, usaba hashtags, analizaba métricas y promovía mi contenido con creatividad, disciplina y determinación._x000a_Luego, al culminar mi media técnica en Mercadeo y Ventas, y tras tres años en un semillero del SENA desarrollando proyectos de base tecnológica, confirmé que esta carrera me apasiona porque puede aplicarse en diferentes contextos, tanto con un producto como con un negocio, y así generar un impacto real._x000a__x000a_Mi objetivo no es solo estudiar, sino impactar. Me visualizo potenciando marcas, ayudando a emprendedores de todo tipo a materializar sus ideas y utilizando la tecnología para revolucionar la manera en que se vende y se conecta con las personas. Gracias a esta beca, podré fortalecer mi visión y contribuir al crecimiento de mi comunidad, impulsando e inspirando emprendedores, potenciando ideas innovadoras que transformen nuestra economía. Porque, al final, el futuro lo construyen los que transforman su imaginación en realidad, aquella imaginación que viene de una inspiración que, cuando se vuelve real, es capaz de transformar._x000a__x000a_Con la beca podré ser lo que siempre he querido: impactar mediante proyectos, gracias a toda la estructura que posee EAFIT, pudiendo impactar no solo a Colombia, sino generar un cambio en el mundo desde aquí mismo, Medellín._x000a__x000a_Pues como decía Nelson Mandela: “La educación es el arma más poderosa que puedes usar para cambiar el mundo”."/>
    <s v="Otro"/>
    <s v="Por la calidad académica."/>
    <s v="Vocación."/>
    <n v="3"/>
    <s v="1"/>
    <s v="SI"/>
    <s v="NO"/>
    <s v="Entre 1 y 2 millones"/>
    <s v="No"/>
    <s v="NO"/>
    <s v="NO"/>
    <m/>
    <s v="SI"/>
    <s v="Beca"/>
    <s v="NO"/>
    <s v=""/>
    <s v=""/>
    <s v="Si"/>
    <s v="Luis Fernando Cardona Espinoza"/>
    <s v="Casado"/>
    <s v="TÉCNICA"/>
    <s v="54"/>
    <s v="Conductor"/>
    <s v="Empleado (con contrato laboral)"/>
    <s v="conductor"/>
    <s v="Consulcivil S.A.S"/>
    <n v="1423500"/>
    <s v="Si"/>
    <s v="NO"/>
    <s v="NO"/>
    <s v="NA"/>
    <s v="Si"/>
    <s v="Ana Maria Ordóñez Carpio"/>
    <s v="Casado"/>
    <s v="TÉCNICA"/>
    <s v="52"/>
    <s v="ama de casa"/>
    <s v="Labores del hogar y cuidado"/>
    <s v="Tareas domesticas"/>
    <s v="NA"/>
    <n v="0"/>
    <s v="Si"/>
    <s v="SI"/>
    <s v="NO"/>
    <s v="NA"/>
    <n v="1423500"/>
    <s v="Si"/>
    <s v="Lucas Cardona Ordoñez"/>
    <s v="Hermano / Hermana"/>
    <s v="21"/>
    <s v="Estudiante"/>
    <s v="SENA"/>
    <n v="0"/>
    <s v="No"/>
    <s v=""/>
    <s v=""/>
    <s v=""/>
    <s v=""/>
    <s v=""/>
    <m/>
    <s v=""/>
    <s v=""/>
    <s v=""/>
    <s v=""/>
    <s v=""/>
    <s v=""/>
    <m/>
    <s v=""/>
    <s v="NA"/>
    <n v="0"/>
    <n v="0"/>
    <n v="0"/>
    <n v="0"/>
    <n v="0"/>
    <s v="Si"/>
    <s v="Chevrolet"/>
    <s v="2004"/>
    <n v="5248000"/>
    <s v="No"/>
    <s v=""/>
    <s v=""/>
    <n v="0"/>
    <s v="No"/>
    <s v=""/>
    <s v=""/>
    <s v=""/>
    <n v="0"/>
    <s v="El vehiculo se encuentra en desuso"/>
    <n v="4"/>
    <n v="4"/>
    <n v="4"/>
    <n v="4"/>
    <n v="4"/>
    <n v="3"/>
    <n v="4"/>
    <n v="4"/>
    <n v="4"/>
    <n v="4"/>
    <n v="39"/>
    <s v="SI"/>
    <m/>
    <s v="SI, SON PRI"/>
    <s v="ok tienen todos los datos"/>
    <e v="#N/A"/>
    <e v="#N/A"/>
    <m/>
    <n v="3"/>
    <n v="10"/>
    <n v="8"/>
    <n v="5"/>
    <n v="15"/>
    <n v="15"/>
    <n v="20"/>
    <n v="19.5"/>
    <n v="19"/>
    <n v="84"/>
    <n v="0.7"/>
    <m/>
    <n v="3.5"/>
    <n v="3.5"/>
    <n v="8"/>
    <n v="4"/>
    <n v="3.5"/>
    <n v="3.5"/>
    <n v="8"/>
    <n v="4.5"/>
    <n v="82.5"/>
    <s v="80 - 100%"/>
    <n v="1"/>
    <s v="DAVID CARDONA ORDOÑEZ"/>
    <m/>
    <m/>
    <n v="0"/>
    <s v="EN ORDEN"/>
    <n v="0"/>
    <s v="Mercadeo"/>
    <s v="Pres. para revision docs nutresa"/>
    <m/>
    <s v="NUTRESA"/>
  </r>
  <r>
    <s v="CC"/>
    <n v="1013465724"/>
    <s v="1000326585"/>
    <s v="SEBASTIAN ECHAVARRIA SERNA"/>
    <s v="Estudios por primera vez"/>
    <x v="1"/>
    <s v="Descartado por baja prioridad pregrado"/>
    <m/>
    <s v="En publico objetivo"/>
    <s v="3ra Cohorte"/>
    <s v="Admitido"/>
    <s v="sechavarrs@eafit.edu.co"/>
    <s v="sechavarrs@eafit.edu.co"/>
    <s v="sechavarrs@eafit.edu.co"/>
    <s v="573014728850"/>
    <d v="2025-05-30T00:00:00"/>
    <s v="Activo en Programa"/>
    <s v="083-Música"/>
    <s v="Escuela de Artes y Humanidades"/>
    <d v="2005-02-28T00:00:00"/>
    <n v="20"/>
    <s v="San Jose"/>
    <s v="San Jose"/>
    <s v="Hombre"/>
    <s v="Soltero"/>
    <s v="NO"/>
    <s v="NO"/>
    <n v="0"/>
    <s v="NO"/>
    <s v="NA"/>
    <s v="NO"/>
    <s v="NA"/>
    <s v="NO"/>
    <s v="NA"/>
    <s v="No"/>
    <s v="301/472-8850"/>
    <s v="573014728850"/>
    <s v="Estrato 3"/>
    <s v="ENVIGADO C"/>
    <s v="Antioquia"/>
    <s v="Envigado"/>
    <s v="No aplica, no soy foráneo"/>
    <s v="Propio"/>
    <s v="SI"/>
    <s v="2022"/>
    <s v="AC202243223658"/>
    <n v="315"/>
    <n v="65"/>
    <n v="62"/>
    <s v="Pública"/>
    <s v="INSTITUCION EDUCATIVA MANUEL U"/>
    <n v="2022"/>
    <s v="Antioquia"/>
    <s v="Envigado"/>
    <s v="BACHILLER"/>
    <s v="ACAD"/>
    <s v="TIPO: Pública, INSTITUCION: INSTITUCION EDUCATIVA MANUEL U, AÑO: 2022, CIUDAD: Envigado, TITULO: BACHILLER"/>
    <s v="11"/>
    <s v="Escala de 0 - 5"/>
    <s v="Escala de 0 - 5"/>
    <s v="3,4"/>
    <s v="3,4"/>
    <m/>
    <s v="3,4"/>
    <s v="3"/>
    <m/>
    <n v="4"/>
    <n v="3.4"/>
    <m/>
    <n v="3.8"/>
    <n v="4"/>
    <m/>
    <s v="3,4"/>
    <s v="4,5"/>
    <m/>
    <s v="3,4"/>
    <s v="3,4"/>
    <m/>
    <s v="4"/>
    <s v="3,4"/>
    <m/>
    <s v="De 9 y 10"/>
    <n v="3.8"/>
    <s v="NO"/>
    <s v="NA"/>
    <n v="0"/>
    <n v="0"/>
    <s v="No"/>
    <s v="Sin informacion"/>
    <s v="Sin informacion"/>
    <s v="Sin informacion"/>
    <s v="Sin informacion"/>
    <s v="Sin informacion"/>
    <s v="Sin informacion"/>
    <s v="Estudiante que pasa de pre universitario a pregrado"/>
    <n v="9"/>
    <s v="Audicion musica"/>
    <s v="Espacios de liderazgo o representación social,Artísticas o culturales,Otras (por ejemplo, un talento extraordinario)"/>
    <s v="Me veo convirtiéndome en un músico extraordinario capaz de hacer frente a cualquier desafío._x000a__x000a_Dispuesto a probar nuevos métodos en mis composiciones, así como volviéndome un líder capaz de saber buscar la mejor solución a dichos retos y siendo un motivador primordial para las agrupaciones en la que me desempeñe logrando con cada trabajo demostrar una gran versatilidad y conocimiento de los diversos instrumentos y sus secciones._x000a__x000a_Con la capacidad de crear obras representativas de otros países y culturas con lo cual poder mostrar lo que aprendí a mi entorno e inspirar a que otros hagan lo mismo y más para así lograr transformar la región dando un mejor entendimiento a su población sobre otros lugares del mundo creando conocimiento sobre el tema y lograr dar una gran visibilidad al ámbito artístico.  Además de no limitarse solo a la región sino esparcirlo por el resto del país y el mundo consiguiendo que las personas se sientan atraídas por lo que creó._x000a__x000a_Yo estoy dispuesto a lograr generar un inmenso impacto ya que a pesar de las dificultades lo sigo intentando aprovechando cada día, siempre dando lo mejor de mí y cada vez más._x000a__x000a_Por lo cual me motiva muchísimo estar en la carrera ya que es algo que siempre he amado. Me encanta crear desde cero, dar rienda suelta a mi creatividad y en la música he encontrado algo que me hace sentir extremadamente feliz, es una pasión tan grande que a veces es difícil ponerla en palabras y he descubierto que la universidad se alinea mucho con el enfoque que busco aprender de la composición musical._x000a__x000a_Por ello la beca me parece una oportunidad excelente para lograrlo y aplicar afuera en el mundo todo lo que aprendería en clase, además de no quedarme solo con lo visto en clase."/>
    <s v="A través del Colegio"/>
    <s v="Por la infraestructura."/>
    <s v="Vocación."/>
    <n v="4"/>
    <s v="2"/>
    <s v="SI"/>
    <s v="NO"/>
    <s v="Entre 4 y 5 millones"/>
    <s v="No"/>
    <n v="0"/>
    <n v="0"/>
    <m/>
    <s v="SI"/>
    <s v="Beca"/>
    <s v="NO"/>
    <s v=""/>
    <s v=""/>
    <s v="No, fallecido"/>
    <n v="0"/>
    <m/>
    <m/>
    <m/>
    <s v=""/>
    <s v=""/>
    <m/>
    <s v=""/>
    <m/>
    <s v=""/>
    <m/>
    <m/>
    <s v="No posee ingresos debido a su fallecimiento"/>
    <s v="Si"/>
    <s v="Adriana Cecilia Serna Franco"/>
    <s v="Otro"/>
    <s v="TECNOLOGÍA"/>
    <s v="55"/>
    <s v="ama de casa"/>
    <s v="Desempleado (Se encuentra en la búsqueda activa de empleo)"/>
    <s v="NA"/>
    <s v="NA"/>
    <n v="0"/>
    <s v="Si"/>
    <s v="NO"/>
    <s v="NO"/>
    <s v="Depende de los ingresos de los otro familiares con los que vive, actualmente ayuda con las quehaceres del hogar"/>
    <n v="0"/>
    <s v="Si"/>
    <s v="Camilo Esteban Benitez Serna"/>
    <s v="Hermano / Hermana"/>
    <s v="36"/>
    <s v="Conductor Afiliado"/>
    <s v="MAGNO EXPERIENCES S.A.S"/>
    <n v="2500000"/>
    <s v="Si"/>
    <s v="Maria Rosalia Franco De Serna"/>
    <s v="Abuelo / Abuela"/>
    <s v="81"/>
    <s v="Pensionada"/>
    <s v="Colpensiones"/>
    <n v="1673431"/>
    <s v="Si"/>
    <s v="NA"/>
    <s v=""/>
    <s v="0"/>
    <s v="NA"/>
    <s v="NA"/>
    <n v="0"/>
    <s v="No"/>
    <s v="Mi hermano y abuela son con las otras 2 personas que vivo y ayudan, en cuanto a comida, servicios y gastas que puedan surgir en el hogar"/>
    <n v="113028000"/>
    <n v="0"/>
    <n v="0"/>
    <n v="0"/>
    <n v="0"/>
    <s v="No"/>
    <s v=""/>
    <s v=""/>
    <n v="0"/>
    <s v="No"/>
    <s v=""/>
    <s v=""/>
    <n v="0"/>
    <s v="Si"/>
    <s v="Moto"/>
    <s v="AKT Dynamic Pro 124"/>
    <s v="2019"/>
    <n v="3000000"/>
    <s v="Una moto muy deteriorada en malas condiciones, pero que aun logra aguantar y la usa mi madre para ir al supermercado a traer las cosas con el dinero que mi hermano le da"/>
    <n v="1"/>
    <n v="4"/>
    <n v="4"/>
    <n v="4"/>
    <n v="1"/>
    <n v="4"/>
    <n v="1"/>
    <n v="4"/>
    <n v="4"/>
    <n v="1"/>
    <n v="28"/>
    <s v="SI"/>
    <m/>
    <s v="PRI SIN PUNTAJE ENTREVISTA"/>
    <s v="ok es de musica, se deja puntaje del pregrado de 1 a 10 y comentario"/>
    <e v="#N/A"/>
    <e v="#N/A"/>
    <m/>
    <n v="1"/>
    <n v="10"/>
    <n v="8"/>
    <n v="5"/>
    <n v="10"/>
    <n v="10"/>
    <n v="15"/>
    <n v="16"/>
    <n v="16"/>
    <n v="66"/>
    <n v="0.5"/>
    <m/>
    <n v="3.5"/>
    <n v="2.5"/>
    <n v="8"/>
    <n v="2"/>
    <n v="3.5"/>
    <n v="2.5"/>
    <n v="8"/>
    <n v="2"/>
    <n v="64"/>
    <n v="0.5"/>
    <n v="0.4"/>
    <e v="#N/A"/>
    <m/>
    <m/>
    <n v="0"/>
    <m/>
    <m/>
    <s v="Música"/>
    <e v="#N/A"/>
    <s v="083"/>
    <e v="#N/A"/>
  </r>
  <r>
    <s v="TI"/>
    <n v="1013556876"/>
    <s v="1000398843"/>
    <s v="HAROLD GALLO HERRERA"/>
    <s v="Estudios por primera vez"/>
    <x v="1"/>
    <s v="No cumple, puntaje ICFES menor a 300"/>
    <m/>
    <s v="En publico objetivo"/>
    <s v="2da Cohorte"/>
    <s v="Admitido"/>
    <s v="hgalloh@eafit.edu.co"/>
    <s v="hgalloh@eafit.edu.co"/>
    <s v="hgalloh@eafit.edu.co"/>
    <s v="573146909364"/>
    <d v="2025-05-16T00:00:00"/>
    <s v="Activo en Programa"/>
    <s v="084-Derecho"/>
    <s v="Escuela de Derecho"/>
    <d v="2007-04-10T00:00:00"/>
    <n v="18"/>
    <s v="Antioquia"/>
    <s v="Betania"/>
    <s v="Hombre"/>
    <s v="Soltero"/>
    <s v="NO"/>
    <s v="NO"/>
    <n v="0"/>
    <s v="NO"/>
    <s v="NA"/>
    <s v="NO"/>
    <s v="NA"/>
    <s v="NO"/>
    <s v="NA"/>
    <s v="No"/>
    <s v="314/690-9364"/>
    <s v="573146909364"/>
    <s v="Estrato 2"/>
    <s v="CR 53 A 43 A 21"/>
    <s v="Antioquia"/>
    <s v="Itagui"/>
    <s v="Si"/>
    <s v="Arriendo"/>
    <s v="SI"/>
    <s v="2024"/>
    <s v="AC202432083194"/>
    <n v="278"/>
    <n v="51"/>
    <n v="61"/>
    <s v="Pública"/>
    <s v="I. E. PERLA DEL CITARA"/>
    <n v="2024"/>
    <s v="Antioquia"/>
    <s v="Betania"/>
    <s v="BACHILLER"/>
    <s v="ACAD"/>
    <s v="TIPO: Pública, INSTITUCION: I. E. PERLA DEL CITARA, AÑO: 2024, CIUDAD: Betania, TITULO: BACHILLER"/>
    <s v="11"/>
    <s v="Escala de 0 - 5"/>
    <s v="Escala de 0 - 5"/>
    <s v="4,5"/>
    <s v="5"/>
    <m/>
    <s v="4,6"/>
    <s v="4,4"/>
    <m/>
    <n v="4"/>
    <n v="4.5"/>
    <m/>
    <n v="4.3"/>
    <n v="4.5"/>
    <m/>
    <s v="4,5"/>
    <s v="5"/>
    <m/>
    <s v="5"/>
    <s v="5"/>
    <m/>
    <s v="4"/>
    <s v="5"/>
    <m/>
    <s v="De 9 y 10"/>
    <n v="4.3250000000000002"/>
    <s v="NO"/>
    <s v="NA"/>
    <n v="0"/>
    <n v="0"/>
    <s v="No"/>
    <n v="50"/>
    <m/>
    <n v="50"/>
    <m/>
    <n v="50"/>
    <m/>
    <m/>
    <n v="50"/>
    <s v="Con detalle por componente"/>
    <s v="Espacios de liderazgo o representación social,Trabajo social o comunitario"/>
    <s v="Me proyecto como un profesional ético, justo, honesto, responsable, pero sobre todo muy disciplinado. Del mismo modo, me visualizo trabajando con amor, pasión y entrega total hacia mi país y su gente. _x000a__x000a_Una Beca me podría brindar la posibilidad de acceder a una educación de alta calidad en la Universidad de mis sueños, EAFIT. Una Institución que sin duda alguna me ayudaría a alcanzar mi máximo potencial como profesional, desde lo académico y lo ético. _x000a__x000a_Con lo anterior, podría demostrarle a los niños, jóvenes y adultos de mi región que los sueños si se pueden cumplir, pero que es necesario perseguirlos y trabajar por ellos con mucha disciplina. Mientras que trabajo por defender sus derechos, por hacer cumplir la justicia y por elaborar normas que ayuden al correcto desarrollo de cada área en la que ellos se estén involucrando. _x000a__x000a_Sin duda, esta Beca sería la oportunidad más grande mi vida y la aprovecharía para contribuir a hacer el bien en mi país, para dejar una huella y un legado. _x000a__x000a_Porque tú lugar de procedencia no define tu futuro. Lo que realmente lo define son tus ganas de salir adelante y de ser mejor cada día. Buscando ser ejemplo de papá y mamá y de muchas personas que se sientan identificadas contigo y con tu proceso."/>
    <s v="EAFIT es una experiencia"/>
    <s v="Proyección laboral."/>
    <s v="Vocación."/>
    <n v="2"/>
    <s v="0"/>
    <s v="SI"/>
    <s v="NO"/>
    <s v="Entre 1 y 2 millones"/>
    <s v="Si"/>
    <n v="0"/>
    <n v="0"/>
    <m/>
    <s v="SI"/>
    <m/>
    <s v="SI"/>
    <s v="MALL AGUAS ABIERTAS"/>
    <s v="MESERO"/>
    <s v="Si"/>
    <s v="Henry Alexander Gallo Ciro"/>
    <s v="Soltero"/>
    <s v="PRIMARIA"/>
    <s v="39"/>
    <s v="Hombre de negocios"/>
    <s v="Independiente (trabaja por cuenta propia)"/>
    <s v="Administrador"/>
    <s v="Restaurante Alex Parrilla (Guatapé)"/>
    <n v="3000000"/>
    <s v="No"/>
    <s v="NO"/>
    <s v="NO"/>
    <s v="Mi papá es un hombre trabajador, humilde, sencillo y carismático. Siempre ha querido lo mejor para mí y me apoya 100% en mi sueño por ingresar a EAFIT (con beca debido a nuestro acceso económico)."/>
    <s v="Si"/>
    <s v="Sandra Milena Herrera Raigoza"/>
    <s v="Soltero"/>
    <s v="BACHILLERATO"/>
    <s v="44"/>
    <s v="Cajera en supermercado"/>
    <s v="Empleado (con contrato laboral)"/>
    <s v="Cajera en supermercado"/>
    <s v="Supermercado Plaza Marín (Betania)"/>
    <n v="1400000"/>
    <s v="No"/>
    <s v="NO"/>
    <s v="NO"/>
    <s v="Mi madre es una mujer disciplinada, trabajadora, humilde y sobre todo entregada. Durante toda mi vida se esforzado por brindarme lo mejor y siempre ha sido un apoyo indispensable. Me apoya en todo y está muy emocionada con la posibilidad de que estudiaré en EAFIT."/>
    <n v="4400000"/>
    <s v="Si"/>
    <s v="Gloria Nelcy Herrera Raigoza"/>
    <s v="Tío / Tía"/>
    <s v="47"/>
    <s v="Empleada de servicios varios"/>
    <s v="Academia de conducción de Antioquia"/>
    <n v="1400000"/>
    <s v="Si"/>
    <s v=""/>
    <s v=""/>
    <s v=""/>
    <s v=""/>
    <s v=""/>
    <m/>
    <s v=""/>
    <s v=""/>
    <s v=""/>
    <s v=""/>
    <s v=""/>
    <s v=""/>
    <m/>
    <s v=""/>
    <s v=""/>
    <n v="0"/>
    <n v="0"/>
    <n v="0"/>
    <n v="0"/>
    <n v="0"/>
    <s v="No"/>
    <s v=""/>
    <s v=""/>
    <n v="0"/>
    <s v="No"/>
    <s v=""/>
    <s v=""/>
    <n v="0"/>
    <s v="No"/>
    <s v=""/>
    <s v=""/>
    <s v=""/>
    <n v="0"/>
    <s v="Mi familia aún está en proceso de adquisición de bienes y propiedades. Por motivos económicos no hemos tenido la posibilidad la adquirirlos."/>
    <n v="4"/>
    <n v="4"/>
    <n v="4"/>
    <n v="4"/>
    <n v="4"/>
    <n v="3"/>
    <n v="4"/>
    <n v="4"/>
    <n v="4"/>
    <n v="4"/>
    <n v="39"/>
    <s v="SI"/>
    <m/>
    <s v="SI, SON PRI"/>
    <s v="ok tienen todos los datos"/>
    <e v="#N/A"/>
    <e v="#N/A"/>
    <m/>
    <n v="2"/>
    <n v="10"/>
    <n v="10"/>
    <n v="0"/>
    <n v="15"/>
    <n v="15"/>
    <n v="20"/>
    <n v="19"/>
    <n v="18"/>
    <n v="78"/>
    <n v="0.5"/>
    <m/>
    <n v="3.5"/>
    <n v="4.5"/>
    <n v="6"/>
    <n v="4"/>
    <n v="3.5"/>
    <n v="4"/>
    <n v="7"/>
    <n v="4.5"/>
    <n v="79"/>
    <n v="0.7"/>
    <n v="0.6"/>
    <e v="#N/A"/>
    <m/>
    <m/>
    <n v="0"/>
    <m/>
    <m/>
    <s v="Derecho"/>
    <e v="#N/A"/>
    <s v="084"/>
    <e v="#N/A"/>
  </r>
  <r>
    <s v="CC"/>
    <n v="1014858046"/>
    <s v="1000030591"/>
    <s v="SALOME MONTENEGRO PINZON"/>
    <s v="Estudios por primera vez"/>
    <x v="6"/>
    <s v="Descartado por ingresos altos"/>
    <m/>
    <s v="En publico objetivo"/>
    <s v="1er Cohorte"/>
    <s v="Admitido"/>
    <s v="smontenegp@eafit.edu.co"/>
    <s v="smontenegp@eafit.edu.co"/>
    <s v="smontenegrop9848@gmail.com"/>
    <s v="316/741-3299"/>
    <d v="2025-04-25T00:00:00"/>
    <s v="Activo en Programa"/>
    <s v="168-Psicología"/>
    <s v="Escuela de Artes y Humanidades"/>
    <d v="2005-03-24T00:00:00"/>
    <n v="20"/>
    <s v="Bogotá"/>
    <s v="Bogotá D.C."/>
    <s v="Mujer"/>
    <s v="Soltero"/>
    <s v="NO"/>
    <s v="NO"/>
    <n v="0"/>
    <s v="NO"/>
    <s v="NA"/>
    <s v="NO"/>
    <s v="NA"/>
    <s v="NO"/>
    <s v="NA"/>
    <s v="No"/>
    <s v="316/741-3299"/>
    <s v="316/741-3299"/>
    <s v="Estrato 3"/>
    <s v="CL 70#58 133 TO 1 AP 1404"/>
    <s v="Antioquia"/>
    <s v="Itagui"/>
    <s v="No aplica, no soy foráneo"/>
    <s v="Familiar"/>
    <s v="SI"/>
    <s v="2021"/>
    <s v="AC202141107978"/>
    <n v="336"/>
    <n v="67"/>
    <n v="77"/>
    <s v="Privada"/>
    <s v="UNIDAD EDUCATIVA SAN MARCOS"/>
    <n v="2021"/>
    <s v="Antioquia"/>
    <s v="Envigado"/>
    <s v="10°"/>
    <s v="ACAD"/>
    <s v="TIPO: Privada, INSTITUCION: UNIDAD EDUCATIVA SAN MARCOS, AÑO: 2021, CIUDAD: Envigado, TITULO: 10°"/>
    <s v="12"/>
    <s v="Escala de 0 - 100"/>
    <s v="Escala de 0 - 5"/>
    <s v="4"/>
    <s v="4,7"/>
    <m/>
    <s v="4"/>
    <s v="4,2"/>
    <m/>
    <n v="3.3"/>
    <n v="4.5999999999999996"/>
    <m/>
    <n v="4.0999999999999996"/>
    <n v="4.5"/>
    <m/>
    <s v="4,7"/>
    <s v="4,9"/>
    <m/>
    <s v="4,5"/>
    <s v="4,5"/>
    <m/>
    <s v="3,6"/>
    <s v="4,5"/>
    <m/>
    <s v="De 9 y 10"/>
    <n v="4.125"/>
    <s v="NO"/>
    <s v="NA"/>
    <n v="0"/>
    <n v="0"/>
    <s v="No"/>
    <n v="45"/>
    <m/>
    <n v="45"/>
    <m/>
    <n v="45"/>
    <m/>
    <s v="Admitida al programa que se inscribió"/>
    <n v="45"/>
    <s v="Con detalle por componente"/>
    <s v="Artísticas o culturales,Trabajo social o comunitario"/>
    <s v="Desde muy joven he tenido una gran vocación por comprender el funcionamiento del cerebro y cómo este influye en los comportamientos e interacciones sociales. Preguntaba mucho al respecto, analizaba los hábitos de las personas y siempre tuve esa curiosidad. Esto hizo mi elección mucho más sencilla, estudiar Psicología en EAFIT, especialmente con un enfoque en la neuropsicología, es lo que quiero hacer para mi desarrollo académico y profesional._x000a_Buscando especializarme en el estudio de las neurodivergencias y la lucha en contra la estigmatización de los procesos neurológicos, me veo trabajando en entornos clínicos, de investigación y comunitarios, apoyando a personas Antioqueñas neurodivergentes según sus necesidades reales. Aspiro a liderar estrategias para promover la inclusión, disminuir la desinformación con respecto a la diversidad neurológica, especialmente en zonas rurales y con acceso limitado a servicios de salud mental y educativos._x000a_Obtener esta beca representaría una gran oportunidad para mi formación académica, profesional y para mi proyecto de vida. No solo aliviaría las barreras económicas que enfrento, sino que me permitiría acceder a una educación excelente que potencie mi capacidad para generar un impacto real en mi país._x000a_Mi compromiso es devolver este privilegio a través de acciones muy concretas: desarrollar programas de concientización, crear redes de apoyo para familias, y contribuir a una Antioquia más informada, justa e inclusiva. Creo con convicción que comprender la mente desde la diversidad y el cambio es el primer paso para construir una sociedad más equitativa y unida._x000a_Con esta beca, estaré un paso más cerca de hacer realidad ese propósito."/>
    <s v="A través del Colegio"/>
    <s v="Internacionalización."/>
    <s v="Certificación."/>
    <n v="2"/>
    <s v="2"/>
    <s v="NO"/>
    <s v="NO"/>
    <s v="Menos de 1millón"/>
    <s v="No"/>
    <s v="SI"/>
    <n v="0"/>
    <m/>
    <n v="0"/>
    <m/>
    <s v="NO"/>
    <s v=""/>
    <s v=""/>
    <s v="Si"/>
    <s v="Nylson Armando Montenegro Gonzalez"/>
    <s v="Casado"/>
    <s v="TECNOLOGÍA"/>
    <s v="52"/>
    <s v="Caprintero"/>
    <s v="Desempleado (Se encuentra en la búsqueda activa de empleo)"/>
    <s v="N/A"/>
    <s v="N/A"/>
    <n v="0"/>
    <s v="No"/>
    <s v="NO"/>
    <s v="NO"/>
    <s v=""/>
    <s v="Si"/>
    <s v="Ángela Beatriz Pinzón Salazar"/>
    <s v="Otro"/>
    <s v="ESPECIALIZACIÓN"/>
    <s v="51"/>
    <s v="Contadora Pública"/>
    <s v="Empleado (con contrato laboral)"/>
    <s v="Gerente contable"/>
    <s v="PPG Industries"/>
    <n v="12900000"/>
    <s v="Si"/>
    <s v="NO"/>
    <s v="NO"/>
    <m/>
    <n v="12900000"/>
    <s v="Si"/>
    <s v="Juan Jacobo Montenegro Pinzón"/>
    <s v="Hermano / Hermana"/>
    <s v="15"/>
    <s v="Estudiante"/>
    <s v="Colegio Colombo Francés"/>
    <n v="0"/>
    <s v="No"/>
    <s v=""/>
    <s v=""/>
    <s v=""/>
    <s v=""/>
    <s v=""/>
    <m/>
    <s v=""/>
    <s v=""/>
    <s v=""/>
    <s v=""/>
    <s v=""/>
    <s v=""/>
    <m/>
    <s v=""/>
    <s v=""/>
    <n v="0"/>
    <n v="69000000"/>
    <n v="0"/>
    <n v="0"/>
    <n v="0"/>
    <s v="No"/>
    <s v=""/>
    <s v=""/>
    <n v="0"/>
    <s v="No"/>
    <s v=""/>
    <s v=""/>
    <n v="0"/>
    <s v="No"/>
    <s v=""/>
    <s v=""/>
    <s v=""/>
    <n v="0"/>
    <m/>
    <n v="4"/>
    <n v="4"/>
    <n v="4"/>
    <n v="4"/>
    <n v="4"/>
    <n v="4"/>
    <n v="4"/>
    <n v="4"/>
    <n v="4"/>
    <n v="4"/>
    <n v="40"/>
    <s v="SI"/>
    <m/>
    <s v="SI, SON PRI"/>
    <s v="ok tienen todos los datos"/>
    <e v="#N/A"/>
    <e v="#N/A"/>
    <m/>
    <n v="3"/>
    <n v="10"/>
    <n v="8"/>
    <n v="10"/>
    <n v="15"/>
    <n v="15"/>
    <n v="15"/>
    <n v="8.5"/>
    <n v="8.5"/>
    <n v="73.5"/>
    <n v="0.4"/>
    <n v="0.4"/>
    <n v="2"/>
    <n v="3.5"/>
    <n v="0"/>
    <n v="3"/>
    <n v="2"/>
    <n v="3.5"/>
    <n v="0"/>
    <n v="3"/>
    <n v="71.5"/>
    <n v="0.4"/>
    <s v="Negado"/>
    <e v="#N/A"/>
    <m/>
    <m/>
    <n v="0"/>
    <m/>
    <m/>
    <s v="Psicología"/>
    <e v="#N/A"/>
    <m/>
    <e v="#N/A"/>
  </r>
  <r>
    <s v="CC"/>
    <n v="1014979525"/>
    <s v="1000408257"/>
    <s v="DAVID SANTIAGO ROSO CARDONA"/>
    <s v="Estudios por primera vez"/>
    <x v="1"/>
    <s v="No cumple, estrato 4"/>
    <m/>
    <s v="En publico objetivo"/>
    <s v="2da Cohorte"/>
    <s v="Admitido"/>
    <s v="dsrosoc@eafit.edu.co"/>
    <e v="#N/A"/>
    <s v="davidroso.27@gmail.com"/>
    <s v="573209057249"/>
    <d v="2025-05-16T00:00:00"/>
    <s v="Activo en Programa"/>
    <s v="001-Administración de Negocios"/>
    <s v="Escuela de Administración"/>
    <d v="2006-02-27T00:00:00"/>
    <n v="19"/>
    <s v="Bogotá"/>
    <s v="Bogotá D.C."/>
    <s v="Hombre"/>
    <s v="Soltero"/>
    <s v="NO"/>
    <s v="NO"/>
    <n v="0"/>
    <s v="NO"/>
    <s v="NA"/>
    <s v="NO"/>
    <s v="NA"/>
    <s v="NO"/>
    <s v="NA"/>
    <s v="No"/>
    <s v="320/905-7249"/>
    <s v="573209057249"/>
    <s v="Estrato 4"/>
    <s v="IBAGUÉ"/>
    <s v="Tolima"/>
    <s v="Ibagué"/>
    <s v="No"/>
    <s v="Arriendo"/>
    <s v="SI"/>
    <s v="2024"/>
    <s v="AC202431877539"/>
    <n v="348"/>
    <n v="73"/>
    <n v="73"/>
    <s v="Privada"/>
    <s v="COL CHAMPAGNAT"/>
    <n v="2024"/>
    <s v="Tolima"/>
    <s v="Ibagué"/>
    <s v="BACHILLER"/>
    <s v="ACAD"/>
    <s v="TIPO: Privada, INSTITUCION: COL CHAMPAGNAT, AÑO: 2024, CIUDAD: Ibagué, TITULO: BACHILLER"/>
    <s v="11"/>
    <s v="Escala de 0 - 5"/>
    <s v="Escala de 0 - 5"/>
    <s v="4,5"/>
    <s v="5"/>
    <m/>
    <s v="4,5"/>
    <s v="5"/>
    <m/>
    <n v="4.5"/>
    <n v="4.5999999999999996"/>
    <m/>
    <n v="5"/>
    <n v="5"/>
    <m/>
    <s v="4,5"/>
    <s v="4,5"/>
    <m/>
    <s v="4,5"/>
    <s v="4,5"/>
    <m/>
    <s v="4,5"/>
    <s v="4,5"/>
    <m/>
    <s v="De 9 y 10"/>
    <n v="4.7750000000000004"/>
    <s v="NO"/>
    <s v="NA"/>
    <n v="0"/>
    <n v="0"/>
    <s v="No"/>
    <n v="45"/>
    <m/>
    <n v="45"/>
    <m/>
    <n v="45"/>
    <m/>
    <s v="vive en Ibague, le gusta jugar futbol, le gusta Administración porque quiere tener su propia empresa y EAFIT por las oportunidades que le brinda"/>
    <n v="45"/>
    <s v="Con detalle por componente"/>
    <s v="Deportistas de alto rendimiento o representativo"/>
    <s v="Me visualizo como un administrador profesional dispuesto al cambio, aportando soluciones concretas a problemas que enfrenta la sociedad y comprometido con el correcto desarrollo de mi comunidad, aspirando a ser un lider que escucha, atiende las necesidades de las personas y que impulsa el crecimiento de empresas locales junto con el emprendimiento. La beca me permitira acceder a una formacion de alta calidad, aprovechar tambien cada recurso que me brinda esta prestigiosa universidad y poder adquirir este conocimiento en lo que mas me apasiona, formandome como un lider con una vision social. Con estas bases estructuradas podre transformar mi region promoviendo el desarrollo economico y generando oportunidades. Con esta beca no solo cambiara mi futuro, sino tambien el de muchas personas a mi alrededor."/>
    <s v="Página WEB"/>
    <s v="Por la calidad académica."/>
    <s v="Vocación."/>
    <n v="3"/>
    <s v="1"/>
    <s v="NO"/>
    <s v="NO"/>
    <s v="Entre 9 y 10 millones"/>
    <s v="No"/>
    <s v="SI"/>
    <n v="0"/>
    <m/>
    <s v="SI"/>
    <s v="Beca"/>
    <s v="NO"/>
    <s v=""/>
    <s v=""/>
    <s v="Si"/>
    <s v="Mauricio Roso Plazas"/>
    <s v="Casado"/>
    <s v="UNIVERSITARIOS"/>
    <s v="52"/>
    <s v="Arquitecto"/>
    <s v="Empleado (con contrato laboral)"/>
    <s v="Arquitecto residente de obra"/>
    <s v="Habitats Constructora"/>
    <n v="3328400"/>
    <s v="Si"/>
    <s v="NO"/>
    <s v="NO"/>
    <s v=""/>
    <s v="Si"/>
    <s v="Diana Marcela Cardona Lozada"/>
    <s v="Casado"/>
    <s v="UNIVERSITARIOS"/>
    <s v="52"/>
    <s v="Terapeuta Ocupacional"/>
    <s v="Empleado (con contrato laboral)"/>
    <s v="Visitadora Medica"/>
    <s v="Tecnoquimicas S.A."/>
    <n v="6543200"/>
    <s v="Si"/>
    <s v="NO"/>
    <s v="NO"/>
    <m/>
    <n v="9871600"/>
    <s v="Si"/>
    <s v="Juan Felipe Roso Cardona"/>
    <s v="Hermano / Hermana"/>
    <s v="25"/>
    <s v="Administrador Financiero"/>
    <s v="Asepropaz"/>
    <n v="2038000"/>
    <s v="No"/>
    <s v=""/>
    <s v=""/>
    <s v=""/>
    <s v=""/>
    <s v=""/>
    <m/>
    <s v=""/>
    <s v=""/>
    <s v=""/>
    <s v=""/>
    <s v=""/>
    <s v=""/>
    <m/>
    <s v=""/>
    <s v=""/>
    <n v="0"/>
    <n v="0"/>
    <n v="0"/>
    <n v="0"/>
    <n v="0"/>
    <s v="Si"/>
    <s v="Volkswagen Nivus Confortline sense"/>
    <s v="2023"/>
    <n v="80000000"/>
    <s v="No"/>
    <s v=""/>
    <s v=""/>
    <n v="0"/>
    <s v="Si"/>
    <s v="Moto"/>
    <s v="Suzuki Gixxer 250"/>
    <s v="2023"/>
    <n v="12000000"/>
    <m/>
    <n v="4"/>
    <n v="4"/>
    <n v="3"/>
    <n v="4"/>
    <n v="4"/>
    <n v="4"/>
    <n v="4"/>
    <n v="4"/>
    <n v="3"/>
    <n v="4"/>
    <n v="38"/>
    <s v="SI"/>
    <m/>
    <s v="SI, SON PRI"/>
    <s v="ok tienen todos los datos"/>
    <e v="#N/A"/>
    <e v="#N/A"/>
    <m/>
    <n v="3"/>
    <n v="4"/>
    <n v="4"/>
    <n v="10"/>
    <n v="20"/>
    <n v="15"/>
    <n v="15"/>
    <n v="11.5"/>
    <n v="11.5"/>
    <n v="75.5"/>
    <n v="0.4"/>
    <m/>
    <n v="2"/>
    <n v="4.5"/>
    <n v="1"/>
    <n v="4"/>
    <n v="2"/>
    <n v="4"/>
    <n v="1"/>
    <n v="4.5"/>
    <n v="75.5"/>
    <n v="0.4"/>
    <n v="0.4"/>
    <e v="#N/A"/>
    <m/>
    <m/>
    <n v="0"/>
    <m/>
    <m/>
    <s v="Administración de Negocios"/>
    <e v="#N/A"/>
    <s v="001"/>
    <e v="#N/A"/>
  </r>
  <r>
    <s v="CC"/>
    <n v="1015188141"/>
    <s v="1000401514"/>
    <s v="JERÓNIMO GÓMEZ ARANGO"/>
    <s v="Estudios por primera vez"/>
    <x v="1"/>
    <s v="Descartado por notas"/>
    <m/>
    <s v="En publico objetivo"/>
    <s v="1er Cohorte"/>
    <s v="Admitido"/>
    <s v="jgomeza20@eafit.edu.co"/>
    <s v="jgomeza20@eafit.edu.co"/>
    <s v="jeromeloxz@gmail.com"/>
    <s v="+57 3137384997"/>
    <d v="2025-04-25T00:00:00"/>
    <s v="Activo en Programa"/>
    <s v="010-Ingeniería de Sistemas"/>
    <s v="E Ciencias Aplic e Ingeniería"/>
    <d v="2006-10-30T00:00:00"/>
    <n v="19"/>
    <s v="Antioquia"/>
    <s v="Medellín"/>
    <s v="Hombre"/>
    <s v="Soltero"/>
    <s v="NO"/>
    <s v="NO"/>
    <n v="0"/>
    <s v="NO"/>
    <s v="NA"/>
    <s v="NO"/>
    <s v="NA"/>
    <s v="NO"/>
    <s v="NA"/>
    <s v="No"/>
    <s v="585-9862"/>
    <s v="+57 3137384997"/>
    <s v="Estrato 3"/>
    <s v="CL 113 AA #65 58"/>
    <s v="Antioquia"/>
    <s v="Medellín"/>
    <s v="No aplica, no soy foráneo"/>
    <s v="Propio"/>
    <s v="SI"/>
    <s v="2024"/>
    <s v="AC202435307244"/>
    <n v="320"/>
    <n v="62"/>
    <n v="66"/>
    <s v="Privada"/>
    <s v="DE LA UNV. PONTIFICIA BOLIVARI"/>
    <n v="2024"/>
    <s v="Antioquia"/>
    <s v="Medellín"/>
    <s v="BACHILLER"/>
    <s v="ACAD"/>
    <s v="TIPO: Privada, INSTITUCION: DE LA UNV. PONTIFICIA BOLIVARI, AÑO: 2024, CIUDAD: Medellín, TITULO: BACHILLER"/>
    <s v="11"/>
    <s v="Escala de 0 - 5"/>
    <s v="Escala de 0 - 5"/>
    <s v="3,5"/>
    <s v="3,5"/>
    <m/>
    <s v="3,6"/>
    <s v="3,6"/>
    <m/>
    <n v="3.5"/>
    <n v="3.5"/>
    <m/>
    <n v="3.5"/>
    <n v="3.5"/>
    <m/>
    <s v="3,5"/>
    <s v="3,5"/>
    <m/>
    <s v="3,6"/>
    <s v="3,6"/>
    <m/>
    <s v="3,1"/>
    <s v="3,1"/>
    <m/>
    <s v="De 9 y 10"/>
    <n v="3.5"/>
    <s v="NO"/>
    <s v="NA"/>
    <n v="0"/>
    <n v="0"/>
    <s v="No"/>
    <n v="45"/>
    <m/>
    <n v="50"/>
    <m/>
    <n v="45"/>
    <m/>
    <m/>
    <n v="46.666666666666664"/>
    <s v="Con detalle por componente"/>
    <s v="Otras (por ejemplo, un talento extraordinario),Trabajo social o comunitario"/>
    <s v="Me visualizo trabajando en soluciones para mejorar la calidad de vida y las situaciones económicas de las personas, a través de una startup que genere empleo y pueda realizar donaciones a sectores de población vulnerable. Obtener esta beca sería una oportunidad muy grande, ya que me permitiría centrarme completamente en mis estudios. Además, me comprometo a retribuir esta inversión con iniciativas que promuevan el desarrollo de software en gran parte de Colombia."/>
    <s v="Referencias familiares"/>
    <s v="Por la calidad académica."/>
    <s v="Alta proyección de ingresos."/>
    <n v="4"/>
    <s v="1"/>
    <s v="NO"/>
    <s v="SI"/>
    <s v="Entre 4 y 5 millones"/>
    <s v="No"/>
    <n v="0"/>
    <s v="SI"/>
    <s v="Crédito entidad externa"/>
    <n v="0"/>
    <m/>
    <s v="NO"/>
    <s v=""/>
    <s v=""/>
    <s v="Si"/>
    <s v="Juan Fernando Gómez Pulgarín"/>
    <s v="Casado"/>
    <s v="BACHILLERATO"/>
    <s v="47"/>
    <s v="Asesor comerical"/>
    <s v="Empleado (con contrato laboral)"/>
    <s v="Asesor comerical"/>
    <s v="Almacén Las Balineras S.A.S."/>
    <n v="1300000"/>
    <s v="Si"/>
    <s v="NO"/>
    <s v="NO"/>
    <s v=""/>
    <s v="Si"/>
    <s v="Mribel Arango Graciano"/>
    <s v="Casado"/>
    <s v="BACHILLERATO"/>
    <s v="54"/>
    <s v="ama de casa"/>
    <s v="Labores del hogar y cuidado"/>
    <s v="Ama de casa"/>
    <s v="Ama de casa"/>
    <n v="0"/>
    <s v="Si"/>
    <s v="NO"/>
    <s v="NO"/>
    <m/>
    <n v="1300000"/>
    <s v="Si"/>
    <s v="Simon Gomez Arango"/>
    <s v="Hermano / Hermana"/>
    <s v="21"/>
    <s v="Ingeniero de software"/>
    <s v="Revaisor"/>
    <n v="2500000"/>
    <s v="No"/>
    <s v=""/>
    <s v=""/>
    <s v=""/>
    <s v=""/>
    <s v=""/>
    <m/>
    <s v=""/>
    <s v=""/>
    <s v=""/>
    <s v=""/>
    <s v=""/>
    <s v=""/>
    <m/>
    <s v=""/>
    <s v=""/>
    <n v="0"/>
    <n v="180000000"/>
    <n v="0"/>
    <n v="0"/>
    <n v="0"/>
    <s v="No"/>
    <s v=""/>
    <s v=""/>
    <n v="0"/>
    <s v="No"/>
    <s v=""/>
    <s v=""/>
    <n v="0"/>
    <s v="No"/>
    <s v=""/>
    <s v=""/>
    <s v=""/>
    <n v="0"/>
    <m/>
    <n v="4"/>
    <n v="4"/>
    <n v="3"/>
    <n v="4"/>
    <n v="4"/>
    <n v="3"/>
    <n v="4"/>
    <n v="4"/>
    <n v="2"/>
    <n v="4"/>
    <n v="36"/>
    <s v="SI"/>
    <m/>
    <s v="SI, SON PRI"/>
    <s v="ok tienen todos los datos"/>
    <e v="#N/A"/>
    <e v="#N/A"/>
    <m/>
    <n v="3"/>
    <n v="10"/>
    <n v="8"/>
    <n v="5"/>
    <n v="10"/>
    <n v="15"/>
    <n v="20"/>
    <n v="14.5"/>
    <n v="14.5"/>
    <n v="74.5"/>
    <n v="0.4"/>
    <m/>
    <n v="2"/>
    <n v="2.5"/>
    <n v="8"/>
    <n v="2"/>
    <n v="2"/>
    <n v="2.5"/>
    <n v="8"/>
    <n v="2"/>
    <n v="72.5"/>
    <n v="0.5"/>
    <n v="0.4"/>
    <e v="#N/A"/>
    <s v="x notas"/>
    <m/>
    <n v="0"/>
    <m/>
    <m/>
    <s v="Ingeniería de Sistemas"/>
    <e v="#N/A"/>
    <s v="010"/>
    <e v="#N/A"/>
  </r>
  <r>
    <s v="CC"/>
    <n v="1015188182"/>
    <s v="1000402247"/>
    <s v="SANTIAGO MORENO LOAIZA"/>
    <s v="Estudios por primera vez"/>
    <x v="1"/>
    <s v="Descartado por prueba y pre"/>
    <m/>
    <s v="En publico objetivo"/>
    <s v="3ra Cohorte"/>
    <s v="Admitido"/>
    <s v="smorenol3@eafit.edu.co"/>
    <s v="smorenol3@eafit.edu.co"/>
    <s v="santiagoml2006@gmail.com"/>
    <s v="573182527082"/>
    <d v="2025-05-30T00:00:00"/>
    <s v="Activo en Programa"/>
    <s v="199-Finanzas"/>
    <s v="E.Finanzas, Economía, Gobierno"/>
    <d v="2006-10-29T00:00:00"/>
    <n v="19"/>
    <s v="Antioquia"/>
    <s v="Medellín"/>
    <s v="Hombre"/>
    <s v="Soltero"/>
    <s v="NO"/>
    <s v="NO"/>
    <n v="0"/>
    <s v="NO"/>
    <s v="NA"/>
    <s v="NO"/>
    <s v="NA"/>
    <s v="NO"/>
    <s v="NA"/>
    <s v="No"/>
    <s v="318/252-7082"/>
    <s v="573182527082"/>
    <s v="Estrato 2"/>
    <s v="MEDELLÍN"/>
    <s v="Antioquia"/>
    <s v="Medellín"/>
    <s v="No aplica, no soy foráneo"/>
    <s v="Propio"/>
    <s v="SI"/>
    <s v="2024"/>
    <s v="AC202434097473"/>
    <n v="357"/>
    <n v="75"/>
    <n v="74"/>
    <s v="Pública"/>
    <s v="INST EDUC JUAN XXIII"/>
    <n v="2024"/>
    <s v="Antioquia"/>
    <s v="Medellín"/>
    <s v="BACHILLER"/>
    <s v="TECN"/>
    <s v="TIPO: Pública, INSTITUCION: INST EDUC JUAN XXIII, AÑO: 2024, CIUDAD: Medellín, TITULO: BACHILLER"/>
    <s v="11"/>
    <s v="Escala Desempeño"/>
    <s v="Escala de 0 - 5"/>
    <s v="4"/>
    <s v="4"/>
    <m/>
    <s v="4,5"/>
    <s v="4,5"/>
    <m/>
    <n v="4"/>
    <n v="4.5"/>
    <m/>
    <n v="4"/>
    <n v="4"/>
    <m/>
    <s v="4"/>
    <s v="4,5"/>
    <m/>
    <s v="4,5"/>
    <s v="4,5"/>
    <m/>
    <s v="4,5"/>
    <s v="4,5"/>
    <m/>
    <s v="De 9 y 10"/>
    <n v="4.125"/>
    <s v="NO"/>
    <s v="NA"/>
    <n v="0"/>
    <n v="0"/>
    <s v="No"/>
    <n v="40"/>
    <s v="Baloncesto"/>
    <n v="45"/>
    <m/>
    <n v="45"/>
    <m/>
    <s v="Se graduó en el 2024_x000a_Estas trabajando en BATA_x000a_Puntaje saber 11-357_x000a_Media técnica en asistencia administrativa"/>
    <n v="43.333333333333336"/>
    <s v="Con detalle por componente"/>
    <s v="Ninguna"/>
    <s v="Cuando esté cursando o haya terminado mi carrera, me visualizo haciendo parte de una empresa conocida o incluso creando la mía propia, aplicare todo lo aprendido durante mi formación. la verdad siempre he tenido claro que quiero lograr cosas grandes, y sé que, con la beca en la Universidad EAFIT, se me abrirán muchas puertas y oportunidades las cuales voy a aprovechar al máximo._x000a__x000a_Mi meta no es solo crecer a nivel personal, sino también deseo poder aportar al desarrollo de mi región y de mi país. Quiero demostrar que en esta generación si se puede salir adelante, que sí se puede estudiar y progresar, sin importar las dificultades que a cada uno le toque enfrentar._x000a__x000a_Estoy convencido de que, al obtener esta beca, no solo cambiaré mi vida sino que también podré motivar a quienes me rodean, siendo un ejemplo de que con esfuerzo y oportunidades se pueden alcanzar metas grandes."/>
    <s v="EAFIT es una experiencia"/>
    <s v="Por la oferta académica."/>
    <s v="Alta empleabilidad."/>
    <n v="2"/>
    <s v="2"/>
    <s v="SI"/>
    <s v="NO"/>
    <s v="Entre 1 y 2 millones"/>
    <s v="No"/>
    <s v="NO"/>
    <n v="0"/>
    <m/>
    <s v="SI"/>
    <s v="Beca"/>
    <s v="SI"/>
    <s v="MANISOL"/>
    <s v="auxiliar de ventas"/>
    <s v="Si"/>
    <s v="Jose Honorio Moreno"/>
    <m/>
    <s v="BACHILLERATO"/>
    <m/>
    <s v="Desempleado"/>
    <s v="Desempleado (Se encuentra en la búsqueda activa de empleo)"/>
    <s v="Organizar cosas sencillas sobre labores del hogar"/>
    <s v="N/A"/>
    <n v="0"/>
    <s v="Si"/>
    <s v="NO"/>
    <s v="NO"/>
    <s v="Actualmente no esta en búsqueda de trabajo dado a su edad."/>
    <s v="Si"/>
    <s v="Rocio de Jesús Loaiza garcia"/>
    <m/>
    <s v="BACHILLERATO"/>
    <m/>
    <s v="Labores domesticas de forma informal"/>
    <s v="Independiente (trabaja por cuenta propia)"/>
    <s v="Labores domesticas"/>
    <s v="N/A"/>
    <n v="630000"/>
    <s v="Si"/>
    <s v="NO"/>
    <s v="NO"/>
    <m/>
    <n v="630000"/>
    <s v="No, solo vivo con mis padres"/>
    <s v=""/>
    <s v=""/>
    <s v=""/>
    <s v=""/>
    <s v=""/>
    <m/>
    <s v=""/>
    <s v=""/>
    <s v=""/>
    <s v=""/>
    <s v=""/>
    <s v=""/>
    <m/>
    <s v=""/>
    <s v=""/>
    <s v=""/>
    <s v=""/>
    <s v=""/>
    <s v=""/>
    <m/>
    <s v=""/>
    <s v=""/>
    <n v="105828000"/>
    <n v="0"/>
    <n v="0"/>
    <n v="0"/>
    <n v="0"/>
    <s v="No"/>
    <s v=""/>
    <s v=""/>
    <n v="0"/>
    <s v="No"/>
    <s v=""/>
    <s v=""/>
    <n v="0"/>
    <s v="No"/>
    <s v=""/>
    <s v=""/>
    <s v=""/>
    <n v="0"/>
    <m/>
    <n v="4"/>
    <n v="4"/>
    <n v="3"/>
    <n v="4"/>
    <n v="4"/>
    <n v="4"/>
    <n v="4"/>
    <n v="4"/>
    <n v="2"/>
    <n v="2"/>
    <n v="35"/>
    <s v="SI"/>
    <m/>
    <s v="SI, SON PRI"/>
    <s v="ok tienen todos los datos"/>
    <s v="Negada"/>
    <n v="20251"/>
    <m/>
    <n v="2"/>
    <n v="10"/>
    <n v="10"/>
    <n v="10"/>
    <n v="15"/>
    <n v="15"/>
    <n v="15"/>
    <n v="16"/>
    <n v="16"/>
    <n v="81"/>
    <n v="0.5"/>
    <m/>
    <n v="3.5"/>
    <n v="2.5"/>
    <n v="8"/>
    <n v="2"/>
    <n v="3.5"/>
    <n v="2.5"/>
    <n v="8"/>
    <n v="2"/>
    <n v="81"/>
    <n v="0.5"/>
    <n v="0.5"/>
    <e v="#N/A"/>
    <m/>
    <m/>
    <n v="0"/>
    <m/>
    <m/>
    <s v="Finanzas"/>
    <e v="#N/A"/>
    <s v="199"/>
    <e v="#N/A"/>
  </r>
  <r>
    <s v="TI"/>
    <n v="1016026760"/>
    <s v="1000383867"/>
    <s v="SANTIAGO ANDRES PIÑA ALVAREZ"/>
    <s v="Estudios por primera vez"/>
    <x v="1"/>
    <s v="Descartado por prueba y pre"/>
    <m/>
    <s v="En publico objetivo"/>
    <s v="2da Cohorte"/>
    <s v="Admitido"/>
    <s v="spinaa@eafit.edu.co"/>
    <s v="spinaa@eafit.edu.co"/>
    <s v="atisanpa@gmail.com"/>
    <s v="573332565647"/>
    <d v="2025-05-16T00:00:00"/>
    <s v="Activo en Programa"/>
    <s v="010-Ingeniería de Sistemas"/>
    <s v="E Ciencias Aplic e Ingeniería"/>
    <d v="2008-05-20T00:00:00"/>
    <n v="17"/>
    <s v="Bogotá"/>
    <s v="Bogotá D.C."/>
    <s v="Hombre"/>
    <s v="Soltero"/>
    <s v="NO"/>
    <s v="NO"/>
    <n v="0"/>
    <s v="NO"/>
    <s v="NA"/>
    <s v="NO"/>
    <s v="NA"/>
    <s v="NO"/>
    <s v="NA"/>
    <s v="No"/>
    <s v="604/581-6984"/>
    <s v="573332565647"/>
    <s v="Estrato 2"/>
    <s v="DG 43#34 E 20"/>
    <s v="Antioquia"/>
    <s v="Bello"/>
    <s v="No aplica, no soy foráneo"/>
    <s v="Arriendo"/>
    <s v="SI"/>
    <s v="2024"/>
    <s v="AC202434167938"/>
    <n v="351"/>
    <n v="76"/>
    <n v="66"/>
    <s v="Pública"/>
    <s v="IE FONTIDUEÑO JAIME ARANGO ROJ"/>
    <n v="2024"/>
    <s v="Antioquia"/>
    <s v="Bello"/>
    <s v="BACHILLER"/>
    <s v="TECN"/>
    <s v="TIPO: Pública, INSTITUCION: IE FONTIDUEÑO JAIME ARANGO ROJ, AÑO: 2024, CIUDAD: Bello, TITULO: BACHILLER"/>
    <s v="11"/>
    <s v="Escala Desempeño"/>
    <s v="Escala de 0 - 5"/>
    <s v="4,5"/>
    <s v="4,5"/>
    <m/>
    <s v="4,5"/>
    <s v="4,5"/>
    <m/>
    <n v="5"/>
    <n v="4.5"/>
    <m/>
    <n v="5"/>
    <n v="4.5"/>
    <m/>
    <s v="5"/>
    <s v="5"/>
    <m/>
    <s v="4,5"/>
    <s v="4"/>
    <m/>
    <s v="4,5"/>
    <s v="4,5"/>
    <m/>
    <s v="De 9 y 10"/>
    <n v="4.75"/>
    <s v="NO"/>
    <s v="NA"/>
    <n v="0"/>
    <n v="0"/>
    <s v="No"/>
    <n v="45"/>
    <m/>
    <n v="45"/>
    <m/>
    <n v="50"/>
    <m/>
    <m/>
    <n v="46.666666666666664"/>
    <s v="Con detalle por componente"/>
    <s v="Espacios de liderazgo o representación social"/>
    <s v="Como Colombiano, me visualizo ejerciendo la Ingeniería de Sistemas como un agente de transformación tecnológica y social en mi región. Aspiro a convertirme en un profesional integral que no solo domine las herramientas técnicas, sino que también tenga la sensibilidad y visión para resolver problemáticas reales a través de soluciones innovadoras. Quiero liderar proyectos que mejoren la calidad de vida de las personas, desde el desarrollo de plataformas digitales accesibles para la educación y la salud, hasta la implementación de sistemas que optimicen los procesos en pequeñas y medianas empresas locales._x000a__x000a_Sueño con crear espacios de formación tecnológica en mi barrio, impulsar emprendimientos digitales y fomentar el uso de la tecnología como herramienta de inclusión y desarrollo. La beca será el primer paso para demostrar que con apoyo y compromiso, los jóvenes de regiones como la mía podemos ser protagonistas del cambio. Estoy decidido a aportar con mis conocimientos al progreso de mi entorno y convertir mi historia en un testimonio de superación y servicio."/>
    <s v="Redes sociales"/>
    <s v="Por la calidad académica."/>
    <s v="Nivel académico de docentes."/>
    <n v="3"/>
    <s v="1"/>
    <s v="SI"/>
    <s v="NO"/>
    <s v="Entre 1 y 2 millones"/>
    <s v="No"/>
    <s v="NO"/>
    <n v="0"/>
    <m/>
    <s v="SI"/>
    <m/>
    <s v="NO"/>
    <s v=""/>
    <s v=""/>
    <s v="Si"/>
    <s v="Javier Alfonso Piña Rodriguez"/>
    <m/>
    <m/>
    <m/>
    <s v="campesino"/>
    <s v="Pensionado"/>
    <s v="Independiente"/>
    <s v="ejercito colombiano"/>
    <n v="0"/>
    <s v="No"/>
    <m/>
    <m/>
    <s v="no responde por mi ni por mi hermana, no se cuanto gana"/>
    <s v="Si"/>
    <s v="Viviana Alvarez Palacio"/>
    <s v="Soltero"/>
    <s v="BACHILLERATO"/>
    <s v="40"/>
    <s v="Vendedora"/>
    <s v="Empleado (con contrato laboral)"/>
    <s v="asesora de ventas"/>
    <s v="multi descuentos"/>
    <n v="1300000"/>
    <s v="Si"/>
    <s v="SI"/>
    <s v="NO"/>
    <m/>
    <n v="1300000"/>
    <s v="No, solo vivo con mis padres"/>
    <s v=""/>
    <s v=""/>
    <s v=""/>
    <s v=""/>
    <s v=""/>
    <m/>
    <s v=""/>
    <s v=""/>
    <s v=""/>
    <s v=""/>
    <s v=""/>
    <s v=""/>
    <m/>
    <s v=""/>
    <s v=""/>
    <s v=""/>
    <s v=""/>
    <s v=""/>
    <s v=""/>
    <m/>
    <s v=""/>
    <s v=""/>
    <n v="0"/>
    <n v="0"/>
    <n v="0"/>
    <n v="0"/>
    <n v="0"/>
    <s v="No"/>
    <s v=""/>
    <s v=""/>
    <n v="0"/>
    <s v="No"/>
    <s v=""/>
    <s v=""/>
    <n v="0"/>
    <s v="Si"/>
    <s v="Moto"/>
    <s v="yamaha"/>
    <s v="2013"/>
    <n v="4400000"/>
    <m/>
    <n v="4"/>
    <n v="3"/>
    <n v="3"/>
    <n v="4"/>
    <n v="3"/>
    <n v="3"/>
    <n v="3"/>
    <n v="3"/>
    <n v="4"/>
    <n v="4"/>
    <n v="34"/>
    <s v="SI"/>
    <m/>
    <s v="SI, SON PRI"/>
    <s v="ok tienen todos los datos"/>
    <s v="Negada"/>
    <n v="20251"/>
    <m/>
    <n v="3"/>
    <n v="10"/>
    <n v="10"/>
    <n v="10"/>
    <n v="20"/>
    <n v="10"/>
    <n v="20"/>
    <n v="20"/>
    <n v="20"/>
    <n v="90"/>
    <s v="80 - 100%"/>
    <m/>
    <n v="3.5"/>
    <n v="4.5"/>
    <n v="8"/>
    <n v="4"/>
    <n v="3.5"/>
    <n v="4"/>
    <n v="8"/>
    <n v="4.5"/>
    <n v="90"/>
    <s v="80 - 100%"/>
    <n v="1"/>
    <e v="#N/A"/>
    <m/>
    <s v="KYSKAS"/>
    <n v="0"/>
    <m/>
    <m/>
    <s v="Ingeniería de Sistemas"/>
    <e v="#N/A"/>
    <s v="010"/>
    <e v="#N/A"/>
  </r>
  <r>
    <s v="CC"/>
    <n v="1017923443"/>
    <s v="1000404635"/>
    <s v="ALEJANDRO GARCIA HUERTAS"/>
    <s v="Transferencia Externa"/>
    <x v="1"/>
    <s v="No cumple, puntaje ICFES menor a 300"/>
    <m/>
    <s v="En publico objetivo"/>
    <s v="3ra Cohorte"/>
    <s v="Admitido"/>
    <s v="agarciah8@eafit.edu.co"/>
    <e v="#N/A"/>
    <s v="alejogarciahuertas@gmail.com"/>
    <s v="573147771942"/>
    <d v="2025-05-30T00:00:00"/>
    <s v="Activo en Programa"/>
    <s v="014-Ingeniería Mecánica"/>
    <s v="E Ciencias Aplic e Ingeniería"/>
    <d v="2005-01-16T00:00:00"/>
    <n v="20"/>
    <s v="Antioquia"/>
    <s v="Medellín"/>
    <s v="Hombre"/>
    <s v="Soltero"/>
    <s v="NO"/>
    <s v="NO"/>
    <n v="0"/>
    <s v="NO"/>
    <s v="NA"/>
    <s v="NO"/>
    <s v="NA"/>
    <s v="NO"/>
    <s v="NA"/>
    <s v="No"/>
    <s v="587-9764"/>
    <s v="573147771942"/>
    <s v="Estrato 3"/>
    <s v="CR 29 A #36 D SUR 11"/>
    <s v="Antioquia"/>
    <s v="Envigado"/>
    <s v="No aplica, no soy foráneo"/>
    <s v="Propio"/>
    <s v="SI"/>
    <s v="2021"/>
    <s v="AC202144791810"/>
    <n v="281"/>
    <n v="54"/>
    <n v="56"/>
    <s v="Privada"/>
    <s v="COLEGIO LA SALLE ENVIGADO"/>
    <n v="2021"/>
    <s v="Antioquia"/>
    <s v="Envigado"/>
    <s v="BACHILLER"/>
    <s v="ACAD"/>
    <s v="TIPO: Privada, INSTITUCION: COLEGIO LA SALLE ENVIGADO, AÑO: 2021, CIUDAD: Envigado, TITULO: BACHILLER"/>
    <n v="0"/>
    <n v="0"/>
    <s v="PCA TEX"/>
    <m/>
    <m/>
    <m/>
    <m/>
    <m/>
    <m/>
    <m/>
    <m/>
    <m/>
    <m/>
    <m/>
    <m/>
    <m/>
    <m/>
    <m/>
    <m/>
    <m/>
    <m/>
    <m/>
    <m/>
    <m/>
    <s v="Ver PCA TEX"/>
    <n v="3.7"/>
    <s v="SI"/>
    <s v="TIPO: Privada, INSTITUCION: CORPORACION ACADEMIA TECNOLOGI, AÑO: 0, CIUDAD: Medellín, TITULO: TECNOLOGO EN MECANICA AUTOMOTRIZ (Medellín)"/>
    <s v="TECNOLOGIA"/>
    <s v=" TITULO: TECNOLOGO EN MECANICA AUTOMOTRIZ (Medellín)"/>
    <s v="No"/>
    <n v="50"/>
    <m/>
    <n v="50"/>
    <m/>
    <n v="50"/>
    <m/>
    <m/>
    <n v="50"/>
    <s v="Con detalle por componente"/>
    <s v="Artísticas o culturales,Deportistas de alto rendimiento o representativo"/>
    <s v="Para mi llegar a ser ingeniero mecánico siempre ha sido mi meta ya que siento una afinidad muy grande con todo lo que esta abarca, ya que para mi esta es una de las carreras  mas diversas y con un mayor campo de acción en muchísimas de las areas  industriales, desde salvar vidas diseñando maquinas y procesos mas seguros, hasta impactar en gran medida al medio ambiente con proyectos enfocados a la reducción de emisiones y el cuidado del medio ambiente. Por esto y muchísimas razones mas es que me encuentro tan seguro de estudiar esta carrera, ya que tengo mucho para aportar y mucho por aprender."/>
    <s v="Amigos"/>
    <s v="Por la calidad académica."/>
    <s v="Vocación."/>
    <n v="2"/>
    <s v="0"/>
    <s v="SI"/>
    <s v="NO"/>
    <s v="Entre 2 y 3 millones"/>
    <s v="No"/>
    <n v="0"/>
    <n v="0"/>
    <m/>
    <s v="SI"/>
    <s v="Beca"/>
    <s v="SI"/>
    <s v="TUYOMOTOR SAS"/>
    <s v="Practicante de mecanica"/>
    <s v="Si"/>
    <s v="Diego Mauricio Garcia Mejía"/>
    <s v="Soltero"/>
    <s v="BACHILLERATO"/>
    <s v="58"/>
    <s v="Operario"/>
    <s v="Empleado (con contrato laboral)"/>
    <s v="operario de materias primas"/>
    <s v="O-I Peldar"/>
    <n v="3500000"/>
    <s v="No"/>
    <s v="NO"/>
    <s v="NO"/>
    <s v="mi papá hace mas o menos 5 años no vive conmigo, ya que la empresa para la que trabaja cerro sus operaciones en Medellín y se vio en la obligación de irse a vivir a Zipaquirá, Cundinamarca para poder seguir laborando, también durante esto mis padres se divorcian."/>
    <s v="Si"/>
    <s v="Liliana Huertas Posada"/>
    <s v="Casado"/>
    <s v="TECNOLOGÍA"/>
    <s v="25"/>
    <s v="tecnóloga en sistemas"/>
    <s v="Pensionado"/>
    <s v="Ama de casa"/>
    <s v="N/A"/>
    <n v="2000000"/>
    <s v="Si"/>
    <s v="NO"/>
    <s v="NO"/>
    <s v="mi madre es desempleada desde hace mas o menos 10 años"/>
    <n v="5500000"/>
    <s v="No, solo vivo con mis padres"/>
    <s v=""/>
    <s v=""/>
    <s v=""/>
    <s v=""/>
    <s v=""/>
    <m/>
    <s v=""/>
    <s v=""/>
    <s v=""/>
    <s v=""/>
    <s v=""/>
    <s v=""/>
    <m/>
    <s v=""/>
    <s v=""/>
    <s v=""/>
    <s v=""/>
    <s v=""/>
    <s v=""/>
    <m/>
    <s v=""/>
    <s v=""/>
    <n v="0"/>
    <n v="425000000"/>
    <n v="0"/>
    <n v="0"/>
    <n v="0"/>
    <s v="No"/>
    <s v=""/>
    <s v=""/>
    <n v="0"/>
    <s v="No"/>
    <s v=""/>
    <s v=""/>
    <n v="0"/>
    <s v="No"/>
    <s v=""/>
    <s v=""/>
    <s v=""/>
    <n v="0"/>
    <m/>
    <n v="4"/>
    <n v="3"/>
    <n v="3"/>
    <n v="4"/>
    <n v="3"/>
    <n v="4"/>
    <n v="4"/>
    <n v="4"/>
    <n v="3"/>
    <n v="3"/>
    <n v="35"/>
    <s v="SI"/>
    <m/>
    <s v="SI, SON TEX, EN LUGAR DE NOTAS TIENEN PCA"/>
    <s v="ok tienen todos los datos"/>
    <e v="#N/A"/>
    <e v="#N/A"/>
    <m/>
    <n v="3"/>
    <n v="10"/>
    <n v="8"/>
    <n v="0"/>
    <n v="10"/>
    <n v="15"/>
    <n v="20"/>
    <n v="10.5"/>
    <n v="7.5"/>
    <n v="62.5"/>
    <n v="0.4"/>
    <m/>
    <n v="2"/>
    <n v="2.5"/>
    <n v="3"/>
    <n v="0"/>
    <n v="2"/>
    <n v="2.5"/>
    <n v="6"/>
    <n v="0"/>
    <n v="63.5"/>
    <n v="0.4"/>
    <n v="0.4"/>
    <e v="#N/A"/>
    <m/>
    <m/>
    <n v="0"/>
    <m/>
    <m/>
    <s v="Ingeniería Mecánica"/>
    <e v="#N/A"/>
    <s v="014"/>
    <e v="#N/A"/>
  </r>
  <r>
    <s v="CC"/>
    <n v="1017923935"/>
    <s v="1000406892"/>
    <s v="NICOLÁS PÉREZ RAMÍREZ"/>
    <s v="Estudios por primera vez"/>
    <x v="1"/>
    <s v="Descartado por baja prioridad pregrado"/>
    <m/>
    <s v="En publico objetivo"/>
    <s v="3ra Cohorte"/>
    <s v="Admitido"/>
    <s v="nperezr5@eafit.edu.co"/>
    <e v="#N/A"/>
    <s v="nicolasperez0804@gmail.com"/>
    <s v="573007255874"/>
    <d v="2025-06-06T00:00:00"/>
    <s v="Activo en Programa"/>
    <s v="083-Música"/>
    <s v="Escuela de Artes y Humanidades"/>
    <d v="2005-04-08T00:00:00"/>
    <n v="20"/>
    <s v="Antioquia"/>
    <s v="Medellín"/>
    <s v="Hombre"/>
    <s v="Soltero"/>
    <s v="NO"/>
    <s v="NO"/>
    <n v="0"/>
    <s v="NO"/>
    <s v="NA"/>
    <s v="NO"/>
    <s v="NA"/>
    <s v="NO"/>
    <s v="NA"/>
    <s v="No"/>
    <s v="300/725-5874"/>
    <s v="573007255874"/>
    <s v="Estrato 2"/>
    <s v="CR 33 A #72 SUR 184"/>
    <s v="Antioquia"/>
    <s v="Sabaneta"/>
    <s v="No aplica, no soy foráneo"/>
    <s v="Arriendo"/>
    <s v="SI"/>
    <s v="2021"/>
    <s v="AC202140433490"/>
    <n v="350"/>
    <n v="59"/>
    <n v="77"/>
    <s v="Privada"/>
    <s v="COL MADRE ANTONIA CERINI"/>
    <n v="2021"/>
    <s v="Antioquia"/>
    <s v="Medellín"/>
    <s v="BACHILLER"/>
    <s v="ACAD"/>
    <s v="TIPO: Privada, INSTITUCION: COL MADRE ANTONIA CERINI, AÑO: 2021, CIUDAD: Medellín, TITULO: BACHILLER"/>
    <s v="11"/>
    <s v="Escala de 0 - 5"/>
    <s v="Escala de 0 - 5"/>
    <s v="4,2"/>
    <s v="4,5"/>
    <m/>
    <s v="4,2"/>
    <s v="5"/>
    <m/>
    <n v="4.4000000000000004"/>
    <n v="4.5"/>
    <m/>
    <n v="4.5"/>
    <n v="4.5999999999999996"/>
    <m/>
    <s v="4,5"/>
    <s v="4,5"/>
    <m/>
    <s v="4,3"/>
    <s v="4,6"/>
    <m/>
    <s v="4,5"/>
    <s v="4,5"/>
    <m/>
    <s v="De 9 y 10"/>
    <n v="4.5"/>
    <s v="NO"/>
    <s v="NA"/>
    <n v="0"/>
    <n v="0"/>
    <s v="No"/>
    <s v="Sin informacion"/>
    <s v="Sin informacion"/>
    <s v="Sin informacion"/>
    <s v="Sin informacion"/>
    <s v="Sin informacion"/>
    <s v="Sin informacion"/>
    <n v="0"/>
    <n v="8"/>
    <s v="Audicion musica"/>
    <s v="Artísticas o culturales"/>
    <s v="Me visualizo como un artista integral capaz de utilizar el arte musical para inspirar y ayudar a los demás a ser quienes son y estar orgullosos de sí mismos. Como parte del colectivo LGBT me gustaría aportar a la validación, reconocimiento e inclusión de este sector de la sociedad."/>
    <s v="A través del Colegio"/>
    <s v="Universidad reconocida."/>
    <s v="Vocación."/>
    <n v="2"/>
    <s v="1"/>
    <s v="NO"/>
    <s v="NO"/>
    <s v="Menos de 1millón"/>
    <s v="No"/>
    <n v="0"/>
    <n v="0"/>
    <m/>
    <s v="SI"/>
    <s v="Beca"/>
    <s v="NO"/>
    <s v=""/>
    <s v=""/>
    <s v="Si"/>
    <s v="Jhon Raúl Pérez Muñoz"/>
    <s v="Casado"/>
    <s v="UNIVERSITARIOS"/>
    <s v="53"/>
    <s v="Ingeniería de sistemas"/>
    <s v="Empleado (con contrato laboral)"/>
    <s v="Ingeniero de software"/>
    <s v="Bancolombia"/>
    <n v="4000000"/>
    <s v="No"/>
    <s v="NO"/>
    <s v="NO"/>
    <s v="Mis padres no se encuentran en aportar económicamente a la realización de mis estudios en Eafit"/>
    <s v="Si"/>
    <s v="Olga Lucía Ramírez Zarate"/>
    <m/>
    <m/>
    <m/>
    <s v="Psicología"/>
    <s v="Empleado (con contrato laboral)"/>
    <s v="Psicóloga"/>
    <s v="Universidad pontificia bolivariana"/>
    <n v="1800000"/>
    <s v="No"/>
    <m/>
    <m/>
    <s v="Mis padres no se encuentran en aportar económicamente a la realización de mis estudios en Eafit"/>
    <n v="5800000"/>
    <s v="Si"/>
    <s v="Héctor Andrés Alcaraz Guisao"/>
    <s v="Primos"/>
    <s v="28"/>
    <s v="Supervisor operación de automatizaciones"/>
    <s v="Holcim Americas Business Services"/>
    <n v="6640105"/>
    <s v="Si"/>
    <s v=""/>
    <s v=""/>
    <s v=""/>
    <s v=""/>
    <s v=""/>
    <m/>
    <s v=""/>
    <s v=""/>
    <s v=""/>
    <s v=""/>
    <s v=""/>
    <s v=""/>
    <m/>
    <s v=""/>
    <s v=""/>
    <n v="0"/>
    <n v="0"/>
    <n v="0"/>
    <n v="0"/>
    <n v="0"/>
    <s v="Si"/>
    <s v="FORD"/>
    <s v="2015"/>
    <n v="0"/>
    <s v="No"/>
    <s v=""/>
    <s v=""/>
    <n v="0"/>
    <s v="No"/>
    <s v=""/>
    <s v=""/>
    <s v=""/>
    <n v="0"/>
    <s v="Desconozco de los valores de los bienes que posean mis padres más allá de sus salarios debido a que no se encuentran a favor de mi decisión de estudiar en EAFIT"/>
    <n v="3"/>
    <n v="4"/>
    <n v="4"/>
    <n v="4"/>
    <n v="2"/>
    <n v="3"/>
    <n v="2"/>
    <n v="3"/>
    <n v="3"/>
    <n v="3"/>
    <n v="31"/>
    <s v="SI"/>
    <m/>
    <s v="PRI SIN PUNTAJE ENTREVISTA"/>
    <s v="ok es de musica, se deja puntaje del pregrado de 1 a 10 y comentario"/>
    <e v="#N/A"/>
    <e v="#N/A"/>
    <m/>
    <n v="1"/>
    <n v="10"/>
    <n v="10"/>
    <n v="10"/>
    <n v="20"/>
    <n v="10"/>
    <n v="10"/>
    <n v="13.5"/>
    <n v="13.5"/>
    <n v="73.5"/>
    <n v="0.4"/>
    <m/>
    <n v="2"/>
    <n v="4.5"/>
    <n v="3"/>
    <n v="4"/>
    <n v="2"/>
    <n v="4"/>
    <n v="3"/>
    <n v="4.5"/>
    <n v="73.5"/>
    <n v="0.4"/>
    <n v="0.4"/>
    <e v="#N/A"/>
    <m/>
    <m/>
    <n v="0"/>
    <m/>
    <m/>
    <s v="Música"/>
    <e v="#N/A"/>
    <s v="083"/>
    <e v="#N/A"/>
  </r>
  <r>
    <s v="CC"/>
    <n v="1017924688"/>
    <s v="1000367857"/>
    <s v="LUCIANA MURILLO JARAMILLO"/>
    <s v="Estudios por primera vez"/>
    <x v="1"/>
    <s v="No cumple, estrato 4"/>
    <m/>
    <s v="En publico objetivo"/>
    <s v="1er Cohorte"/>
    <s v="Admitido"/>
    <s v="lmurillo1@eafit.edu.co"/>
    <s v="lmurillo1@eafit.edu.co"/>
    <s v="lucymurillojaramillo@gmail.com"/>
    <s v="573173231575"/>
    <d v="2025-04-28T00:00:00"/>
    <s v="Activo en Programa"/>
    <s v="199-Finanzas"/>
    <s v="E.Finanzas, Economía, Gobierno"/>
    <d v="2005-06-15T00:00:00"/>
    <n v="20"/>
    <s v="Antioquia"/>
    <s v="Medellín"/>
    <s v="Mujer"/>
    <s v="Soltero"/>
    <s v="NO"/>
    <s v="NO"/>
    <n v="0"/>
    <s v="NO"/>
    <s v="NA"/>
    <s v="NO"/>
    <s v="NA"/>
    <s v="NO"/>
    <s v="NA"/>
    <s v="No"/>
    <s v="604/581-7302"/>
    <s v="573173231575"/>
    <s v="Estrato 4"/>
    <s v="CL 35 AA #98 17"/>
    <s v="Antioquia"/>
    <s v="Medellín"/>
    <s v="No aplica, no soy foráneo"/>
    <s v="Arriendo"/>
    <s v="SI"/>
    <s v="2022"/>
    <s v="AC202246349765"/>
    <n v="300"/>
    <n v="56"/>
    <n v="64"/>
    <s v="Privada"/>
    <s v="COL NUESTRA MADRE DE MERCEDES"/>
    <n v="2022"/>
    <s v="Antioquia"/>
    <s v="Medellín"/>
    <s v="BACHILLER"/>
    <s v="ACAD"/>
    <s v="TIPO: Privada, INSTITUCION: COL NUESTRA MADRE DE MERCEDES, AÑO: 2022, CIUDAD: Medellín, TITULO: BACHILLER"/>
    <s v="11"/>
    <s v="Escala de 0 - 5"/>
    <s v="Escala de 0 - 5"/>
    <s v="4,2"/>
    <s v="3,5"/>
    <m/>
    <s v="3,7"/>
    <s v="3,5"/>
    <m/>
    <n v="3.5"/>
    <n v="3.5"/>
    <m/>
    <n v="3.7"/>
    <n v="3.4"/>
    <m/>
    <s v="4,3"/>
    <s v="3,7"/>
    <m/>
    <s v="3,9"/>
    <s v="3,9"/>
    <m/>
    <s v="4"/>
    <s v="4,1"/>
    <m/>
    <s v="De 9 y 10"/>
    <n v="3.5249999999999999"/>
    <s v="NO"/>
    <s v="NA"/>
    <n v="0"/>
    <n v="0"/>
    <s v="No"/>
    <n v="40"/>
    <s v="Es bailarina profesional urbano y Jazz"/>
    <n v="40"/>
    <m/>
    <n v="45"/>
    <m/>
    <s v="Ya se graduó, en estos meses hizo una técnica en marketing digital_x000a_Estudia en inglés_x000a_Saber 11 puntaje 300_x000a_Le encanta las Finanzas en el área corporativa_x000a_trabajó en EAFIT en mercadeo de educación continua y conoció el pregrado"/>
    <n v="41.666666666666664"/>
    <s v="Con detalle por componente"/>
    <s v="Artísticas o culturales"/>
    <s v="Me visualizo como una excelente profesional, competente, líder, creativa y capacitada para ejecutar estrategias que permitan una sostenibilidad económica. Como financiera también quiero generar una concientización e innovación en estrategias que permitan el buen manejo de los recursos, incentivando el uso de herramientas ofimáticas para simplificar los procesos económicos, dando paso al crecimiento de la sociedad a la vanguardia con las nuevas tecnologías._x000a_Al estudiar el pregrado en finanzas de EAFIT contribuiré positivamente en el entorno social ya que mediante mis conocimientos adquiridos pretendo aportar a las microempresas y a las personas que desean comenzar a emprender, brindándoles asesorías financieras para el crecimiento de estas y llevando a cabo todos los conocimientos a mi región de la mejor manera. Otra forma en la que quiero apoyar a mi región es creando mi propia empresa, a la que aspiro llevar a un enfoque internacional y en la que pueda generar empleo. A partir de ella generar mayor desarrollo._x000a_En conclusión, adquiriendo la beca, seré una profesional competente para desempeñarme en el medio, innovando en la economía de mi país y a la vez haciendo realidad mis propósitos y llevando en buen nombre la universidad EAFIT."/>
    <s v="Página WEB"/>
    <s v="Por la calidad académica."/>
    <s v="Vocación."/>
    <n v="2"/>
    <s v="0"/>
    <s v="SI"/>
    <s v="NO"/>
    <s v="Entre 1 y 2 millones"/>
    <s v="No"/>
    <n v="0"/>
    <n v="0"/>
    <m/>
    <s v="SI"/>
    <s v="Beca"/>
    <s v="NO"/>
    <s v=""/>
    <s v=""/>
    <s v="Si"/>
    <s v="Juan David Murillo Olivares"/>
    <s v="Casado"/>
    <s v="BACHILLERATO"/>
    <s v="47"/>
    <s v="Vigilante"/>
    <s v="Empleado (con contrato laboral)"/>
    <s v="Vigilante"/>
    <s v="Cotraser C. T. A."/>
    <n v="3110430"/>
    <s v="Si"/>
    <s v="NO"/>
    <s v="NO"/>
    <s v=""/>
    <s v="Si"/>
    <s v="Jenny Eugenia Jaramillo Vélez"/>
    <s v="Soltero"/>
    <s v="TECNOLOGÍA"/>
    <s v="43"/>
    <s v="Tecnóloga en producción de televisión"/>
    <s v="Empleado (con contrato laboral)"/>
    <s v="Docente de educación preescolar"/>
    <s v="Centro Educativo Hogar San Rafael"/>
    <n v="1423500"/>
    <s v="Si"/>
    <s v="NO"/>
    <s v="NO"/>
    <m/>
    <n v="4533930"/>
    <s v="No, solo vivo con mis padres"/>
    <s v=""/>
    <s v=""/>
    <s v=""/>
    <s v=""/>
    <s v=""/>
    <m/>
    <s v=""/>
    <s v=""/>
    <s v=""/>
    <s v=""/>
    <s v=""/>
    <s v=""/>
    <m/>
    <s v=""/>
    <s v=""/>
    <s v=""/>
    <s v=""/>
    <s v=""/>
    <s v=""/>
    <m/>
    <s v=""/>
    <s v=""/>
    <n v="0"/>
    <n v="0"/>
    <n v="0"/>
    <n v="0"/>
    <n v="0"/>
    <s v="Si"/>
    <s v="Chevrolet Corsa Wind"/>
    <s v="2004"/>
    <n v="10000000"/>
    <s v="No"/>
    <s v=""/>
    <s v=""/>
    <n v="0"/>
    <s v="No"/>
    <s v=""/>
    <s v=""/>
    <s v=""/>
    <n v="0"/>
    <m/>
    <n v="4"/>
    <n v="4"/>
    <n v="4"/>
    <n v="4"/>
    <n v="4"/>
    <n v="4"/>
    <n v="4"/>
    <n v="4"/>
    <n v="4"/>
    <n v="4"/>
    <n v="40"/>
    <s v="SI"/>
    <m/>
    <s v="SI, SON PRI"/>
    <s v="ok tienen todos los datos"/>
    <s v="Negada"/>
    <n v="20251"/>
    <m/>
    <n v="2"/>
    <n v="4"/>
    <n v="4"/>
    <n v="5"/>
    <n v="10"/>
    <n v="15"/>
    <n v="10"/>
    <n v="16.5"/>
    <n v="16.5"/>
    <n v="60.5"/>
    <n v="0.5"/>
    <m/>
    <n v="2"/>
    <n v="4.5"/>
    <n v="6"/>
    <n v="4"/>
    <n v="2"/>
    <n v="4"/>
    <n v="6"/>
    <n v="4.5"/>
    <n v="60.5"/>
    <n v="0.5"/>
    <n v="0.4"/>
    <e v="#N/A"/>
    <m/>
    <m/>
    <n v="0"/>
    <m/>
    <m/>
    <s v="Finanzas"/>
    <e v="#N/A"/>
    <s v="199"/>
    <e v="#N/A"/>
  </r>
  <r>
    <s v="CC"/>
    <n v="1017926072"/>
    <s v="1000404081"/>
    <s v="PAULINA HOYOS LOTERO"/>
    <s v="Estudios por primera vez"/>
    <x v="1"/>
    <s v="Descartado por ingresos altos"/>
    <m/>
    <s v="En publico objetivo"/>
    <s v="3ra Cohorte"/>
    <s v="Admitido"/>
    <s v="phoyosl@eafit.edu.co"/>
    <e v="#N/A"/>
    <s v="paulinahoyoslotero0325@gmail.com"/>
    <s v="573113577547"/>
    <d v="2025-06-06T00:00:00"/>
    <s v="Activo en Programa"/>
    <s v="260-Ingeniería Industrial"/>
    <s v="E Ciencias Aplic e Ingeniería"/>
    <d v="2005-11-10T00:00:00"/>
    <n v="20"/>
    <s v="Antioquia"/>
    <s v="Medellín"/>
    <s v="Mujer"/>
    <s v="Soltero"/>
    <s v="NO"/>
    <s v="NO"/>
    <n v="0"/>
    <s v="NO"/>
    <s v="NA"/>
    <s v="NO"/>
    <s v="NA"/>
    <s v="NO"/>
    <s v="NA"/>
    <s v="No"/>
    <s v="297-7924"/>
    <s v="573113577547"/>
    <s v="Estrato 3"/>
    <s v="TV 79 C #85 30 AP 1604"/>
    <s v="Antioquia"/>
    <s v="Medellín"/>
    <s v="No aplica, no soy foráneo"/>
    <s v="Arriendo"/>
    <s v="SI"/>
    <s v="2022"/>
    <s v="AC202241443894"/>
    <n v="333"/>
    <n v="65"/>
    <n v="68"/>
    <s v="Privada"/>
    <s v="COLEGIO VID OBRA DE LA CONGREG"/>
    <n v="2022"/>
    <s v="Antioquia"/>
    <s v="Medellín"/>
    <s v="BACHILLER"/>
    <n v="0"/>
    <s v="TIPO: Privada, INSTITUCION: COLEGIO VID OBRA DE LA CONGREG, AÑO: 2022, CIUDAD: Medellín, TITULO: BACHILLER"/>
    <s v="11"/>
    <s v="Escala de 0 - 5"/>
    <s v="Escala de 0 - 5"/>
    <s v="4,5"/>
    <s v="4,5"/>
    <m/>
    <s v="5"/>
    <s v="4,5"/>
    <m/>
    <n v="5"/>
    <n v="4.5"/>
    <m/>
    <n v="4.5"/>
    <n v="4.5"/>
    <m/>
    <s v="4,5"/>
    <s v="4,5"/>
    <m/>
    <s v="4,5"/>
    <s v="4,5"/>
    <m/>
    <s v="4,5"/>
    <s v="4"/>
    <m/>
    <s v="De 9 y 10"/>
    <n v="4.625"/>
    <s v="NO"/>
    <s v="NA"/>
    <n v="0"/>
    <n v="0"/>
    <s v="No"/>
    <n v="45"/>
    <m/>
    <n v="45"/>
    <m/>
    <n v="50"/>
    <m/>
    <s v="La aspirante estudio medicina, pero con un psico orientador, llega a la conclusión de que la carrera es la que se ajusta a sus intereses. Esta convencida que esta es su verdadera vocación. Persona completamente extrovertida."/>
    <n v="46.666666666666664"/>
    <s v="Con detalle por componente"/>
    <s v="Espacios de liderazgo o representación social,Trabajo social o comunitario,Artísticas o culturales"/>
    <s v="soy una persona  muy proactiva y curiosa, me encanta aprender y entender el ¿por que? y ¿para que? de las cosas, por esto como ingeniera industrial, me visualizo abordando desafíos complejos, mejorando procesos, y ayudando a la mejora constante de mi futuro trabajo._x000a_pues la ingenieria industrial no solo se trata de conocer las herramientas técnicas, sino también de entender los procesos humanos, sociales y economicos. La obtencion de una beca, no solo me daria la oportunidad de estudiar la carrera que me apasiona, en la universidad de mis sueños; si no que tambien me daria las herramientas para transformar mi entorno, pues es una carrera muy completa cuyo ejercicio se ve reflejado en muchos aspectos del día a día, mi objetivo principal sera mejorar el sistema productivo de medellin, pues es una ciudad que se caracteriza por su innovacion, y tambien es un modelo de desarrollo y sostenibilidad. espero en un futuro podre contribuir al desarollo de mi ciudad, mi region y mi pais desde la ingenieria industrial, aportando al desarollo, evolucion e innnovacion."/>
    <s v="Otro"/>
    <s v="Por recomendación."/>
    <s v="Vocación."/>
    <n v="2"/>
    <s v="1"/>
    <s v="SI"/>
    <s v="NO"/>
    <s v="Entre 3 y 4 millones"/>
    <s v="Si"/>
    <n v="0"/>
    <s v="SI"/>
    <m/>
    <s v="SI"/>
    <s v="Beca"/>
    <s v="SI"/>
    <s v="BLEISOR"/>
    <s v="RECEPCIONISTA"/>
    <s v="Si"/>
    <s v="Juan Camilo Hoyos Arango"/>
    <s v="Casado"/>
    <s v="MAESTRÍA"/>
    <s v="46"/>
    <s v="Comunicador social"/>
    <s v="Empleado (con contrato laboral)"/>
    <s v="Jefe de mercadeo"/>
    <s v="Clinica medellin"/>
    <n v="6980000"/>
    <s v="No"/>
    <s v="NO"/>
    <s v="SI"/>
    <s v=""/>
    <s v="Si"/>
    <s v="Paula Carolina Lotero Restrepo"/>
    <s v="Casado"/>
    <s v="BACHILLERATO"/>
    <s v="43"/>
    <s v="Independiente"/>
    <s v="Independiente (trabaja por cuenta propia)"/>
    <s v="Comerciante"/>
    <s v="Independiente"/>
    <n v="3800000"/>
    <s v="Si"/>
    <s v="NO"/>
    <s v="NO"/>
    <m/>
    <n v="10780000"/>
    <s v="Si"/>
    <s v="Gloria Patricia Restrepo Rojas"/>
    <s v="Abuelo / Abuela"/>
    <s v="67"/>
    <s v="Ama de casa"/>
    <s v="N/A"/>
    <n v="0"/>
    <s v="No"/>
    <s v=""/>
    <s v=""/>
    <s v=""/>
    <s v=""/>
    <s v=""/>
    <m/>
    <s v=""/>
    <s v=""/>
    <s v=""/>
    <s v=""/>
    <s v=""/>
    <s v=""/>
    <m/>
    <s v=""/>
    <s v=""/>
    <n v="0"/>
    <n v="280000000"/>
    <n v="0"/>
    <n v="0"/>
    <n v="0"/>
    <s v="Si"/>
    <s v="Toyota"/>
    <s v="2022"/>
    <n v="90000000"/>
    <s v="No"/>
    <s v=""/>
    <s v=""/>
    <n v="0"/>
    <s v="No"/>
    <s v=""/>
    <s v=""/>
    <s v=""/>
    <n v="0"/>
    <m/>
    <n v="3"/>
    <n v="4"/>
    <n v="4"/>
    <n v="4"/>
    <n v="3"/>
    <n v="4"/>
    <n v="3"/>
    <n v="3"/>
    <n v="4"/>
    <n v="3"/>
    <n v="35"/>
    <s v="SI"/>
    <m/>
    <s v="SI, SON PRI"/>
    <s v="ok tienen todos los datos"/>
    <e v="#N/A"/>
    <e v="#N/A"/>
    <m/>
    <n v="3"/>
    <n v="10"/>
    <n v="8"/>
    <n v="10"/>
    <n v="20"/>
    <n v="15"/>
    <n v="20"/>
    <n v="6"/>
    <n v="6.5"/>
    <n v="81.5"/>
    <n v="0.4"/>
    <m/>
    <n v="2"/>
    <n v="3.5"/>
    <n v="0"/>
    <n v="1"/>
    <n v="2"/>
    <n v="3"/>
    <n v="0"/>
    <n v="1"/>
    <n v="79"/>
    <n v="0.4"/>
    <n v="0.4"/>
    <e v="#N/A"/>
    <m/>
    <m/>
    <n v="0"/>
    <m/>
    <m/>
    <s v="Ingeniería Industrial"/>
    <e v="#N/A"/>
    <m/>
    <e v="#N/A"/>
  </r>
  <r>
    <s v="CC"/>
    <n v="1017927675"/>
    <s v="1000377521"/>
    <s v="CAMILO GAVIRIA JIMENEZ"/>
    <s v="Estudios por primera vez"/>
    <x v="1"/>
    <s v="No cumple, estrato 4"/>
    <m/>
    <s v="En publico objetivo"/>
    <s v="2da Cohorte"/>
    <s v="Admitido"/>
    <s v="cgaviriaj@eafit.edu.co"/>
    <s v="cgaviriaj@eafit.edu.co"/>
    <s v="cgaviriaj@eafit.edu.co"/>
    <s v="322/685-7463"/>
    <d v="2025-05-16T00:00:00"/>
    <s v="Activo en Programa"/>
    <s v="002-Negocios Internacionales"/>
    <s v="Escuela de Administración"/>
    <d v="2006-06-01T00:00:00"/>
    <n v="19"/>
    <s v="Antioquia"/>
    <s v="Medellín"/>
    <s v="Hombre"/>
    <s v="Soltero"/>
    <s v="NO"/>
    <s v="NO"/>
    <n v="0"/>
    <s v="NO"/>
    <s v="NA"/>
    <s v="NO"/>
    <s v="NA"/>
    <s v="NO"/>
    <s v="NA"/>
    <s v="No"/>
    <s v="322/685-7463"/>
    <s v="322/685-7463"/>
    <s v="Estrato 4"/>
    <s v="Carrera 38 #56-32"/>
    <s v="Antioquia"/>
    <s v="Medellín"/>
    <s v="No aplica, no soy foráneo"/>
    <s v="Propio"/>
    <s v="SI"/>
    <s v="2023"/>
    <s v="AC202341059666"/>
    <n v="359"/>
    <n v="80"/>
    <n v="69"/>
    <s v="Privada"/>
    <s v="COLEGIO SAN JOSÉ DE LA SALLE"/>
    <n v="2023"/>
    <s v="Antioquia"/>
    <s v="Medellín"/>
    <s v="BACHILLER"/>
    <s v="ACAD"/>
    <s v="TIPO: Privada, INSTITUCION: COLEGIO SAN JOSÉ DE LA SALLE, AÑO: 2023, CIUDAD: Medellín, TITULO: BACHILLER"/>
    <s v="11"/>
    <s v="Escala de 0 - 5"/>
    <s v="Escala de 0 - 5"/>
    <s v="4,5"/>
    <s v="4,3"/>
    <m/>
    <s v="4,5"/>
    <s v="4,5"/>
    <m/>
    <n v="4.7"/>
    <n v="4.5"/>
    <m/>
    <n v="4.5"/>
    <n v="4.3"/>
    <m/>
    <s v="4,4"/>
    <s v="4,3"/>
    <m/>
    <s v="4,5"/>
    <s v="4,5"/>
    <m/>
    <s v="4,2"/>
    <s v="4,3"/>
    <m/>
    <s v="De 9 y 10"/>
    <n v="4.5"/>
    <s v="NO"/>
    <s v="NA"/>
    <n v="0"/>
    <n v="0"/>
    <s v="No"/>
    <n v="50"/>
    <m/>
    <n v="50"/>
    <m/>
    <n v="50"/>
    <m/>
    <m/>
    <n v="50"/>
    <s v="Con detalle por componente"/>
    <s v="Deportistas de alto rendimiento o representativo,Trabajo social o comunitario"/>
    <s v="Inicialmente quiero reiterar que la elección de mi carrera fue principalmente al amor por las matemáticas, al impulsarme a generar interés en temas como, negocios, economía, finanzas, mercadeo, junto a mi motivación por aprender distintos idiomas y sobre internacionalización, me llevaron a la conclusión de que Negocios Internacionales, es la carrera que necesito. Elegí a Eafit, por su excelencia en esta área, por su gran acreditación internacional dentro del campo de Administración, además, por sus áreas de profundización e investigación, infraestructura y la proyección laboral. Cosas que son, en lo personal, esenciales a desarrollar en mi formación profesional._x000a_Por otro lado, elegí este pregrado porque familiarmente, presento un gran proyecto financiero a desarrollar, y convertirme en un experto en el área de administración y negocios internacionales, es de gran importancia para ello, y que mejor lugar para hacerlo que en la universidad Eafit, donde desarrollaré un gran perfil profesional, con el que me visualizo en un futuro llevando a cabo este proyecto, además de estar trabajando al inicio, para grandes firmas internacionales, siendo parte de la gestión empresarial, las decisiones de inversión y comercio, y las dinámicas internacionales, ya sean tratados, convenios o mercados, para así, posteriormente, llevar el proyecto familiar a la cima de los rankings._x000a_Finalmente, todo esto lo puedo hacer posible con el acceso a la beca, debido a que sería de gran ayuda para mí, ya que en el momento no cuento con los recursos suficientes para financiar la carrera, igualmente porque, en el futuro me proyecto como un gran profesional capacitado de hacer contacto con distintas entidades internacionales para llevar a cabo mis proyectos y objetivos, ya sea desde Medellín o en exterior. Lo que permitirá otro de mis objetivos que seria generar trabajo, a través de distintas empresas que iré desarrollando como profesional, apoyando así a mi región de origen."/>
    <s v="Otro"/>
    <s v="Por la calidad académica."/>
    <s v="Vocación."/>
    <n v="4"/>
    <s v="1"/>
    <s v="SI"/>
    <s v="NO"/>
    <s v="Entre 4 y 5 millones"/>
    <s v="No"/>
    <n v="0"/>
    <n v="0"/>
    <m/>
    <s v="SI"/>
    <s v="Beca"/>
    <s v="NO"/>
    <s v=""/>
    <s v=""/>
    <s v="Si"/>
    <s v="Jorge Walter Gaviria Alzate"/>
    <s v="Soltero"/>
    <s v="BACHILLERATO"/>
    <s v="56"/>
    <s v="Independiente"/>
    <s v="Independiente (trabaja por cuenta propia)"/>
    <s v="Independiente"/>
    <s v="N/A"/>
    <n v="1000000"/>
    <s v="Si"/>
    <s v="NO"/>
    <s v="NO"/>
    <s v="Padre ejemplar, quien me motiva a salir adelante en todo momento."/>
    <s v="Si"/>
    <s v="Jenny Alexandra Jiménez Rodriguez"/>
    <s v="Otro"/>
    <m/>
    <s v="46"/>
    <s v="Labores del hogar y cuidado"/>
    <s v="Labores del hogar y cuidado"/>
    <s v="Labores del hogar y cuidado"/>
    <s v="N/A"/>
    <n v="0"/>
    <s v="Si"/>
    <s v="NO"/>
    <s v="NO"/>
    <s v="Una madre guerrera, quien es un ejemplo a seguir en todos los ámbitos de mi vida, ella es la mayor razón por la que quiero ejercer esta carrera"/>
    <n v="1000000"/>
    <s v="Si"/>
    <s v="Sebastian Gaviria Jimenez"/>
    <s v="Hermano / Hermana"/>
    <s v="21"/>
    <s v="Estudiante de ingles"/>
    <s v="Eafit (Idiomas)"/>
    <n v="0"/>
    <s v="No"/>
    <s v="Paola Andrea Jiménez Rodriguez"/>
    <s v="Tío / Tía"/>
    <s v="41"/>
    <s v="Analista de proyectos"/>
    <s v="EPM"/>
    <n v="5600000"/>
    <s v="Si"/>
    <s v=""/>
    <s v=""/>
    <s v=""/>
    <s v=""/>
    <s v=""/>
    <m/>
    <s v=""/>
    <s v=""/>
    <n v="400000000"/>
    <n v="0"/>
    <n v="0"/>
    <n v="0"/>
    <n v="0"/>
    <s v="No"/>
    <s v=""/>
    <s v=""/>
    <n v="0"/>
    <s v="No"/>
    <s v=""/>
    <s v=""/>
    <n v="0"/>
    <s v="No"/>
    <s v=""/>
    <s v=""/>
    <s v=""/>
    <n v="0"/>
    <s v=""/>
    <n v="4"/>
    <n v="4"/>
    <n v="4"/>
    <n v="4"/>
    <n v="4"/>
    <n v="4"/>
    <n v="4"/>
    <n v="4"/>
    <n v="4"/>
    <n v="4"/>
    <n v="40"/>
    <s v="SI"/>
    <m/>
    <s v="SI, SON PRI"/>
    <s v="ok tienen todos los datos"/>
    <s v="Negada"/>
    <n v="20251"/>
    <m/>
    <n v="3"/>
    <n v="4"/>
    <n v="4"/>
    <n v="10"/>
    <n v="20"/>
    <n v="15"/>
    <n v="20"/>
    <n v="12.5"/>
    <n v="12.5"/>
    <n v="81.5"/>
    <n v="0.4"/>
    <m/>
    <n v="2"/>
    <n v="2.5"/>
    <n v="8"/>
    <n v="0"/>
    <n v="2"/>
    <n v="2.5"/>
    <n v="8"/>
    <n v="0"/>
    <n v="81.5"/>
    <n v="0.4"/>
    <n v="0.5"/>
    <e v="#N/A"/>
    <m/>
    <m/>
    <n v="0"/>
    <m/>
    <m/>
    <s v="Negocios Internacionales"/>
    <e v="#N/A"/>
    <s v="002"/>
    <e v="#N/A"/>
  </r>
  <r>
    <s v="CC"/>
    <n v="1017927903"/>
    <s v="1000406872"/>
    <s v="JULIANA MACHADO HERRERA"/>
    <s v="Estudios por primera vez"/>
    <x v="1"/>
    <s v="Descartado por propiedades"/>
    <m/>
    <s v="En publico objetivo"/>
    <s v="2da Cohorte"/>
    <s v="Admitido"/>
    <s v="jmachadoh@eafit.edu.co"/>
    <e v="#N/A"/>
    <s v="juliana.machado83754@gmail.com"/>
    <s v="573118385074"/>
    <d v="2025-05-16T00:00:00"/>
    <s v="Activo en Programa"/>
    <s v="001-Administración de Negocios"/>
    <s v="Escuela de Administración"/>
    <d v="2006-07-19T00:00:00"/>
    <n v="19"/>
    <s v="Antioquia"/>
    <s v="Medellín"/>
    <s v="Mujer"/>
    <s v="Soltero"/>
    <s v="NO"/>
    <s v="NO"/>
    <n v="0"/>
    <s v="NO"/>
    <s v="NA"/>
    <s v="NO"/>
    <s v="NA"/>
    <s v="NO"/>
    <s v="NA"/>
    <s v="No"/>
    <s v="604/506-9076"/>
    <s v="573118385074"/>
    <s v="Estrato 3"/>
    <s v="CR 25 B 38 A 36"/>
    <s v="Antioquia"/>
    <s v="Medellín"/>
    <s v="No aplica, no soy foráneo"/>
    <s v="Propio"/>
    <s v="SI"/>
    <s v="2023"/>
    <s v="AC202341784768"/>
    <n v="305"/>
    <n v="60"/>
    <n v="63"/>
    <s v="Privada"/>
    <s v="COL LA ANUNCIACION"/>
    <n v="2023"/>
    <s v="Antioquia"/>
    <s v="Medellín"/>
    <s v="BACHILLER"/>
    <s v="ACAD"/>
    <s v="TIPO: Privada, INSTITUCION: COL LA ANUNCIACION, AÑO: 2023, CIUDAD: Medellín, TITULO: BACHILLER"/>
    <s v="11"/>
    <s v="Escala de 0 - 5"/>
    <s v="Escala de 0 - 5"/>
    <s v="4,3"/>
    <s v="4"/>
    <m/>
    <s v="4"/>
    <s v="3,7"/>
    <m/>
    <n v="4"/>
    <n v="4"/>
    <m/>
    <n v="4"/>
    <n v="4"/>
    <m/>
    <s v="4,5"/>
    <s v="4,5"/>
    <m/>
    <s v="4"/>
    <s v="4"/>
    <m/>
    <s v="4,5"/>
    <s v="4"/>
    <m/>
    <s v="De 9 y 10"/>
    <n v="4"/>
    <s v="NO"/>
    <s v="NA"/>
    <n v="0"/>
    <n v="0"/>
    <s v="No"/>
    <n v="50"/>
    <m/>
    <n v="50"/>
    <m/>
    <n v="50"/>
    <m/>
    <m/>
    <n v="50"/>
    <s v="Con detalle por componente"/>
    <s v="Artísticas o culturales"/>
    <s v="Durante los últimos 10 años la transformación del mundo de la belleza en Colombia está en auge, por lo cual mi proyecto de vida está totalmente dirigido a generar empleo por medio de la creación de empresas en el sector del cuidado y bienestar integral (poniendo en práctica todo lo aprendido en un programa como administración de negocios), logrando asi, una internacionalización la cual brinde un reconocimiento global para Colombia en este aspecto. _x000a__x000a_Me visualizo siendo una líder empresaria dedicada a su trabajo y al bienestar de sus trabajadores, sin dejar de lado el impacto social y ambiental que quiero lograr haciendo una labor dirigida a la concientización de las diversidades colombianas y como no debemos dejar que nuestras raíces sean consumidas por la estética extranjera, enfocándonos en avivar y apreciar todos los recursos que nos brinda nuestra cultura y como debemos apropiarnos de ellos para no perder la esencia de la belleza de la mujer colombiana. Por otro lado aprovechar todos estos recursos que nos da la naturaleza que pueden ayudarnos a tener un estilo de vida eco amigable, sin dejar nuestro cuidado integral de lado. _x000a__x000a_Además, se busca romper estigmas sobre Colombia y la actual belleza que tiene un trasfondo político y social negativo, romper pensamientos globales de Colombia arraigados a problemas sociales ocurridos anteriormente en nuestro país y demostrar como una nación tan diversa y cultural puede llegar a ser un gran exponente en el mundo de la ciencia cosmética. _x000a__x000a_Por medio de una beca, quiero que reconfirmen que están comprometidos con la formación de líderes transformadores que inciden de manera significativa en el país, logrando todo lo anteriormente mencionado con su educación de alta calidad, su compromiso con la innovación y su formación integral."/>
    <s v="EAFIT es una experiencia"/>
    <s v="Por la calidad académica."/>
    <s v="Vocación."/>
    <n v="2"/>
    <s v="3"/>
    <s v="SI"/>
    <s v="NO"/>
    <s v="Entre 3 y 4 millones"/>
    <s v="Si"/>
    <n v="0"/>
    <n v="0"/>
    <m/>
    <s v="SI"/>
    <s v="Beca"/>
    <s v="NO"/>
    <s v=""/>
    <s v=""/>
    <s v="Si"/>
    <s v="Edgar Machado Paba"/>
    <m/>
    <m/>
    <m/>
    <s v="Supervisor"/>
    <s v="Empleado (con contrato laboral)"/>
    <s v="Supervisor"/>
    <s v="COLALAMBRES SAS"/>
    <n v="2467224"/>
    <s v="Si"/>
    <m/>
    <m/>
    <s v="Actualmente reside en Medellín, es originario de Mompós, magdalena. Tiene estudios hasta bachiller, apoya completamente mi decisión de comenzar estudios superiores y superarme profesionalmente hablando.Trabaja en la misma empresa desde 2008, sin embargo fue ascendido a supervisor en el año 2013."/>
    <s v="Si"/>
    <s v="Solfanny Herrera Navarro"/>
    <s v="Soltero"/>
    <s v="PRIMARIA"/>
    <s v="53"/>
    <s v="Servicios generales"/>
    <s v="Empleado (con contrato laboral)"/>
    <s v="Servicios generales"/>
    <s v="Trilium SAS"/>
    <n v="2500000"/>
    <s v="Si"/>
    <s v="NO"/>
    <s v="NO"/>
    <s v="Actualmente reside conmigo, es originaria de Santa Ana, magdalena culmino su educación primeria y tuvo que recurrir a trabajar a una temprana edad para sostenerse, apoya totalmente mi decisión de empezar con la educación superior.Lleva trabajando en la misma empresa desde 1999"/>
    <n v="4967224"/>
    <s v="No, solo vivo con mis padres"/>
    <s v=""/>
    <s v=""/>
    <s v=""/>
    <s v=""/>
    <s v=""/>
    <m/>
    <s v=""/>
    <s v=""/>
    <s v=""/>
    <s v=""/>
    <s v=""/>
    <s v=""/>
    <m/>
    <s v=""/>
    <s v=""/>
    <s v=""/>
    <s v=""/>
    <s v=""/>
    <s v=""/>
    <m/>
    <s v=""/>
    <s v=""/>
    <n v="368000000"/>
    <n v="0"/>
    <n v="0"/>
    <n v="0"/>
    <n v="0"/>
    <s v="Si"/>
    <s v="Renault"/>
    <s v="2020"/>
    <n v="50000000"/>
    <s v="No"/>
    <s v=""/>
    <s v=""/>
    <n v="0"/>
    <s v="Si"/>
    <s v="Moto"/>
    <s v="Honda"/>
    <s v="2023"/>
    <n v="13000000"/>
    <s v="Se cuenta con una segunda moto Auteco, modelo 2022, que tiene un valor comercial de 9000000"/>
    <n v="4"/>
    <n v="4"/>
    <n v="4"/>
    <n v="4"/>
    <n v="3"/>
    <n v="4"/>
    <n v="4"/>
    <n v="4"/>
    <n v="4"/>
    <n v="4"/>
    <n v="39"/>
    <s v="SI"/>
    <m/>
    <s v="SI, SON PRI"/>
    <s v="ok tienen todos los datos"/>
    <e v="#N/A"/>
    <e v="#N/A"/>
    <m/>
    <n v="3"/>
    <n v="10"/>
    <n v="8"/>
    <n v="5"/>
    <n v="15"/>
    <n v="15"/>
    <n v="20"/>
    <n v="10.5"/>
    <n v="10.5"/>
    <n v="75.5"/>
    <n v="0.4"/>
    <m/>
    <n v="2"/>
    <n v="2.5"/>
    <n v="6"/>
    <n v="0"/>
    <n v="2"/>
    <n v="2.5"/>
    <n v="6"/>
    <n v="0"/>
    <n v="73.5"/>
    <n v="0.4"/>
    <n v="0.4"/>
    <e v="#N/A"/>
    <m/>
    <m/>
    <n v="0"/>
    <m/>
    <m/>
    <s v="Administración de Negocios"/>
    <e v="#N/A"/>
    <s v="001"/>
    <e v="#N/A"/>
  </r>
  <r>
    <s v="CC"/>
    <n v="1017927965"/>
    <s v="1000403954"/>
    <s v="JUAN ESTEBAN VELEZ MONTOYA"/>
    <s v="Transferencia Externa"/>
    <x v="1"/>
    <s v="No cumple, puntaje ICFES menor a 300"/>
    <m/>
    <s v="En publico objetivo"/>
    <s v="1er Cohorte"/>
    <s v="Admitido"/>
    <s v="jevelezm1@eafit.edu.co"/>
    <e v="#N/A"/>
    <s v="juane8w@gmail.com"/>
    <s v="573053111031"/>
    <d v="2025-04-25T00:00:00"/>
    <s v="Activo en Programa"/>
    <s v="010-Ingeniería de Sistemas"/>
    <s v="E Ciencias Aplic e Ingeniería"/>
    <d v="2006-08-09T00:00:00"/>
    <n v="19"/>
    <s v="Antioquia"/>
    <s v="Medellín"/>
    <s v="Hombre"/>
    <s v="Soltero"/>
    <s v="SI"/>
    <s v="SI"/>
    <s v="Heliconia"/>
    <s v="NO"/>
    <s v="NA"/>
    <s v="NO"/>
    <s v="NA"/>
    <s v="NO"/>
    <s v="NA"/>
    <s v="No"/>
    <s v="305/311-1031"/>
    <s v="573053111031"/>
    <s v="Estrato 3"/>
    <s v="carrera 71 #80-86"/>
    <s v="Antioquia"/>
    <s v="Medellín"/>
    <s v="No aplica, no soy foráneo"/>
    <s v="Familiar"/>
    <s v="SI"/>
    <s v="2025"/>
    <s v="AC202510747071"/>
    <n v="289"/>
    <n v="62"/>
    <n v="62"/>
    <s v="Pública"/>
    <s v="I.E. INEM JOSE FELIX DE RESTRE"/>
    <n v="2023"/>
    <s v="Antioquia"/>
    <s v="Medellín"/>
    <s v="BACHILLER"/>
    <s v="TECN"/>
    <s v="TIPO: Pública, INSTITUCION: I.E. INEM JOSE FELIX DE RESTRE, AÑO: 2023, CIUDAD: Medellín, TITULO: BACHILLER"/>
    <n v="0"/>
    <n v="0"/>
    <s v="PCA TEX"/>
    <m/>
    <m/>
    <m/>
    <m/>
    <m/>
    <m/>
    <m/>
    <m/>
    <m/>
    <m/>
    <m/>
    <m/>
    <m/>
    <m/>
    <m/>
    <m/>
    <m/>
    <m/>
    <m/>
    <m/>
    <m/>
    <s v="Ver PCA TEX"/>
    <n v="4.0999999999999996"/>
    <s v="SI"/>
    <s v="TIPO: Pública, INSTITUCION: INSTITUCIÓN UNV. PASCUAL BRAVO, AÑO: 0, CIUDAD: Medellín, TITULO: INGENIERO DE SOFTWARE (Medellín)"/>
    <s v="PREGRADO"/>
    <s v=" TITULO: INGENIERO DE SOFTWARE (Medellín)"/>
    <s v="No"/>
    <n v="50"/>
    <m/>
    <n v="50"/>
    <m/>
    <n v="50"/>
    <m/>
    <m/>
    <n v="50"/>
    <s v="Con detalle por componente"/>
    <s v="Deportistas de alto rendimiento o representativo,Espacios de liderazgo o representación social,Trabajo social o comunitario"/>
    <s v="Desde joven, elegí Ingeniería en Sistemas con el propósito claro de revolucionar positivamente la educación mediante la innovación tecnológica. Sueño con transformar el método pedagógico tradicional, convencido de que cada persona tiene talentos únicos que pueden potenciarse con el enfoque adecuado. _x000a__x000a_Me visualizo liderando iniciativas que impulsen nuevas formas de transformar la sociedad, combinando el desarrollo de software y mentalidades analíticas y creativas para evolucionar el aprendizaje. Actualmente estoy desarrollando un modelo analítico que identifica el método de aprendizaje más efectivo para cada individuo, impulsando así su crecimiento académico y personal. Mi aspiración es reducir significativamente la deserción escolar en sectores vulnerables, especialmente en Medellín y sus alrededores, brindando a más jóvenes la oportunidad de permanecer en el sistema educativo y alcanzar niveles de excelencia. _x000a__x000a_Con el respaldo académico y la fortaleza investigativa que ofrece EAFIT, podré potenciar y expandir este esfuerzo, generando un impacto tangible y sostenible en nuestra comunidad. La obtención de esta beca será un honor y un impulso fundamental para desarrollar plenamente mis capacidades, permitiéndome dedicar mis esfuerzos a una formación académica sólida y aprovechar al máximo las oportunidades de investigación que brinda la universidad. _x000a__x000a_Estoy comprometido con sostener la educación como un pilar clave del crecimiento social, impulsando la innovación y formando nuevas generaciones que crean firmemente en su poder transformador. Innovar en educación es invertir en el futuro; con este apoyo, fortaleceré una iniciativa en desarrollo, promoviendo acciones que inspiren a más personas a involucrarse en el desarrollo de entornos que potencien las habilidades únicas de cada individuo y aporten nuevas oportunidades educativas y fomenten procesos reales de cambio en nuestra sociedad."/>
    <s v="Referencias familiares"/>
    <s v="Por la calidad académica."/>
    <s v="Vocación."/>
    <n v="3"/>
    <s v="1"/>
    <s v="SI"/>
    <s v="NO"/>
    <s v="Entre 2 y 3 millones"/>
    <s v="No"/>
    <n v="0"/>
    <n v="0"/>
    <m/>
    <s v="SI"/>
    <s v="Beca"/>
    <s v="SI"/>
    <s v="MECTROINNOVA S.A.S"/>
    <s v="AUXILIAR ADMINISTRATIVO"/>
    <s v="Si"/>
    <s v="JORGE HERNAN VELEZ VELEZ"/>
    <s v="Casado"/>
    <s v="MAESTRÍA"/>
    <s v="40"/>
    <s v="Ingeniero Mecanico"/>
    <s v="Empleado (con contrato laboral)"/>
    <s v="⁠Responsable de mantenimiento"/>
    <s v="Comfama"/>
    <n v="8200000"/>
    <s v="No"/>
    <s v="NO"/>
    <s v="SI"/>
    <s v=""/>
    <s v="Si"/>
    <s v="MARIA VICTORIA MONTOYA VASQUEZ"/>
    <s v="Unión marital"/>
    <s v="TECNOLOGÍA"/>
    <s v="39"/>
    <s v="ama de casa"/>
    <s v="Labores del hogar y cuidado"/>
    <s v="Ama de casa"/>
    <s v="Hogar"/>
    <n v="0"/>
    <s v="Si"/>
    <s v="NO"/>
    <s v="NO"/>
    <m/>
    <n v="8200000"/>
    <s v="Si"/>
    <s v="MILTON HERNAN VARGAS ARENAS"/>
    <s v="PADRASTRO"/>
    <s v="38"/>
    <s v="Tecnologo electricista"/>
    <s v="Tronex"/>
    <n v="2733525"/>
    <s v="Si"/>
    <s v=""/>
    <s v=""/>
    <s v=""/>
    <s v=""/>
    <s v=""/>
    <m/>
    <s v=""/>
    <s v=""/>
    <s v=""/>
    <s v=""/>
    <s v=""/>
    <s v=""/>
    <m/>
    <s v=""/>
    <s v=""/>
    <n v="0"/>
    <n v="0"/>
    <n v="0"/>
    <n v="0"/>
    <n v="0"/>
    <s v="No"/>
    <s v=""/>
    <s v=""/>
    <n v="0"/>
    <s v="No"/>
    <s v=""/>
    <s v=""/>
    <n v="0"/>
    <s v="No"/>
    <s v=""/>
    <s v=""/>
    <s v=""/>
    <n v="0"/>
    <m/>
    <n v="4"/>
    <n v="4"/>
    <n v="3"/>
    <n v="4"/>
    <n v="4"/>
    <n v="3"/>
    <n v="4"/>
    <n v="4"/>
    <n v="4"/>
    <n v="4"/>
    <n v="38"/>
    <s v="SI"/>
    <m/>
    <s v="SI, SON TEX, EN LUGAR DE NOTAS TIENEN PCA"/>
    <s v="ok tienen todos los datos"/>
    <e v="#N/A"/>
    <e v="#N/A"/>
    <m/>
    <n v="3"/>
    <n v="10"/>
    <n v="8"/>
    <n v="0"/>
    <n v="15"/>
    <n v="15"/>
    <n v="20"/>
    <n v="12.5"/>
    <n v="12"/>
    <n v="72"/>
    <n v="0.4"/>
    <m/>
    <n v="3.5"/>
    <n v="3.5"/>
    <n v="1"/>
    <n v="4"/>
    <n v="3.5"/>
    <n v="3.5"/>
    <n v="1"/>
    <n v="4.5"/>
    <n v="70.5"/>
    <n v="0.4"/>
    <n v="0.4"/>
    <e v="#N/A"/>
    <m/>
    <m/>
    <n v="0"/>
    <m/>
    <m/>
    <s v="Ingeniería de Sistemas"/>
    <e v="#N/A"/>
    <s v="010"/>
    <e v="#N/A"/>
  </r>
  <r>
    <s v="CC"/>
    <n v="1017928179"/>
    <s v="1000407072"/>
    <s v="ANA SOFIA GARRO CALDERON"/>
    <s v="Estudios por primera vez"/>
    <x v="2"/>
    <s v="No cumple, puntaje ICFES menor a 300"/>
    <m/>
    <s v="En publico objetivo"/>
    <s v="3ra Cohorte"/>
    <s v="Admitido"/>
    <s v="asgarroc@eafit.edu.co"/>
    <e v="#N/A"/>
    <s v="asgarroc1@eafit.edu.co"/>
    <s v="305 4346114, 305 4346114"/>
    <d v="2025-05-30T00:00:00"/>
    <s v="Matrícula"/>
    <s v="199-Finanzas"/>
    <s v="E.Finanzas, Economía, Gobierno"/>
    <s v="12/09/2006"/>
    <n v="19"/>
    <s v="Antioquia"/>
    <s v="Medellín"/>
    <s v="Mujer"/>
    <s v="Soltero"/>
    <s v="NO"/>
    <s v="NO"/>
    <s v="NA"/>
    <s v="NO"/>
    <s v="NA"/>
    <s v="NO"/>
    <s v="NA"/>
    <s v="NO"/>
    <s v="NA"/>
    <s v="No"/>
    <s v="NA"/>
    <s v="NA"/>
    <s v="Estrato 2"/>
    <s v="CR 56#54 03"/>
    <s v="Antioquia"/>
    <s v="Copacabana"/>
    <s v="No aplica, no soy foráneo"/>
    <s v="Arriendo"/>
    <s v="SI"/>
    <s v="2023"/>
    <s v="AC202345601281"/>
    <n v="283"/>
    <n v="66"/>
    <n v="45"/>
    <s v="Privada"/>
    <s v="COL SAN LUCAS"/>
    <n v="2023"/>
    <m/>
    <s v="Medellín"/>
    <s v="Bachillerato"/>
    <s v="Académico"/>
    <m/>
    <s v="Once"/>
    <s v="0-5"/>
    <s v="Escala de 0 - 5"/>
    <m/>
    <m/>
    <m/>
    <m/>
    <m/>
    <m/>
    <n v="5"/>
    <n v="4"/>
    <m/>
    <n v="4.5"/>
    <n v="4"/>
    <m/>
    <m/>
    <m/>
    <m/>
    <m/>
    <m/>
    <m/>
    <m/>
    <m/>
    <m/>
    <s v="De 9 y 10"/>
    <n v="4.375"/>
    <s v="NO"/>
    <s v="NA"/>
    <n v="0"/>
    <n v="0"/>
    <s v="No"/>
    <s v="Sin informacion"/>
    <s v="Sin informacion"/>
    <s v="Sin informacion"/>
    <s v="Sin informacion"/>
    <s v="Sin informacion"/>
    <s v="Sin informacion"/>
    <s v="Sin informacion"/>
    <n v="45"/>
    <s v="Sin detalle por componente"/>
    <s v="Ninguna"/>
    <s v="Me visualizo como una mujer que lleva las finanzas de sus empresas por el camino del éxito, que con mis conocimientos adquiridos podría tomar buenas decisiones a la hora de ejecutar un proyecto en el ámbito de las finanzas, es decir, viendo si el proyecto es rentable o no; pero antes de todo eso me gustaría ser parte de una empresa que me enseñe lo que un trabajo deja como enseñanza a sus empleados y adquirir un amplio conocimiento de como es el comercio en el exterior para así proyectar mis futuros negocios a un mercado internacional;  junto a esto se que   mis conocimientos en finanzas podría ayudar a otras empresas, negocios o emprendimiento. Si obtengo la beca se que con mi  gran capacidad de liderazgo y enseñanzas podría compartir mis conocimientos adquiridos en la universidad a personas, grupos, emprendedores o negociadores los cuales podrían necesitar de dichos aprendizaje; ayudando así a que la economía y las proyecciones financieras de la comunidad crezcas en un número significativo y capacitando a las personas a llevar mejor sus finanzas ya sea en el ámbito personal o empresarial."/>
    <s v="Otro"/>
    <s v="Universidad reconocida."/>
    <s v="Vocación."/>
    <n v="6"/>
    <s v="0"/>
    <s v="SI"/>
    <s v="NO"/>
    <s v="Entre 5 y 6 millones"/>
    <s v="Si"/>
    <n v="0"/>
    <n v="0"/>
    <m/>
    <s v="Y"/>
    <m/>
    <s v="NO"/>
    <s v="NA"/>
    <s v="NA"/>
    <s v="Si"/>
    <s v="Juan Steven Garro Godoy"/>
    <m/>
    <m/>
    <m/>
    <s v="Administrador financiero"/>
    <s v="Independiente (trabaja por cuenta propia)"/>
    <s v="Administrador financiero"/>
    <s v="Athletics Wear SAS"/>
    <n v="2500000"/>
    <s v="Si"/>
    <m/>
    <m/>
    <s v=""/>
    <s v="Si"/>
    <s v="Lina Marcela Calderon Cadavid"/>
    <m/>
    <m/>
    <m/>
    <s v="Administradora"/>
    <s v="Independiente (trabaja por cuenta propia)"/>
    <s v="Fundadora- CEO"/>
    <s v="Athletics Wear SAS"/>
    <n v="2500000"/>
    <s v="Si"/>
    <m/>
    <m/>
    <m/>
    <n v="5000000"/>
    <s v="Si"/>
    <s v="Clara Inés Cadavid Narvaez"/>
    <s v="Abuelo / Abuela"/>
    <s v="60"/>
    <s v="Ama de casa"/>
    <s v="No aplica"/>
    <n v="1000000"/>
    <s v="Si"/>
    <s v="Natalia Calderon Cadavid"/>
    <s v="Tío / Tía"/>
    <s v="40"/>
    <s v="Vendedora"/>
    <s v="Fajas piel de Ángel"/>
    <n v="1500000"/>
    <s v="Si"/>
    <s v="Alejandra Rendón Cadavid"/>
    <s v="Primos"/>
    <s v="17"/>
    <s v="Estudiante"/>
    <s v="Institución Educativa Villa Nueva"/>
    <m/>
    <s v="No"/>
    <s v=""/>
    <n v="0"/>
    <n v="0"/>
    <n v="0"/>
    <n v="0"/>
    <n v="0"/>
    <s v="No"/>
    <s v=""/>
    <s v=""/>
    <n v="0"/>
    <s v="No"/>
    <s v=""/>
    <s v=""/>
    <n v="0"/>
    <s v="No"/>
    <s v=""/>
    <s v=""/>
    <s v=""/>
    <n v="0"/>
    <s v="Ninguno"/>
    <n v="4"/>
    <n v="4"/>
    <n v="4"/>
    <n v="4"/>
    <n v="4"/>
    <n v="4"/>
    <n v="4"/>
    <n v="4"/>
    <n v="4"/>
    <n v="4"/>
    <n v="40"/>
    <s v="SI"/>
    <s v="SI, ICFES"/>
    <s v="PRI SIN PUNTAJE ICFES, TIPO IES, DETALLE OTROS ESTUDIOS Y DETALLE ENTREVISTA"/>
    <s v="pendiente tipo ie"/>
    <e v="#N/A"/>
    <e v="#N/A"/>
    <m/>
    <n v="2"/>
    <n v="10"/>
    <n v="10"/>
    <n v="0"/>
    <n v="15"/>
    <n v="15"/>
    <n v="15"/>
    <n v="16.5"/>
    <n v="13.5"/>
    <n v="68.5"/>
    <n v="0.4"/>
    <m/>
    <n v="2"/>
    <n v="4.5"/>
    <n v="3"/>
    <n v="4"/>
    <n v="2"/>
    <n v="4"/>
    <n v="6"/>
    <n v="4.5"/>
    <n v="71.5"/>
    <n v="0.5"/>
    <s v="Negado"/>
    <e v="#N/A"/>
    <m/>
    <m/>
    <s v="SI, ICFES"/>
    <m/>
    <m/>
    <s v="Finanzas"/>
    <e v="#N/A"/>
    <m/>
    <e v="#N/A"/>
  </r>
  <r>
    <s v="TI"/>
    <n v="1017929025"/>
    <s v="1000348646"/>
    <s v="ISABELA DUQUE VALLEJO"/>
    <s v="Cupo Reservado"/>
    <x v="5"/>
    <s v="Cumple Nutresa"/>
    <s v="Hermana estudiante EAFIT, madre profesional"/>
    <s v="En publico objetivo"/>
    <s v="1er Cohorte"/>
    <s v="Admitido"/>
    <s v="iduquev@eafit.edu.co"/>
    <s v="iduquev@eafit.edu.co"/>
    <s v="duqueisabela16@gmail.com"/>
    <s v="573243595480"/>
    <d v="2025-04-25T00:00:00"/>
    <s v="Activo en Programa"/>
    <s v="085-Ingeniería Diseño de Producto"/>
    <s v="E Ciencias Aplic e Ingeniería"/>
    <d v="2007-01-16T00:00:00"/>
    <n v="18"/>
    <s v="Antioquia"/>
    <s v="Medellín"/>
    <s v="Mujer"/>
    <s v="Soltero"/>
    <s v="NO"/>
    <s v="NO"/>
    <n v="0"/>
    <s v="NO"/>
    <s v="NA"/>
    <s v="NO"/>
    <s v="NA"/>
    <s v="NO"/>
    <s v="NA"/>
    <s v="No"/>
    <s v="324-1653"/>
    <s v="573243595480"/>
    <s v="Estrato 3"/>
    <s v="calle 4 sur # 30 -114"/>
    <s v="Antioquia"/>
    <s v="Medellín"/>
    <s v="No aplica, no soy foráneo"/>
    <s v="Arriendo"/>
    <s v="SI"/>
    <n v="2024"/>
    <s v="AC202410736694"/>
    <n v="374"/>
    <n v="79"/>
    <n v="72"/>
    <s v="Pública"/>
    <s v="INST EDUC SANTA CATALINA DE SI"/>
    <n v="2023"/>
    <m/>
    <s v="Medellín"/>
    <n v="0"/>
    <s v="BACHILLER"/>
    <s v="TIPO: Pública, INSTITUCION: INST EDUC SANTA CATALINA DE SI, AÑO: 2023, CIUDAD: Medellín, TITULO: BACHILLER"/>
    <n v="0"/>
    <n v="0"/>
    <s v="Escala de 0 - 5"/>
    <m/>
    <m/>
    <s v="5"/>
    <m/>
    <m/>
    <s v="5"/>
    <m/>
    <n v="4.9000000000000004"/>
    <n v="5"/>
    <m/>
    <n v="4.9000000000000004"/>
    <n v="4.8"/>
    <m/>
    <m/>
    <s v="5"/>
    <m/>
    <m/>
    <s v="5"/>
    <m/>
    <m/>
    <s v="4"/>
    <s v="De 10 y 11"/>
    <n v="4.9000000000000004"/>
    <s v="NA"/>
    <s v="NA"/>
    <n v="0"/>
    <n v="0"/>
    <s v="No"/>
    <s v="Sin informacion"/>
    <s v="Sin informacion"/>
    <s v="Sin informacion"/>
    <s v="Sin informacion"/>
    <s v="Sin informacion"/>
    <s v="Sin informacion"/>
    <s v="En 20251 quedo aprobada por el 60%, pero no la uso por FALTA DE RECURSOS PARA PAGAR % RESTANTE Y/O CUBRIR LOS GASTOS DE SOSTENIMIENTO. Comentaario entrevista: Isabela esta muy perfilada para la carrera a la que aspira ingresar,  se muestra deseante, clara y con conocimiento sobre la universidad y el programa académico. Su familia le brinda apoyo, pese a la quiebra reciente del padre en su emprendimiento, por lo que solicita beca con sostenimiento; no obstante, vive en la comuna 14 y con una beca del 100% en Talento y aplicar a subsidios de transporte y alimentación podría avanzar en su formación.  Baste mencionar que le preocupa un poco lo costosa, en términos de materiales  y gastos extra, la carrera, por esta razón esta buscando contar con sostenimiento. Su situación económica no es de alta dificultad."/>
    <n v="46"/>
    <s v="Cupo reservado"/>
    <s v="Espacios de liderazgo o representación social,Trabajo social o comunitario,Artísticas o culturales"/>
    <s v="Como futura ingeniera en Diseño de Producto, me visualizo liderando proyectos que conecten la creatividad con la funcionalidad, aportando soluciones reales a las necesidades de mi entorno. Mi propósito es aplicar los conocimientos adquiridos en la Universidad EAFIT para diseñar productos y servicios que contribuyan al desarrollo sostenible de mi región, especialmente en el sector turístico, donde veo una oportunidad para impulsar la economía local sin comprometer la identidad ni el bienestar de las comunidades._x000a__x000a_Gracias a mi formación técnica en organización de viajes y eventos, he comprendido el valor del turismo como motor de transformación. Por eso, quiero enfocar mi carrera en la creación de experiencias turísticas innovadoras y responsables, que integren diseño, cultura y sostenibilidad._x000a__x000a_Obtener una beca no solo representa para mí un apoyo económico fundamental, sino también una oportunidad para acceder a una educación de excelencia y, con ello, multiplicar ese conocimiento en acciones concretas para mi comunidad. Estoy comprometida con regresar ese privilegio en forma de impacto: deseo ser un puente entre la academia y mi territorio, y demostrar que con educación, compromiso y empatía, es posible construir un futuro más justo, creativo y próspero para todos."/>
    <s v="Estudiantes de EAFIT"/>
    <s v="Por la calidad académica."/>
    <s v="Alta empleabilidad."/>
    <n v="6"/>
    <s v="Sin informacion"/>
    <s v="NO"/>
    <s v="Sin informacion"/>
    <s v="Sin informacion"/>
    <s v="No"/>
    <n v="0"/>
    <s v="NO"/>
    <m/>
    <s v="SI"/>
    <s v="Beca"/>
    <s v="NO"/>
    <s v=""/>
    <s v=""/>
    <s v="Si"/>
    <s v="Juan Carlos Duque"/>
    <s v="Casado"/>
    <s v="TECNOLOGÍA"/>
    <s v="52"/>
    <s v="Independiente"/>
    <s v="Independiente (trabaja por cuenta propia)"/>
    <s v="Transporte"/>
    <s v="No aplica"/>
    <n v="3000000"/>
    <s v="Si"/>
    <s v="SI"/>
    <s v="SI"/>
    <s v=""/>
    <s v="Si"/>
    <s v="Valentina Vallejo"/>
    <s v="Casado"/>
    <s v="UNIVERSITARIOS"/>
    <s v="48"/>
    <s v="Ingeniera industrial"/>
    <s v="Empleado (con contrato laboral)"/>
    <s v="Servicios generales"/>
    <s v="Dekoramesa"/>
    <n v="1500000"/>
    <s v="Si"/>
    <s v="NO"/>
    <s v="SI"/>
    <m/>
    <n v="4500000"/>
    <s v="Si"/>
    <s v="Susana Duque"/>
    <s v="Hermano / Hermana"/>
    <s v="19"/>
    <s v="Estudiante"/>
    <s v="Eafit"/>
    <n v="0"/>
    <s v="No"/>
    <s v="Juan Jose Duque"/>
    <s v="Hermano / Hermana"/>
    <s v="16"/>
    <s v="Estudiante"/>
    <s v="I.E Santa Catalina de Siena"/>
    <n v="0"/>
    <s v="No"/>
    <s v="Gabriel Duque"/>
    <s v="Hermano / Hermana"/>
    <s v="12"/>
    <s v="Estudiante"/>
    <s v="I.E Santa Catalina de Siena"/>
    <n v="0"/>
    <s v="No"/>
    <s v="Tengo una hermana menor además de los que ya puse, tiene 6 años y está cursando el grado primero en la I.E Santa Catalina de Siena"/>
    <n v="0"/>
    <n v="0"/>
    <n v="0"/>
    <n v="0"/>
    <n v="0"/>
    <s v="No"/>
    <s v=""/>
    <s v=""/>
    <n v="0"/>
    <s v="No"/>
    <s v=""/>
    <s v=""/>
    <n v="0"/>
    <s v="No"/>
    <s v=""/>
    <s v=""/>
    <s v=""/>
    <n v="0"/>
    <m/>
    <n v="4"/>
    <n v="4"/>
    <n v="4"/>
    <n v="4"/>
    <n v="3"/>
    <n v="3"/>
    <n v="3"/>
    <n v="3"/>
    <n v="3"/>
    <n v="4"/>
    <n v="35"/>
    <s v="SI"/>
    <s v="SI, CRE"/>
    <s v="Son CRE, sin tipo de vivienda, nada del ICFES, sin nada de entrevista, y con solo 1 nota del colegio"/>
    <s v="ok, se deja info entrevista psico 20251"/>
    <n v="0.6"/>
    <n v="20251"/>
    <m/>
    <n v="3"/>
    <n v="10"/>
    <n v="8"/>
    <n v="15"/>
    <n v="20"/>
    <n v="15"/>
    <n v="20"/>
    <n v="19"/>
    <n v="18"/>
    <n v="98"/>
    <n v="0.5"/>
    <m/>
    <n v="3.5"/>
    <n v="4.5"/>
    <n v="6"/>
    <n v="4"/>
    <n v="3.5"/>
    <n v="4"/>
    <n v="7"/>
    <n v="4.5"/>
    <n v="97"/>
    <n v="0.7"/>
    <n v="0.8"/>
    <s v="ISABELA DUQUE VALLEJO"/>
    <m/>
    <m/>
    <s v="SI, CRE"/>
    <s v="EN ORDEN"/>
    <n v="0"/>
    <s v="Ingeniería Diseño de Producto"/>
    <s v="Pres. para revision docs nutresa"/>
    <m/>
    <s v="NUTRESA"/>
  </r>
  <r>
    <s v="CC"/>
    <n v="1017929132"/>
    <s v="1000402870"/>
    <s v="JERÓNIMO HENAO MARTINEZ"/>
    <s v="Estudios por primera vez"/>
    <x v="1"/>
    <s v="No cumple, estrato 4"/>
    <m/>
    <s v="En publico objetivo"/>
    <s v="1er Cohorte"/>
    <s v="Admitido"/>
    <s v="jhenaom14@eafit.edu.co"/>
    <s v="jhenaom14@eafit.edu.co"/>
    <s v="jeronimohenaom7@gmail.com"/>
    <s v="573508612783"/>
    <d v="2025-04-28T00:00:00"/>
    <s v="Activo en Programa"/>
    <s v="001-Administración de Negocios"/>
    <s v="Escuela de Administración"/>
    <d v="2007-01-22T00:00:00"/>
    <n v="18"/>
    <s v="Antioquia"/>
    <s v="Medellín"/>
    <s v="Hombre"/>
    <s v="Soltero"/>
    <s v="NO"/>
    <s v="NO"/>
    <n v="0"/>
    <s v="NO"/>
    <s v="NA"/>
    <s v="NO"/>
    <s v="NA"/>
    <s v="NO"/>
    <s v="NA"/>
    <s v="No"/>
    <s v="604/577-3289"/>
    <s v="573508612783"/>
    <s v="Estrato 4"/>
    <s v="CL 49 E #83 A 200"/>
    <s v="Antioquia"/>
    <s v="Medellín"/>
    <s v="No aplica, no soy foráneo"/>
    <s v="Propio"/>
    <s v="SI"/>
    <s v="2023"/>
    <s v="AC202341676386"/>
    <n v="318"/>
    <n v="67"/>
    <n v="64"/>
    <s v="Privada"/>
    <s v="COL CALASANZ"/>
    <n v="2023"/>
    <s v="Antioquia"/>
    <s v="Medellín"/>
    <s v="BACHILLER"/>
    <s v="ACAD"/>
    <s v="TIPO: Privada, INSTITUCION: COL CALASANZ, AÑO: 2023, CIUDAD: Medellín, TITULO: BACHILLER"/>
    <s v="11"/>
    <s v="Escala de 0 - 5"/>
    <s v="Escala de 0 - 5"/>
    <s v="3,9"/>
    <s v="3,3"/>
    <m/>
    <s v="3,9"/>
    <s v="3,3"/>
    <m/>
    <n v="3.9"/>
    <n v="3.3"/>
    <m/>
    <n v="3.7"/>
    <n v="3.4"/>
    <m/>
    <s v="3,6"/>
    <s v="3,3"/>
    <m/>
    <s v="4"/>
    <s v="3,3"/>
    <m/>
    <s v="3,7"/>
    <s v="3,9"/>
    <m/>
    <s v="De 9 y 10"/>
    <n v="3.5749999999999997"/>
    <s v="NO"/>
    <s v="NA"/>
    <n v="0"/>
    <n v="0"/>
    <s v="No"/>
    <n v="50"/>
    <m/>
    <n v="50"/>
    <m/>
    <n v="50"/>
    <m/>
    <s v="tiene 18 años estudió en el Calasanz y se graduó en el 2023 pero ha estado trabajando para poder ahorrar y estudiar en EAFIT que ha sido su mas grande sueño, trabaja en un almacen en el centro y gracias a que habla ingles y maneja excel ha podido cerrar varias negociaciones, le gusta el mundo de la administración, mercadeo, las operaciones y por esta razón quiere ser administrador, le gusta EAFIT por reconocimiento"/>
    <n v="50"/>
    <s v="Con detalle por componente"/>
    <s v="Deportistas de alto rendimiento o representativo,Trabajo social o comunitario,Artísticas o culturales"/>
    <s v="Me visualizó como un gran administrador de negocios gracias a esta excelente universidad, ya que por eso estoy buscando todas las herramientas y ayudas que me faciliten llegar a este gran sueño, el cual lo tengo desde que salí del colegio pero no lo puse en práctica para ser admitido antes ya que no sabía sobre estas oportunidades de becas, gracias a un amigo que está en la u y me comento que estudia gracias a estas becas que ofrece la universidad veo de cerca mi sueño de poder realizar la carrera de administración de negocios, la cual siempre la vi lejana por la situación económica de mi familia teniendo en cuenta que mi papá es mi unico responsable socioeconómico, y no tiene una situación económica al nivel de poder financiar mi carrera. Es la única universidad donde quiero realizar la carrera ya que sé del nivel, la experiencia, los profesionales, el conocimiento y la experiencia que brinda la U, por lo que me visualizo gracias a todo esto que me puede inculcar la universidad como un gran empresario, sacando su familia adelante, brindando empleo a las personas que lo necesitan, y siendo más que un empresario una gran persona y ejemplo para todos los demás, a su vez demostrar que gracias a la disciplina y la constancia los sueños si se cumplen, y así como yo fui ayudado también tener la capacidad económica para ayudar a las personas que tienen metas, sueños y ganas de salir adelante."/>
    <s v="A través del Colegio"/>
    <s v="Por la calidad académica."/>
    <s v="Nivel académico de docentes."/>
    <n v="2"/>
    <s v="0"/>
    <s v="SI"/>
    <s v="NO"/>
    <s v="Entre 4 y 5 millones"/>
    <s v="No"/>
    <n v="0"/>
    <n v="0"/>
    <m/>
    <s v="SI"/>
    <s v="Beca"/>
    <s v="NO"/>
    <s v=""/>
    <s v=""/>
    <s v="Si"/>
    <s v="Mauricio Henao Vélez"/>
    <s v="Casado"/>
    <s v="UNIVERSITARIOS"/>
    <s v="54"/>
    <s v="Ingeniero Forestal"/>
    <s v="Empleado (con contrato laboral)"/>
    <s v="Ingeniero de Núcleo"/>
    <s v="CIPRESES DE COLOMBIA S.A"/>
    <n v="5058750"/>
    <s v="Si"/>
    <s v="NO"/>
    <s v="NO"/>
    <s v="Mi padre trabaja en el municipio de Yarumal, Antioquia y solo paso tiempo con el los días&amp;#58; lunes, sábado y domingo ya que de martes a viernes siempre se encuentra en zona rural y el es quien responde por mi madre y mi persona. Además de esto apoya económicamente a mi abuela."/>
    <s v="Si"/>
    <s v="Liliana María Martínez Meneses"/>
    <s v="Casado"/>
    <s v="TÉCNICA"/>
    <s v="53"/>
    <s v="ama de casa"/>
    <s v="Labores del hogar y cuidado"/>
    <s v="Ama de casa"/>
    <s v="Nuestro hogar"/>
    <n v="0"/>
    <s v="Si"/>
    <s v="NO"/>
    <s v="NO"/>
    <s v="Mi madre es la responsable de todas las labores de nuestro hogar."/>
    <n v="5058750"/>
    <s v="No, solo vivo con mis padres"/>
    <s v=""/>
    <s v=""/>
    <s v=""/>
    <s v=""/>
    <s v=""/>
    <m/>
    <s v=""/>
    <s v=""/>
    <s v=""/>
    <s v=""/>
    <s v=""/>
    <s v=""/>
    <m/>
    <s v=""/>
    <s v=""/>
    <s v=""/>
    <s v=""/>
    <s v=""/>
    <s v=""/>
    <m/>
    <s v=""/>
    <s v=""/>
    <n v="147551000"/>
    <n v="209881500"/>
    <n v="0"/>
    <n v="0"/>
    <n v="40000000"/>
    <s v="Si"/>
    <s v="Mitsubishi"/>
    <s v="1999"/>
    <n v="4080000"/>
    <s v="No"/>
    <s v=""/>
    <s v=""/>
    <n v="0"/>
    <s v="No"/>
    <s v=""/>
    <s v=""/>
    <s v=""/>
    <n v="0"/>
    <s v="El lote es un lote familiar el cual esta a nombre de mi padre, la casa es una herencia que le dejó mi abuelo y el apartamento donde vivimos es un bien familiar el cual comparte mi padre con mi madre."/>
    <n v="4"/>
    <n v="4"/>
    <n v="4"/>
    <n v="4"/>
    <n v="4"/>
    <n v="4"/>
    <n v="4"/>
    <n v="4"/>
    <n v="4"/>
    <n v="4"/>
    <n v="40"/>
    <s v="SI"/>
    <m/>
    <s v="SI, SON PRI"/>
    <s v="ok tienen todos los datos"/>
    <e v="#N/A"/>
    <e v="#N/A"/>
    <m/>
    <n v="3"/>
    <n v="4"/>
    <n v="4"/>
    <n v="5"/>
    <n v="10"/>
    <n v="15"/>
    <n v="20"/>
    <n v="10.5"/>
    <n v="7.5"/>
    <n v="61.5"/>
    <n v="0.4"/>
    <m/>
    <n v="2"/>
    <n v="2.5"/>
    <n v="3"/>
    <n v="0"/>
    <n v="2"/>
    <n v="2.5"/>
    <n v="6"/>
    <n v="0"/>
    <n v="64.5"/>
    <n v="0.4"/>
    <n v="0.4"/>
    <e v="#N/A"/>
    <m/>
    <m/>
    <n v="0"/>
    <m/>
    <m/>
    <s v="Administración de Negocios"/>
    <e v="#N/A"/>
    <s v="001"/>
    <e v="#N/A"/>
  </r>
  <r>
    <s v="TI"/>
    <n v="1017929161"/>
    <s v="1000051487"/>
    <s v="MARIA CLARA ZULUAGA LOPEZ"/>
    <s v="Estudios por primera vez"/>
    <x v="7"/>
    <s v="Descartado por ingresos altos"/>
    <s v="Se esta revisando ingresos contra doc"/>
    <s v="En publico objetivo"/>
    <s v="2da Cohorte"/>
    <s v="Admitido"/>
    <s v="mczuluagal@eafit.edu.co"/>
    <s v="mczuluagal@eafit.edu.co"/>
    <s v="maclazulo@gmail.com"/>
    <s v="301/755-4611"/>
    <d v="2025-05-16T00:00:00"/>
    <s v="Activo en Programa"/>
    <s v="002-Negocios Internacionales"/>
    <s v="Escuela de Administración"/>
    <d v="2007-02-02T00:00:00"/>
    <n v="18"/>
    <s v="Antioquia"/>
    <s v="Guarne"/>
    <s v="Mujer"/>
    <s v="Soltero"/>
    <s v="NO"/>
    <s v="NO"/>
    <n v="0"/>
    <s v="NO"/>
    <s v="NA"/>
    <s v="NO"/>
    <s v="NA"/>
    <s v="NO"/>
    <s v="NA"/>
    <s v="No"/>
    <s v="NA"/>
    <s v="301/755-4611"/>
    <s v="Estrato 3"/>
    <s v="CONDOMINIO ECOLOGICO EL PORVENIR CA 8 VEREDA LA HONDITA"/>
    <s v="Antioquia"/>
    <s v="Guarne"/>
    <s v="No aplica, no soy foráneo"/>
    <s v="Familiar"/>
    <s v="SI"/>
    <s v="2024"/>
    <s v="AC202430281571"/>
    <n v="365"/>
    <n v="76"/>
    <n v="70"/>
    <s v="Privada"/>
    <s v="COLEGIO CAMPESTRE HORIZONTES"/>
    <n v="2024"/>
    <s v="Antioquia"/>
    <s v="Rionegro"/>
    <s v="BACHILLER"/>
    <s v="ACAD"/>
    <s v="TIPO: Privada, INSTITUCION: COLEGIO CAMPESTRE HORIZONTES, AÑO: 2024, CIUDAD: Rionegro, TITULO: BACHILLER"/>
    <s v="11"/>
    <s v="Escala de 0 - 5"/>
    <s v="Escala de 0 - 5"/>
    <s v="5"/>
    <s v="4,5"/>
    <m/>
    <s v="4,5"/>
    <s v="4,5"/>
    <m/>
    <n v="5"/>
    <n v="4.5"/>
    <m/>
    <n v="4.5"/>
    <n v="4.5"/>
    <m/>
    <s v="4,5"/>
    <s v="4,5"/>
    <m/>
    <s v="5"/>
    <s v="5"/>
    <m/>
    <s v="4,5"/>
    <s v="4,6"/>
    <m/>
    <s v="De 9 y 10"/>
    <n v="4.625"/>
    <s v="NO"/>
    <s v="NA"/>
    <n v="0"/>
    <n v="0"/>
    <s v="No"/>
    <n v="45"/>
    <m/>
    <n v="45"/>
    <m/>
    <n v="45"/>
    <m/>
    <m/>
    <n v="45"/>
    <s v="Con detalle por componente"/>
    <s v="Trabajo social o comunitario"/>
    <s v="Al cerrar los ojos, veo mi futuro como una profesional en Negocios Internacionales con una firme vocación de impacto. Desde mi hogar en Guarne y en Colombia sueño con abrir caminos para que las ideas, productos y talentos de nuestra nación lleguen al mundo. Por ello, es que mi primer paso es lograr transformar mi propia economía familiar._x000a__x000a_Si logro obtener esta beca, lograré aliviar la carga financiera de mi padre, él es un médico farmacólogo que ha sostenido nuestro hogar con una dedicación y esfuerzo ejemplar. Mi hermano actualmente también está estudiando un pregrado en Eafit (Ingenieria de diseño de producto), asimismo mi madre se encuentra estudiando en una universidad en Cali. Si yo también accedo a una formación de excelencia, pero con apoyo económico, seremos cuatro miembros formándonos o ejerciendo para servir a la sociedad. El impacto será inmediato: una familia comprometida en aportar desde la salud, la academia y el comercio global._x000a__x000a_Desde lo local y lo nacional, quiero fortalecer emprendimientos de nuestro país, conectandolos con los mercados internacionales, enseñándoles cómo competir con propósito y sostenibilidad. Quiero ser un puente entre Medellín, Colombia y el mundo, para crear oportunidades para que otros jóvenes también sueñen en grande, como yo lo hago._x000a__x000a_A largo plazo, me visualizo trabajando en proyectos de comercio justo, sostenibilidad y expansión de negocios que empoderen a comunidades, por medio de la ciencia, el desarrollo tecnológico y de mercados. A través de alianzas estratégicas y capacitación. Creo que los cambios profundos comienzan con decisiones como esta: apoyar a una joven motivada, que entiende el valor del esfuerzo familiar y que quiere devolver con creces la oportunidad brindada._x000a__x000a_Esta beca no solo representa alivio financiero, sino una inversión en un futuro comprometido con el desarrollo de mi hogar, mi región y mi país. Estoy lista para aprovecharla al máximo y multiplicar su impacto."/>
    <s v="A través del Colegio"/>
    <s v="Proyección laboral."/>
    <s v="Vocación."/>
    <n v="3"/>
    <s v="1"/>
    <s v="NO"/>
    <s v="SI"/>
    <s v="Más de 16 millones"/>
    <s v="Si"/>
    <s v="SI"/>
    <s v="SI"/>
    <s v="Crédito educativo propio"/>
    <s v="SI"/>
    <s v="Beca"/>
    <s v="NO"/>
    <s v=""/>
    <s v=""/>
    <s v="Si"/>
    <s v="Andrés Felipe Zuluaga Salazar"/>
    <s v="Casado"/>
    <s v="MAESTRÍA"/>
    <s v="48"/>
    <s v="Médico Farmacólogo"/>
    <s v="Empleado (con contrato laboral)"/>
    <s v="Jefe de sección"/>
    <s v="Universidad de antioquia"/>
    <n v="31000000"/>
    <s v="Si"/>
    <s v="NO"/>
    <s v="SI"/>
    <s v="Es la única fuente de ingresos del hogar, mantiene a tres estudiantes y su propio postgrado. Además de las responsabilidades del hogar (alimentación, vivienda, salud, servicios básicos, entre otros.)"/>
    <s v="Si"/>
    <s v="Lina Marcela López Durán"/>
    <s v="Casado"/>
    <s v="UNIVERSITARIOS"/>
    <s v="46"/>
    <s v="Estudiante"/>
    <s v="Labores del hogar y cuidado"/>
    <s v="no aplica"/>
    <s v="NO APLICA"/>
    <n v="0"/>
    <s v="Si"/>
    <s v="NO"/>
    <s v="NO"/>
    <s v="Es ama de casa y actualmente está estudiando un pregrado en otra universidad privada"/>
    <n v="31000000"/>
    <s v="Si"/>
    <s v="Jorge Andrés Zuluaga López"/>
    <s v="Hermano / Hermana"/>
    <s v="20"/>
    <s v="Estudiante"/>
    <s v="Universidad EAFIT"/>
    <n v="0"/>
    <s v="No"/>
    <s v=""/>
    <s v=""/>
    <s v=""/>
    <s v=""/>
    <s v=""/>
    <m/>
    <s v=""/>
    <s v=""/>
    <s v=""/>
    <s v=""/>
    <s v=""/>
    <s v=""/>
    <m/>
    <s v=""/>
    <s v=""/>
    <n v="150000000"/>
    <n v="0"/>
    <n v="0"/>
    <n v="0"/>
    <n v="0"/>
    <s v="Si"/>
    <s v="Chevrolet"/>
    <s v="2020"/>
    <n v="130000000"/>
    <s v="No"/>
    <s v=""/>
    <s v=""/>
    <n v="0"/>
    <s v="Si"/>
    <s v="Carro"/>
    <s v="chevrolet"/>
    <s v="2017"/>
    <n v="40000000"/>
    <m/>
    <n v="4"/>
    <n v="4"/>
    <n v="4"/>
    <n v="4"/>
    <n v="4"/>
    <n v="4"/>
    <n v="4"/>
    <n v="4"/>
    <n v="3"/>
    <n v="4"/>
    <n v="39"/>
    <s v="SI"/>
    <m/>
    <s v="SI, SON PRI"/>
    <s v="ok tienen todos los datos"/>
    <e v="#N/A"/>
    <e v="#N/A"/>
    <m/>
    <n v="3"/>
    <n v="10"/>
    <n v="8"/>
    <n v="15"/>
    <n v="20"/>
    <n v="15"/>
    <n v="15"/>
    <n v="7.5"/>
    <n v="7.5"/>
    <n v="82.5"/>
    <n v="0.4"/>
    <m/>
    <n v="2"/>
    <n v="3.5"/>
    <n v="0"/>
    <n v="2"/>
    <n v="2"/>
    <n v="3.5"/>
    <n v="0"/>
    <n v="2"/>
    <n v="80.5"/>
    <n v="0.4"/>
    <s v="Negado"/>
    <e v="#N/A"/>
    <m/>
    <m/>
    <n v="0"/>
    <m/>
    <m/>
    <s v="Negocios Internacionales"/>
    <e v="#N/A"/>
    <m/>
    <e v="#N/A"/>
  </r>
  <r>
    <s v="TI"/>
    <n v="1017929653"/>
    <s v="1000405077"/>
    <s v="CAROLINA SIERRA RAMIREZ"/>
    <s v="Estudios por primera vez"/>
    <x v="8"/>
    <s v="Descartado por baja prioridad pregrado"/>
    <m/>
    <s v="En publico objetivo"/>
    <s v="2da Cohorte"/>
    <s v="Admitido"/>
    <s v="csierrar2@eafit.edu.co"/>
    <e v="#N/A"/>
    <s v="sierra.carolina2007@gmail.com"/>
    <s v="315/122-2229"/>
    <d v="2025-05-16T00:00:00"/>
    <s v="Activo en Programa"/>
    <s v="111-Ciencias Políticas"/>
    <s v="E.Finanzas, Economía, Gobierno"/>
    <d v="2007-04-20T00:00:00"/>
    <n v="18"/>
    <s v="Antioquia"/>
    <s v="Medellín"/>
    <s v="Mujer"/>
    <s v="Soltero"/>
    <s v="NO"/>
    <s v="NO"/>
    <n v="0"/>
    <s v="SI"/>
    <s v="Otra"/>
    <s v="NO"/>
    <s v="NA"/>
    <s v="NO"/>
    <s v="NA"/>
    <s v="No"/>
    <s v="315/122-2229"/>
    <s v="315/122-2229"/>
    <s v="Estrato 2"/>
    <s v="VEREDA LA MARIA"/>
    <s v="Antioquia"/>
    <s v="Itagui"/>
    <s v="No aplica, no soy foráneo"/>
    <s v="Arriendo"/>
    <s v="SI"/>
    <s v="2024"/>
    <s v="AC202430534891"/>
    <n v="341"/>
    <n v="72"/>
    <n v="69"/>
    <s v="Pública"/>
    <s v="INSTITUCION EDUCATIVA LUIS CARLOS GALAN SARMIENTO"/>
    <n v="2024"/>
    <m/>
    <s v="Itagui"/>
    <s v="Bachillerato"/>
    <s v="Académico"/>
    <m/>
    <s v="11"/>
    <s v="Escala de 0 - 5"/>
    <s v="Escala de 0 - 5"/>
    <s v="4,3"/>
    <s v="4,5"/>
    <m/>
    <s v="4,3"/>
    <s v="4,5"/>
    <m/>
    <n v="4.7"/>
    <n v="4.7"/>
    <m/>
    <n v="4.3"/>
    <n v="4.3"/>
    <m/>
    <s v="4,3"/>
    <s v="4,6"/>
    <m/>
    <s v="4,7"/>
    <s v="4,7"/>
    <m/>
    <s v="4,9"/>
    <s v="4,9"/>
    <m/>
    <s v="De 9 y 10"/>
    <n v="4.5"/>
    <s v="NO"/>
    <s v="NA"/>
    <n v="0"/>
    <n v="0"/>
    <s v="No"/>
    <n v="50"/>
    <m/>
    <n v="50"/>
    <m/>
    <n v="50"/>
    <m/>
    <s v="La entrevistada comentó que es nivel 1 del espectro autista. Por lo cual, ella aprobó estar en contacto con la Oficina de Género, Diversidad e Igualdad de EAFIT. Por esto, me parece importante que esta oficina esté al tanto del proceso de esta estudiante."/>
    <n v="50"/>
    <s v="Con detalle por componente"/>
    <s v="Artísticas o culturales,Trabajo social o comunitario"/>
    <s v="Me visualizo como una profesional en CIENCIAS  POLÍTICAS comprometida con la justicia social, la inclusión y el desarrollo de las comunidades, en especial la mía. Sueño con mi trabajo poder incidir en la creación, formulación e implementación de políticas públicas que atiendan necesidades reales de las personas y especialmente de las comunidades marginadas históricamente._x000a_En mi municipio he logrado evidenciar las desigualdades sociales, la falta de acceso a oportunidades y la necesidad de verdaderos líderes con sensibilidad y conocimiento._x000a_Me imagino trabajando en proyectos que promuevan la equidad, la participación ciudadana y el respeto por las diferencias._x000a_La beca para mi es más que una ayuda económica, es aquella herramienta que me permitirá acceder a mi educación superior y continuar con aquella hambre de conocimiento que poseo, quiero ser una profesional que cuestione, investigue, proponga y actúe en pro a su comunidad; es la oportunidad de dar un gran paso hacia mi proyecto de vida, es el fruto de mi esfuerzo y quiero que esto sea una inspiración para mi comunidad, porque los sueños se pueden alcanzar."/>
    <s v="Página WEB"/>
    <s v="Por la calidad académica."/>
    <s v="Vocación."/>
    <n v="1"/>
    <s v="2"/>
    <s v="SI"/>
    <s v="NO"/>
    <s v="Entre 1 y 2 millones"/>
    <s v="No"/>
    <n v="0"/>
    <n v="0"/>
    <m/>
    <s v="SI"/>
    <s v="Beca"/>
    <s v="SI"/>
    <s v="BATATAS MEDELLIN"/>
    <s v="CAJERA"/>
    <s v="Si"/>
    <s v="JUAN PABLO SIERRA ANGEL"/>
    <s v="Soltero"/>
    <s v="BACHILLERATO"/>
    <s v="56"/>
    <s v="Conductor"/>
    <s v="Empleado (con contrato laboral)"/>
    <s v="conductor"/>
    <s v="VITAL CARS transporte especial de pasajeros"/>
    <n v="1550000"/>
    <s v="Si"/>
    <s v="NO"/>
    <s v="NO"/>
    <s v="pregrado incompleto"/>
    <s v="Si"/>
    <s v="ELIZABETH RAMIREZ ESPINOSA"/>
    <s v="Soltero"/>
    <s v="TÉCNICA"/>
    <s v="50"/>
    <s v="Auxiliar contable"/>
    <s v="Desempleado (Se encuentra en la búsqueda activa de empleo)"/>
    <s v="NA"/>
    <s v="NA"/>
    <n v="0"/>
    <s v="No"/>
    <s v="NO"/>
    <s v="NO"/>
    <s v="NO RESPONDE ECONOMICAMENTE NI ESTA PRESENTE"/>
    <n v="1550000"/>
    <s v="No, solo vivo con mis padres"/>
    <s v=""/>
    <s v=""/>
    <s v=""/>
    <s v=""/>
    <s v=""/>
    <m/>
    <s v=""/>
    <s v=""/>
    <s v=""/>
    <s v=""/>
    <s v=""/>
    <s v=""/>
    <m/>
    <s v=""/>
    <s v=""/>
    <s v=""/>
    <s v=""/>
    <s v=""/>
    <s v=""/>
    <m/>
    <s v=""/>
    <s v=""/>
    <n v="0"/>
    <n v="0"/>
    <n v="0"/>
    <n v="0"/>
    <n v="0"/>
    <s v="No"/>
    <s v=""/>
    <s v=""/>
    <n v="0"/>
    <s v="No"/>
    <s v=""/>
    <s v=""/>
    <n v="0"/>
    <s v="No"/>
    <s v=""/>
    <s v=""/>
    <s v=""/>
    <n v="0"/>
    <s v="NO POSEE"/>
    <n v="4"/>
    <n v="4"/>
    <n v="4"/>
    <n v="4"/>
    <n v="4"/>
    <n v="4"/>
    <n v="4"/>
    <n v="4"/>
    <n v="4"/>
    <n v="4"/>
    <n v="40"/>
    <s v="SI"/>
    <s v="SI, TIPO IE"/>
    <s v="PRI SIN TIPO IE"/>
    <s v="pendiente tipo ie"/>
    <e v="#N/A"/>
    <e v="#N/A"/>
    <m/>
    <n v="1"/>
    <n v="10"/>
    <n v="10"/>
    <n v="10"/>
    <n v="20"/>
    <n v="15"/>
    <n v="20"/>
    <n v="20"/>
    <n v="20"/>
    <n v="95"/>
    <s v="80 - 100%"/>
    <m/>
    <n v="3.5"/>
    <n v="4.5"/>
    <n v="8"/>
    <n v="4"/>
    <n v="3.5"/>
    <n v="4"/>
    <n v="8"/>
    <n v="4.5"/>
    <n v="95"/>
    <s v="80 - 100%"/>
    <n v="1"/>
    <e v="#N/A"/>
    <m/>
    <s v="ALVARO"/>
    <s v="SI, TIPO IE"/>
    <m/>
    <m/>
    <s v="Ciencias Políticas"/>
    <e v="#N/A"/>
    <m/>
    <s v="ALVARO"/>
  </r>
  <r>
    <s v="TI"/>
    <n v="1017929761"/>
    <s v="1000403697"/>
    <s v="NICOLÁS GAVIRIA MORENO"/>
    <s v="Estudios por primera vez"/>
    <x v="5"/>
    <s v="Cumple Nutresa"/>
    <m/>
    <s v="En publico objetivo"/>
    <s v="2da Cohorte"/>
    <s v="Admitido"/>
    <s v="ngaviriam1@eafit.edu.co"/>
    <s v="ngaviriam1@eafit.edu.co"/>
    <s v="nico.gaviriamoreno@gmail.com"/>
    <s v="573206278384"/>
    <d v="2025-05-16T00:00:00"/>
    <s v="Activo en Programa"/>
    <s v="001-Administración de Negocios"/>
    <s v="Escuela de Administración"/>
    <d v="2007-05-05T00:00:00"/>
    <n v="18"/>
    <s v="Antioquia"/>
    <s v="Medellín"/>
    <s v="Hombre"/>
    <s v="Soltero"/>
    <s v="NO"/>
    <s v="NO"/>
    <n v="0"/>
    <s v="NO"/>
    <s v="NA"/>
    <s v="NO"/>
    <s v="NA"/>
    <s v="NO"/>
    <s v="NA"/>
    <s v="No"/>
    <s v="573206278384"/>
    <s v="573206278384"/>
    <s v="Estrato 2"/>
    <s v="CL 77 DD 84 64"/>
    <s v="Antioquia"/>
    <s v="Medellín"/>
    <s v="No aplica, no soy foráneo"/>
    <s v="Propio"/>
    <s v="SI"/>
    <s v="2024"/>
    <s v="AC202432685550"/>
    <n v="357"/>
    <n v="76"/>
    <n v="74"/>
    <s v="Privada"/>
    <s v="COL PANAMERICANO COLOMBO SUECO"/>
    <n v="2024"/>
    <s v="Antioquia"/>
    <s v="Medellín"/>
    <s v="BACHILLER"/>
    <s v="ACAD"/>
    <s v="TIPO: Privada, INSTITUCION: COL PANAMERICANO COLOMBO SUECO, AÑO: 2024, CIUDAD: Medellín, TITULO: BACHILLER"/>
    <s v="11"/>
    <s v="Escala de 0 - 5"/>
    <s v="Escala de 0 - 5"/>
    <s v="4,4"/>
    <s v="4,4"/>
    <m/>
    <s v="4,5"/>
    <s v="4,5"/>
    <m/>
    <n v="4.5"/>
    <n v="4.2"/>
    <m/>
    <n v="4.8"/>
    <n v="4.5999999999999996"/>
    <m/>
    <s v="4"/>
    <s v="4"/>
    <m/>
    <s v="4,4"/>
    <s v="4,4"/>
    <m/>
    <s v="4,5"/>
    <s v="4,3"/>
    <m/>
    <s v="De 9 y 10"/>
    <n v="4.5250000000000004"/>
    <s v="NO"/>
    <s v="NA"/>
    <n v="0"/>
    <n v="0"/>
    <s v="No"/>
    <n v="45"/>
    <m/>
    <n v="45"/>
    <m/>
    <n v="45"/>
    <m/>
    <s v="Tiene  18 años, le gusta el ejercicio los deportes, cocinar, se graduó del colegio colombo sueco y quería pensar bien que quería estudiar por esta razón se tomó 6 meses y varios factores han incidido en su decisión de administrador porque le gusta la economía y sociales y eso le lleva a enrutar su vida profesional hacia la administración y le gusta  EAFIT por los enfoques, los énfasis los contactos"/>
    <n v="45"/>
    <s v="Con detalle por componente"/>
    <s v="Espacios de liderazgo o representación social,Trabajo social o comunitario"/>
    <s v="Me visualizo como un Administrador de Negocios que lidera procesos de transformación empresarial, por medio de ideas innovadoras al alcance de todos, que responden a las exigencias de un mercado cada vez más cambiante. _x000a_Gracias a la formación que recibiré en EAFIT y al acceso a esta beca, podré potenciar mi espíritu emprendedor y formarme como un líder íntegro comprometido con la excelencia y los valores firmes, en el que no solo busco el éxito personal, sino también el beneficio de mi entorno. Estoy convencido que la dinámica empresarial de la universidad, me brindará la oportunidad de construir relaciones significativas con personas afines a la visión de generar proyectos que dejen huella.  _x000a_Vengo de una región con desafíos económicos y sociales, pero en la que abunda el talento y las oportunidades. Esta beca me dará las herramientas necesarias  para impactar a mi comunidad, impulsando el emprendimiento local y poniendo a disposición del bien común mis conocimientos. Quiero ser el aliado de mis compañeros, familiares y amigos en la construcción de sus sueños, inspirar con mi dedicación y motivar a la creación de empresas que nacen de las necesidades más orgánicas de nuestra cotidianidad y de los desafíos más profundos de nuestras comunidades cada vez más complejas y diversas, ayudarles a ver que el emprendimiento no es privilegio de unos cuantos sino una actitud frente a la vida que nos permite encontrar nuestro verdadero propósito con una dosis de creatividad y talento.  _x000a_En mí encontrarán a un líder con propósito, que cree en el poder de la educación para abrir caminos y cambiar vidas, que se esforzará día tras día por transformar las realidades de la sociedad en oportunidades y con la motivación suficiente para soñar en grande y contribuir a la economía de una ciudad que está en constante evolución."/>
    <s v="Anuncio periódico WEB"/>
    <s v="Por la calidad académica."/>
    <s v="Vocación."/>
    <n v="3"/>
    <s v="1"/>
    <s v="SI"/>
    <s v="NO"/>
    <s v="Entre 3 y 4 millones"/>
    <s v="No"/>
    <n v="0"/>
    <n v="0"/>
    <m/>
    <s v="SI"/>
    <m/>
    <s v="NO"/>
    <s v=""/>
    <s v=""/>
    <s v="Si"/>
    <s v="Luis Fernando Gaviria Goez"/>
    <s v="Casado"/>
    <s v="BACHILLERATO"/>
    <s v="60"/>
    <s v="Oficial de construcción"/>
    <s v="Independiente (trabaja por cuenta propia)"/>
    <s v="mampostería, obra blanca"/>
    <s v="NA"/>
    <n v="3000000"/>
    <s v="Si"/>
    <s v="SI"/>
    <s v="NO"/>
    <s v="Mi padre es un trabajador independiente que se dedica a la construcción como oficial de obra, realiza trabajos de albañilería, mampostería y acabados en obra blanca. No tiene un empleo ni un salario fijo, ya que realiza trabajos por contrato verbal o por día. Su trabajo es de carácter informal, por lo que no cuenta con un contrato laboral ni con afiliación a una empresa, es por eso que sus ingresos son variables y no pueden preverse con regularidad.Debido a su situación laboral, no existe documentación oficial que respalde sus ingresos, como comprobantes de pago, desprendibles de nómina o certificaciones laborales."/>
    <s v="Si"/>
    <s v="Marisela Moreno Valdes"/>
    <s v="Casado"/>
    <s v="BACHILLERATO"/>
    <s v="47"/>
    <s v="ama de casa"/>
    <s v="Labores del hogar y cuidado"/>
    <s v="Ama de casa"/>
    <s v="NA"/>
    <n v="0"/>
    <s v="Si"/>
    <s v="NO"/>
    <s v="NO"/>
    <m/>
    <n v="3000000"/>
    <s v="Si"/>
    <s v="Juan José Gaviria Moreno"/>
    <s v="Hermano / Hermana"/>
    <s v="14"/>
    <s v="Estudiante"/>
    <s v="Colegio Panamericano Colombo Sueco"/>
    <n v="0"/>
    <s v="No"/>
    <s v=""/>
    <s v=""/>
    <s v=""/>
    <s v=""/>
    <s v=""/>
    <m/>
    <s v=""/>
    <s v=""/>
    <s v=""/>
    <s v=""/>
    <s v=""/>
    <s v=""/>
    <m/>
    <s v=""/>
    <s v=""/>
    <n v="111866000"/>
    <n v="0"/>
    <n v="0"/>
    <n v="0"/>
    <n v="0"/>
    <s v="Si"/>
    <s v="Chevrolet"/>
    <s v="2009"/>
    <n v="7134000"/>
    <s v="No"/>
    <s v=""/>
    <s v=""/>
    <n v="0"/>
    <s v="No"/>
    <s v=""/>
    <s v=""/>
    <s v=""/>
    <n v="0"/>
    <s v="Casa vivienda propia&amp;#58; Cll 77DD #84-64 Medellín"/>
    <n v="4"/>
    <n v="4"/>
    <n v="3"/>
    <n v="4"/>
    <n v="4"/>
    <n v="4"/>
    <n v="3"/>
    <n v="4"/>
    <n v="3"/>
    <n v="4"/>
    <n v="37"/>
    <s v="SI"/>
    <m/>
    <s v="SI, SON PRI"/>
    <s v="ok tienen todos los datos"/>
    <e v="#N/A"/>
    <e v="#N/A"/>
    <m/>
    <n v="3"/>
    <n v="10"/>
    <n v="10"/>
    <n v="10"/>
    <n v="20"/>
    <n v="15"/>
    <n v="15"/>
    <n v="14.5"/>
    <n v="14.5"/>
    <n v="84.5"/>
    <n v="0.4"/>
    <m/>
    <n v="2"/>
    <n v="2.5"/>
    <n v="8"/>
    <n v="2"/>
    <n v="2"/>
    <n v="2.5"/>
    <n v="8"/>
    <n v="2"/>
    <n v="84.5"/>
    <n v="0.5"/>
    <n v="0.5"/>
    <s v="NICOLÁS GAVIRIA MORENO"/>
    <m/>
    <m/>
    <n v="0"/>
    <s v="EN ORDEN"/>
    <n v="0"/>
    <s v="Administración de Negocios"/>
    <s v="Pres. para revision docs nutresa"/>
    <m/>
    <s v="NUTRESA"/>
  </r>
  <r>
    <s v="TI"/>
    <n v="1017929963"/>
    <s v="1000406157"/>
    <s v="JULIAN HENAO OQUENDO"/>
    <s v="Estudios por primera vez"/>
    <x v="5"/>
    <s v="Cumple Nutresa"/>
    <m/>
    <s v="En publico objetivo"/>
    <s v="1er Cohorte"/>
    <s v="Admitido"/>
    <s v="jhenaoo6@eafit.edu.co"/>
    <e v="#N/A"/>
    <s v="julianhenao200708@hotmail.com"/>
    <s v="573215904676"/>
    <d v="2025-04-25T00:00:00"/>
    <s v="Activo en Programa"/>
    <s v="014-Ingeniería Mecánica"/>
    <s v="E Ciencias Aplic e Ingeniería"/>
    <d v="2007-06-08T00:00:00"/>
    <n v="18"/>
    <s v="Antioquia"/>
    <s v="Medellín"/>
    <s v="Hombre"/>
    <s v="Soltero"/>
    <s v="NO"/>
    <s v="NO"/>
    <n v="0"/>
    <s v="NO"/>
    <s v="NA"/>
    <s v="NO"/>
    <s v="NA"/>
    <s v="NO"/>
    <s v="NA"/>
    <s v="No"/>
    <s v="376-9082"/>
    <s v="573215904676"/>
    <s v="Estrato 2"/>
    <s v="CR 68 A 55 SUR 18"/>
    <s v="Antioquia"/>
    <s v="Medellín"/>
    <s v="No aplica, no soy foráneo"/>
    <s v="Propio"/>
    <s v="SI"/>
    <s v="2024"/>
    <s v="AC202432532224"/>
    <n v="333"/>
    <n v="72"/>
    <n v="71"/>
    <s v="Privada"/>
    <s v="COLEGIO EMPRESARIAL"/>
    <n v="2024"/>
    <s v="Antioquia"/>
    <s v="Medellín"/>
    <s v="BACHILLER"/>
    <s v="ACAD"/>
    <s v="TIPO: Privada, INSTITUCION: COLEGIO EMPRESARIAL, AÑO: 2024, CIUDAD: Medellín, TITULO: BACHILLER"/>
    <s v="11"/>
    <s v="Escala de 0 - 100"/>
    <s v="Escala de 0 - 100"/>
    <s v="84"/>
    <s v="90"/>
    <m/>
    <s v="88"/>
    <s v="78"/>
    <m/>
    <n v="87"/>
    <n v="83"/>
    <m/>
    <n v="81"/>
    <n v="80"/>
    <m/>
    <s v="83"/>
    <s v="88"/>
    <m/>
    <s v="93"/>
    <s v="100"/>
    <m/>
    <s v="83"/>
    <s v="78"/>
    <m/>
    <s v="De 9 y 10"/>
    <n v="82.75"/>
    <s v="NO"/>
    <s v="NA"/>
    <n v="0"/>
    <n v="0"/>
    <s v="No"/>
    <n v="40"/>
    <m/>
    <n v="45"/>
    <m/>
    <n v="50"/>
    <m/>
    <s v="Coherencia y buena argumentación en las respuestas, seguridad con el pregrado elegido"/>
    <n v="45"/>
    <s v="Con detalle por componente"/>
    <s v="Artísticas o culturales"/>
    <s v="Desde que decidí estudiar ingeniería mecánica e incluso mucho antes, me he considerado una persona capaz de comunicarme asertivamente, capaz de liderar, capaz de seguir instrucciones en cualquier entorno que me desempeñe, lo cual me permite visualizarme en el ámbito laboral, como una persona capaz de diseñar soluciones efectivas, las cuales pueden lograr mejorar de forma muy eficiente el rendimiento en mi área, por lo tanto, las máquinas, equipos e instalaciones de todo tipo se encontrarán en perfectas condiciones de funcionamiento. A largo plazo, me proyecto trabajando en el desarrollo, construcción, operación y mantenimiento de todo artefacto que pueda volar, debido a que es el enfoque en el cual deseo concentrar mi profesión. _x000a_Sabemos que en el área relacionada con el tema aeroespacial y en general con la mecánica es un ambiente el cual se enfrente a constantes cambios lo cual permite la innovación y diseño de nuevas propuestas para la eficiencia de estos. A través de mi formación como ingeniero mecánico y con un énfasis en el área aeroespacial, puedo contribuir y aplicar mis conocimientos para diseñar e innovar en las áreas relacionadas con el transporte aéreo, materiales y tecnologías, las cuales permitan hacer que estas maquinas sean más seguras de lo que ya son y además también pensar en el medio ambiente, como por medio de mi profesión, podemos hallar la forma de crear motores de vuelos sostenibles, de materiales ligeros y de sistemas de gestión energética.  _x000a_La obtención de esta beca representa mucho más que un apoyo económico; es una oportunidad transformadora, la cual, me permitirá concentrarme plenamente en mis estudios, acceder a recursos de excelente calidad académica, Además, el respaldo de la beca es una motivación más a asumir con mayor responsabilidad el compromiso de utilizar mi formación para generar un impacto positivo en la región."/>
    <s v="Amigos"/>
    <s v="Por la calidad académica."/>
    <s v="Vocación."/>
    <n v="2"/>
    <s v="0"/>
    <s v="SI"/>
    <s v="NO"/>
    <s v="Entre 1 y 2 millones"/>
    <s v="No"/>
    <n v="0"/>
    <n v="0"/>
    <m/>
    <s v="SI"/>
    <s v="Beca"/>
    <s v="NO"/>
    <s v=""/>
    <s v=""/>
    <s v="Si"/>
    <s v="Carlos Alberto Henao Oquendo"/>
    <s v="Casado"/>
    <s v="BACHILLERATO"/>
    <s v="52"/>
    <s v="Operario"/>
    <s v="Empleado (con contrato laboral)"/>
    <s v="Operario planta pantalón"/>
    <s v="MODA OXFORD S.A.S"/>
    <n v="1523500"/>
    <s v="Si"/>
    <s v="SI"/>
    <s v="NO"/>
    <s v=""/>
    <s v="Si"/>
    <s v="Luceida Oquendo Quiroz"/>
    <m/>
    <m/>
    <m/>
    <s v="Abogada"/>
    <s v="Labores del hogar y cuidado"/>
    <s v="Ama de casa"/>
    <s v="NINGUNA"/>
    <n v="0"/>
    <s v="Si"/>
    <m/>
    <m/>
    <m/>
    <n v="1523500"/>
    <s v="No, solo vivo con mis padres"/>
    <s v=""/>
    <s v=""/>
    <s v=""/>
    <s v=""/>
    <s v=""/>
    <m/>
    <s v=""/>
    <s v=""/>
    <s v=""/>
    <s v=""/>
    <s v=""/>
    <s v=""/>
    <m/>
    <s v=""/>
    <s v=""/>
    <s v=""/>
    <s v=""/>
    <s v=""/>
    <s v=""/>
    <m/>
    <s v=""/>
    <s v=""/>
    <n v="55487000"/>
    <n v="0"/>
    <n v="0"/>
    <n v="0"/>
    <n v="0"/>
    <s v="No"/>
    <s v=""/>
    <s v=""/>
    <n v="0"/>
    <s v="No"/>
    <s v=""/>
    <s v=""/>
    <n v="0"/>
    <s v="No"/>
    <s v=""/>
    <s v=""/>
    <s v=""/>
    <n v="0"/>
    <m/>
    <n v="4"/>
    <n v="4"/>
    <n v="3"/>
    <n v="4"/>
    <n v="4"/>
    <n v="3"/>
    <n v="4"/>
    <n v="4"/>
    <n v="3"/>
    <n v="4"/>
    <n v="37"/>
    <s v="SI"/>
    <m/>
    <s v="SI, SON PRI"/>
    <s v="ok tienen todos los datos"/>
    <e v="#N/A"/>
    <e v="#N/A"/>
    <m/>
    <n v="3"/>
    <n v="10"/>
    <n v="10"/>
    <n v="10"/>
    <n v="15"/>
    <n v="15"/>
    <n v="15"/>
    <n v="15.5"/>
    <n v="15.5"/>
    <n v="80.5"/>
    <n v="0.4"/>
    <m/>
    <n v="2"/>
    <n v="2.5"/>
    <n v="8"/>
    <n v="3"/>
    <n v="2"/>
    <n v="2.5"/>
    <n v="8"/>
    <n v="3"/>
    <n v="80.5"/>
    <n v="0.5"/>
    <n v="0.5"/>
    <s v="JULIAN HENAO OQUENDO"/>
    <m/>
    <m/>
    <n v="0"/>
    <s v="EN ORDEN"/>
    <n v="0"/>
    <s v="Ingeniería Mecánica"/>
    <s v="Pres. para revision docs nutresa"/>
    <m/>
    <s v="NUTRESA"/>
  </r>
  <r>
    <s v="TI"/>
    <n v="1017930258"/>
    <s v="1000402243"/>
    <s v="MARIA PAULA CORREA MURILLO"/>
    <s v="Estudios por primera vez"/>
    <x v="4"/>
    <s v="No cumple, estrato 4"/>
    <s v="Año graduacion e icfes 2025 - ver colegio"/>
    <s v="En publico objetivo"/>
    <s v="2da Cohorte"/>
    <s v="Admitido"/>
    <s v="mpcorream@eafit.edu.co"/>
    <s v="mpcorream@eafit.edu.co"/>
    <s v="mariapaulacm16@gmail.com"/>
    <s v="573177922229"/>
    <d v="2025-05-16T00:00:00"/>
    <s v="Activo en Programa"/>
    <s v="002-Negocios Internacionales"/>
    <s v="Escuela de Administración"/>
    <d v="2007-07-16T00:00:00"/>
    <n v="18"/>
    <s v="Antioquia"/>
    <s v="Medellín"/>
    <s v="Mujer"/>
    <s v="Soltero"/>
    <s v="NO"/>
    <s v="NO"/>
    <n v="0"/>
    <s v="NO"/>
    <s v="NA"/>
    <s v="NO"/>
    <s v="NA"/>
    <s v="NO"/>
    <s v="NA"/>
    <s v="No"/>
    <s v="604/447-7332"/>
    <s v="573177922229"/>
    <s v="Estrato 4"/>
    <s v="CR 37 A #29 56"/>
    <s v="Antioquia"/>
    <s v="Medellín"/>
    <s v="No aplica, no soy foráneo"/>
    <s v="Arriendo"/>
    <s v="SI"/>
    <s v="2025"/>
    <s v="AC202510906123"/>
    <n v="363"/>
    <n v="74"/>
    <n v="66"/>
    <s v="Privada"/>
    <s v="Colegio sagrado corazón Montemayor"/>
    <n v="2025"/>
    <m/>
    <s v="Medellín"/>
    <s v="Bachillerato"/>
    <s v="Académico"/>
    <m/>
    <s v="11"/>
    <s v="Escala de 0 - 100"/>
    <s v="Escala de 0 - 5"/>
    <s v="4,5"/>
    <s v="4,5"/>
    <m/>
    <s v="4,5"/>
    <s v="4,5"/>
    <m/>
    <n v="5"/>
    <n v="5"/>
    <m/>
    <n v="5"/>
    <n v="4.5"/>
    <m/>
    <s v="4,5"/>
    <s v="4,5"/>
    <m/>
    <s v="4,5"/>
    <s v="4,5"/>
    <m/>
    <s v="4,5"/>
    <s v="4,5"/>
    <m/>
    <s v="De 9 y 10"/>
    <n v="4.875"/>
    <s v="NO"/>
    <s v="NA"/>
    <n v="0"/>
    <n v="0"/>
    <s v="No"/>
    <n v="45"/>
    <m/>
    <n v="45"/>
    <m/>
    <n v="45"/>
    <m/>
    <m/>
    <n v="45"/>
    <s v="Con detalle por componente"/>
    <s v="Trabajo social o comunitario,Espacios de liderazgo o representación social"/>
    <s v="Obtener esta beca en EAFIT significa el principio del cumplimiento de uno de mis más grandes sueños que es estudiar negocios internacionales. Siempre me ha interesado saber cómo funciona el mundo de los negocios, cómo los países y las culturas se interrelacionan y logran potenciar su economía a través de estrategias y esfuerzos en común con el propósito de ser competitivos y de liderar mercados, buscando no solo un beneficio personal, sino colectivo._x000a__x000a_De esta manera me visualizo profesionalmente como una negociadora destacada por su capacidad de liderazgo e innovación, siendo un puente entre Medellín, Colombia y el resto del mundo, con el fin de generar relaciones y vínculos estratégicos que permitan posicionar a nuestro país como actor relevante y competitivo en los mercados internacionales. Sé que mi pasión, visión y mis habilidades pueden aportar al progreso del país, estableciendo conexiones duraderas a nivel empresarial y haciendo equipo con los sectores público y privado, creando alianzas que generen valor a largo plazo._x000a__x000a_Impulsar los startups emergentes representa un paso crucial para valorizar el producto local, fortaleciendo la identidad económica y cultural de la nación. Hablando de nuestro país y por ende de nuestra ciudad, esta iniciativa puede impulsar la economía interna y promover también el desarrollo sostenible, se estimula la competitividad, crecen las ofertas laborales y posiblemente se crean productos con valor agregado capaces de posicionarse en el comercio exterior. Exportar estos productos además de diversificar la economía, también contribuye a hacer más visible y reconocida nuestra nación en el ámbito global."/>
    <s v="Amigos"/>
    <s v="Por la calidad académica."/>
    <s v="Vocación."/>
    <n v="2"/>
    <s v="2"/>
    <s v="NO"/>
    <s v="NO"/>
    <s v="Entre 3 y 4 millones"/>
    <s v="Si"/>
    <n v="0"/>
    <n v="0"/>
    <m/>
    <s v="SI"/>
    <m/>
    <s v="NO"/>
    <s v=""/>
    <s v=""/>
    <s v="Si"/>
    <s v="Rodrigo Alberto Correa Ospina"/>
    <s v="Casado"/>
    <s v="UNIVERSITARIOS"/>
    <s v="50"/>
    <s v="ADMINISTRADOR"/>
    <s v="Emprendedor (inicia un proyecto productivo o negocio propio)"/>
    <s v="Administrador"/>
    <s v="Artesanal buen pan"/>
    <n v="4000000"/>
    <s v="Si"/>
    <s v="NO"/>
    <s v="NO"/>
    <s v=""/>
    <s v="Si"/>
    <s v="Catherine Estrella Murillo Gallo"/>
    <s v="Soltero"/>
    <s v="UNIVERSITARIOS"/>
    <s v="58"/>
    <s v="Auxiliar contable"/>
    <s v="Empleado (con contrato laboral)"/>
    <s v="Cartera"/>
    <s v="Autos, Camperos y Camionetas"/>
    <n v="1423500"/>
    <s v="Si"/>
    <s v="NO"/>
    <s v="NO"/>
    <m/>
    <n v="5423500"/>
    <s v="No, solo vivo con mis padres"/>
    <s v=""/>
    <s v=""/>
    <s v=""/>
    <s v=""/>
    <s v=""/>
    <m/>
    <s v=""/>
    <s v=""/>
    <s v=""/>
    <s v=""/>
    <s v=""/>
    <s v=""/>
    <m/>
    <s v=""/>
    <s v=""/>
    <s v=""/>
    <s v=""/>
    <s v=""/>
    <s v=""/>
    <m/>
    <s v=""/>
    <s v=""/>
    <n v="210000000"/>
    <n v="500000000"/>
    <n v="0"/>
    <n v="0"/>
    <n v="0"/>
    <s v="Si"/>
    <s v="Volkswagen"/>
    <s v="2016"/>
    <n v="35000000"/>
    <s v="No"/>
    <s v=""/>
    <s v=""/>
    <n v="0"/>
    <s v="No"/>
    <s v=""/>
    <s v=""/>
    <s v=""/>
    <n v="0"/>
    <s v="Es vivienda familiar con un derecho equivalente al 40% y la otra vivienda del 20%"/>
    <n v="4"/>
    <n v="4"/>
    <n v="4"/>
    <n v="4"/>
    <n v="4"/>
    <n v="3"/>
    <n v="3"/>
    <n v="4"/>
    <n v="3"/>
    <n v="4"/>
    <n v="37"/>
    <s v="SI"/>
    <s v="SI, TIPO IE"/>
    <s v="PRI SIN TIPO IE"/>
    <s v="pendiente tipo ie"/>
    <e v="#N/A"/>
    <e v="#N/A"/>
    <m/>
    <n v="3"/>
    <n v="4"/>
    <n v="4"/>
    <n v="15"/>
    <n v="20"/>
    <n v="15"/>
    <n v="15"/>
    <n v="11"/>
    <n v="8.5"/>
    <n v="77.5"/>
    <n v="0.4"/>
    <n v="0.4"/>
    <n v="2"/>
    <n v="3.5"/>
    <n v="3"/>
    <n v="0"/>
    <n v="2"/>
    <n v="3"/>
    <n v="6"/>
    <n v="0"/>
    <n v="80"/>
    <n v="0.4"/>
    <s v="Negado"/>
    <e v="#N/A"/>
    <m/>
    <m/>
    <s v="SI, TIPO IE"/>
    <m/>
    <m/>
    <s v="Negocios Internacionales"/>
    <e v="#N/A"/>
    <m/>
    <e v="#N/A"/>
  </r>
  <r>
    <s v="TI"/>
    <n v="1017930280"/>
    <s v="1000403765"/>
    <s v="SIMÓN ECHEVERRI GRAJALES"/>
    <s v="Estudios por primera vez"/>
    <x v="7"/>
    <s v="Descartado por ingresos altos"/>
    <m/>
    <s v="En publico objetivo"/>
    <s v="1er Cohorte"/>
    <s v="Admitido"/>
    <s v="secheverg4@eafit.edu.co"/>
    <s v="secheverg4@eafit.edu.co"/>
    <s v="simonecheverri2007@gmail.com"/>
    <s v="573052572322"/>
    <d v="2025-04-25T00:00:00"/>
    <s v="Activo en Programa"/>
    <s v="237-Diseño Interactivo"/>
    <s v="Escuela de Artes y Humanidades"/>
    <d v="2007-07-20T00:00:00"/>
    <n v="18"/>
    <s v="Antioquia"/>
    <s v="Medellín"/>
    <s v="Hombre"/>
    <s v="Soltero"/>
    <s v="NO"/>
    <s v="NO"/>
    <n v="0"/>
    <s v="NO"/>
    <s v="NA"/>
    <s v="NO"/>
    <s v="NA"/>
    <s v="NO"/>
    <s v="NA"/>
    <s v="No"/>
    <s v="314/543-3143"/>
    <s v="573052572322"/>
    <s v="Estrato 2"/>
    <s v="CL 44 A 96 35"/>
    <s v="Antioquia"/>
    <s v="Medellín"/>
    <s v="No aplica, no soy foráneo"/>
    <s v="Arriendo"/>
    <s v="SI"/>
    <s v="2024"/>
    <s v="AC202430215848"/>
    <n v="320"/>
    <n v="74"/>
    <n v="58"/>
    <s v="Privada"/>
    <s v="COLEGIO LONDRES"/>
    <n v="2024"/>
    <s v="Antioquia"/>
    <s v="Sabaneta"/>
    <s v="BACHILLER"/>
    <s v="ACAD"/>
    <s v="TIPO: Privada, INSTITUCION: COLEGIO LONDRES, AÑO: 2024, CIUDAD: Medellín, TITULO: BACHILLER"/>
    <s v="11"/>
    <s v="Escala de 0 - 5"/>
    <s v="Escala de 0 - 5"/>
    <s v="4"/>
    <s v="4"/>
    <m/>
    <s v="4"/>
    <s v="4,5"/>
    <m/>
    <n v="4.5"/>
    <n v="4"/>
    <m/>
    <n v="4"/>
    <n v="4"/>
    <m/>
    <s v="4"/>
    <s v="4,5"/>
    <m/>
    <s v="4,5"/>
    <s v="4,5"/>
    <m/>
    <s v="4,5"/>
    <s v="4,5"/>
    <m/>
    <s v="De 9 y 10"/>
    <n v="4.125"/>
    <s v="NO"/>
    <s v="NA"/>
    <n v="0"/>
    <n v="0"/>
    <s v="No"/>
    <n v="40"/>
    <m/>
    <n v="35"/>
    <m/>
    <n v="40"/>
    <m/>
    <s v="El aspirante manifiesta interés por los idiomas, incluso, ha pensado en presentarse a Negocios Internacionales. Dice estar convencido de que Diseño Interactivo es su carrera, pero indica que tienen intereses en temas empresariales y que ser negociador internacional no le aseguraría empleo."/>
    <n v="38.333333333333336"/>
    <s v="Con detalle por componente"/>
    <s v="Deportistas de alto rendimiento o representativo"/>
    <s v="Cuando pienso en mi futuro como diseñador interactivo, me imagino creando experiencias digitales que conecten a las personas, que les enseñen algo nuevo o que les faciliten la vida. Me apasiona la idea de unir la creatividad con la tecnología para resolver problemas reales. No quiero diseñar solo por diseño; quiero que lo que haga tenga un impacto positivo en la gente, en mi comunidad y en mi entorno._x000a__x000a_Diseño Interactivo es una carrera que me permite soñar en grande: desarrollar aplicaciones educativas para niños de zonas rurales, crear juegos que promuevan valores o diseñar espacios digitales donde emprendedores puedan mostrar sus ideas. Sé que puedo aportar con soluciones innovadoras y accesibles, pensadas desde lo local pero con proyección global._x000a__x000a_La beca es fundamental para mí porque representa una oportunidad que no solo beneficia mi futuro, sino también el de quienes me rodean. Sin ese apoyo, estudiar en EAFIT sería mucho más difícil, pero con él puedo dedicarme de lleno a formarme, a aprender y a crecer como profesional._x000a__x000a_Gracias a esta beca, podré estudiar con tranquilidad y en el futuro aplicar mis conocimientos para transformar mi región. Quiero que más jóvenes como yo descubran que es posible hacer cosas grandes desde donde estamos, que nuestras ideas valen y que con trabajo y dedicación podemos marcar la diferencia."/>
    <s v="Referencias familiares"/>
    <s v="Por la calidad académica."/>
    <s v="Vocación."/>
    <n v="3"/>
    <s v="1"/>
    <s v="SI"/>
    <s v="NO"/>
    <s v="Entre 3 y 4 millones"/>
    <s v="No"/>
    <s v="SI"/>
    <s v="SI"/>
    <s v="Crédito entidad externa"/>
    <s v="NO"/>
    <m/>
    <s v="NO"/>
    <s v=""/>
    <s v=""/>
    <s v="Si"/>
    <s v="Jorge Hernán Echeverri Paniagua"/>
    <s v="Soltero"/>
    <s v="MAESTRÍA"/>
    <s v="61"/>
    <s v="Comunicador social"/>
    <s v="Empleado (con contrato laboral)"/>
    <s v="profesional universitario"/>
    <s v="alcaldia de medellin"/>
    <n v="7000000"/>
    <s v="No"/>
    <s v="NO"/>
    <s v="SI"/>
    <s v="una persona bastante cálida demasiado responsable muy respetuoso, atento y paciente"/>
    <s v="Si"/>
    <s v="Diana Grajales Castaño"/>
    <s v="Soltero"/>
    <s v="ESPECIALIZACIÓN"/>
    <s v="48"/>
    <s v="ingeniera informática"/>
    <s v="Independiente (trabaja por cuenta propia)"/>
    <s v="Scrum Master - PM"/>
    <s v="trabaja independiente"/>
    <n v="10400000"/>
    <s v="Si"/>
    <s v="SI"/>
    <s v="NO"/>
    <s v="una persona muy trabajadora, atenta, responsable, amable que siempre quiere lo mejor para sus hijos"/>
    <n v="17400000"/>
    <s v="Si"/>
    <s v="Dulce Maria Zuleta Grajales"/>
    <s v="Hermano / Hermana"/>
    <s v="4"/>
    <s v="Ninguna"/>
    <s v="Ninguna"/>
    <n v="0"/>
    <s v="No"/>
    <s v=""/>
    <s v=""/>
    <s v=""/>
    <s v=""/>
    <s v=""/>
    <m/>
    <s v=""/>
    <s v=""/>
    <s v=""/>
    <s v=""/>
    <s v=""/>
    <s v=""/>
    <m/>
    <s v=""/>
    <s v=""/>
    <n v="300000000"/>
    <n v="300000000"/>
    <n v="0"/>
    <n v="0"/>
    <n v="0"/>
    <s v="No"/>
    <s v=""/>
    <s v=""/>
    <n v="0"/>
    <s v="No"/>
    <s v=""/>
    <s v=""/>
    <n v="0"/>
    <s v="No"/>
    <s v=""/>
    <s v=""/>
    <s v=""/>
    <n v="0"/>
    <s v="mis padres tienen una casa y un apartamento ambos estan en arriendo"/>
    <n v="4"/>
    <n v="3"/>
    <n v="3"/>
    <n v="3"/>
    <n v="3"/>
    <n v="4"/>
    <n v="3"/>
    <n v="4"/>
    <n v="4"/>
    <n v="4"/>
    <n v="35"/>
    <s v="SI"/>
    <m/>
    <s v="SI, SON PRI"/>
    <s v="ok tienen todos los datos"/>
    <e v="#N/A"/>
    <e v="#N/A"/>
    <m/>
    <n v="3"/>
    <n v="10"/>
    <n v="10"/>
    <n v="5"/>
    <n v="15"/>
    <n v="15"/>
    <n v="10"/>
    <n v="5"/>
    <n v="5.5"/>
    <n v="60.5"/>
    <n v="0.4"/>
    <m/>
    <n v="2"/>
    <n v="3.5"/>
    <n v="0"/>
    <n v="0"/>
    <n v="2"/>
    <n v="3"/>
    <n v="0"/>
    <n v="0"/>
    <n v="60"/>
    <n v="0.4"/>
    <s v="Negado"/>
    <e v="#N/A"/>
    <m/>
    <m/>
    <n v="0"/>
    <m/>
    <m/>
    <s v="Diseño Interactivo"/>
    <e v="#N/A"/>
    <m/>
    <e v="#N/A"/>
  </r>
  <r>
    <s v="TI"/>
    <n v="1017930342"/>
    <s v="1000404890"/>
    <s v="SEBASTIAN GUZMAN CASTILLA"/>
    <s v="Estudios por primera vez"/>
    <x v="1"/>
    <s v="No cumple, estrato 4"/>
    <m/>
    <s v="En publico objetivo"/>
    <s v="1er Cohorte"/>
    <s v="Admitido"/>
    <s v="sguzmanc@eafit.edu.co"/>
    <e v="#N/A"/>
    <s v="sebasguzman2723@gmail.com"/>
    <s v="573162749101"/>
    <d v="2025-04-25T00:00:00"/>
    <s v="Activo en Programa"/>
    <s v="084-Derecho"/>
    <s v="Escuela de Derecho"/>
    <d v="2007-07-27T00:00:00"/>
    <n v="18"/>
    <s v="Antioquia"/>
    <s v="Medellín"/>
    <s v="Hombre"/>
    <s v="Soltero"/>
    <s v="NO"/>
    <s v="NO"/>
    <n v="0"/>
    <s v="NO"/>
    <s v="NA"/>
    <s v="NO"/>
    <s v="NA"/>
    <s v="NO"/>
    <s v="NA"/>
    <s v="No"/>
    <s v="316/274-9101"/>
    <s v="573162749101"/>
    <s v="Estrato 4"/>
    <s v="CR 63 36 19"/>
    <s v="Antioquia"/>
    <s v="Medellín"/>
    <s v="Si"/>
    <s v="Propio"/>
    <s v="SI"/>
    <s v="2024"/>
    <s v="AC202431088244"/>
    <n v="345"/>
    <n v="69"/>
    <n v="70"/>
    <s v="Privada"/>
    <s v="COOP  CARLOS ARTURO ROLDAN BET"/>
    <n v="2024"/>
    <s v="Antioquia"/>
    <s v="Apartadó"/>
    <s v="BACHILLER"/>
    <s v="ACAD"/>
    <s v="TIPO: Privada, INSTITUCION: COOP  CARLOS ARTURO ROLDAN BET, AÑO: 2024, CIUDAD: Apartadó, TITULO: BACHILLER"/>
    <s v="11"/>
    <s v="Escala de 0 - 5"/>
    <s v="Escala de 0 - 5"/>
    <s v="5"/>
    <s v="5"/>
    <m/>
    <s v="4,6"/>
    <s v="4,7"/>
    <m/>
    <n v="4.7"/>
    <n v="4.5"/>
    <m/>
    <n v="5"/>
    <n v="5"/>
    <m/>
    <s v="5"/>
    <s v="5"/>
    <m/>
    <s v="5"/>
    <s v="4,7"/>
    <m/>
    <s v="5"/>
    <s v="5"/>
    <m/>
    <s v="De 9 y 10"/>
    <n v="4.8"/>
    <s v="NO"/>
    <s v="NA"/>
    <n v="0"/>
    <n v="0"/>
    <s v="No"/>
    <n v="35"/>
    <m/>
    <n v="35"/>
    <m/>
    <n v="35"/>
    <m/>
    <m/>
    <n v="35"/>
    <s v="Con detalle por componente"/>
    <s v="Deportistas de alto rendimiento o representativo,Espacios de liderazgo o representación social,Trabajo social o comunitario"/>
    <s v="Está región tiene una historia cargada de violencia, desplazamientos, violación de derechos., los cuales hace apenas unos años se han venido reconociendo a las victimas el daño causado, no solo se recibe ayudas por parte del estado sino también por algunas organizaciones particulares en pro de la defensa de sus derechos, pero igual mente muchas veces se presenten muchas injusticias y la mayoría de víctimas son personas pertenecientes a una población vulnerable la mayoría personas de zonas rurales y que no cuentan con los recursos necesarios. Con la ayuda de esta beca en un futuro me veo logrando formar un colectivo de profesionales con el fin de ayudar a la población más vulnerable donde la mayoría de veces se presentan muchos casos de violación hacia sus derechos como personas, con esta ellos podrán acceder a diferentes tipos de asesorías legales en pro a sus derechos y se sientan protegidos y seguros., con esto al mismo tiempo ayudando al desarrollo de la región y sus diferentes proyectos ya que una región donde se respeten los derechos de todas las personas es una región próspera para el desarrollo y el crecimiento de la misma."/>
    <s v="A través del Colegio"/>
    <s v="Por la calidad académica."/>
    <s v="Vocación."/>
    <n v="2"/>
    <s v="1"/>
    <s v="NO"/>
    <s v="NO"/>
    <s v="Entre 8 y 9 millones"/>
    <s v="No"/>
    <s v="SI"/>
    <n v="0"/>
    <m/>
    <s v="SI"/>
    <s v="Beca"/>
    <s v="NO"/>
    <s v=""/>
    <s v=""/>
    <s v="Si"/>
    <s v="Dario Alberto Guzman Bedoya"/>
    <s v="Casado"/>
    <s v="MAESTRÍA"/>
    <s v="50"/>
    <s v="Abogado"/>
    <s v="Independiente (trabaja por cuenta propia)"/>
    <s v="Abogado independiente"/>
    <s v="Independiente"/>
    <n v="7000000"/>
    <s v="No"/>
    <s v="SI"/>
    <s v="NO"/>
    <s v=""/>
    <s v="Si"/>
    <s v="Gloria Alexandra Castilla Aguirre"/>
    <s v="Soltero"/>
    <s v="MAESTRÍA"/>
    <s v="52"/>
    <s v="Administradora de empresas"/>
    <s v="Independiente (trabaja por cuenta propia)"/>
    <s v="asesora empresas ganaderas"/>
    <s v="Independiente"/>
    <n v="4200000"/>
    <s v="Si"/>
    <s v="NO"/>
    <s v="NO"/>
    <m/>
    <n v="11200000"/>
    <s v="Si"/>
    <s v="laura restrepo castilla"/>
    <s v="Hermano / Hermana"/>
    <s v="25"/>
    <s v="Estudiante"/>
    <s v="Ninguna"/>
    <n v="1350000"/>
    <s v="No"/>
    <s v=""/>
    <s v=""/>
    <s v=""/>
    <s v=""/>
    <s v=""/>
    <m/>
    <s v=""/>
    <s v=""/>
    <s v=""/>
    <s v=""/>
    <s v=""/>
    <s v=""/>
    <m/>
    <s v=""/>
    <s v=""/>
    <n v="0"/>
    <n v="0"/>
    <n v="0"/>
    <n v="0"/>
    <n v="0"/>
    <s v="Si"/>
    <s v="chevrolet aveo"/>
    <s v="2010"/>
    <n v="20000000"/>
    <s v="No"/>
    <s v=""/>
    <s v=""/>
    <n v="0"/>
    <s v="No"/>
    <s v=""/>
    <s v=""/>
    <s v=""/>
    <n v="0"/>
    <m/>
    <n v="4"/>
    <n v="4"/>
    <n v="4"/>
    <n v="4"/>
    <n v="3"/>
    <n v="4"/>
    <n v="4"/>
    <n v="4"/>
    <n v="3"/>
    <n v="4"/>
    <n v="38"/>
    <s v="SI"/>
    <m/>
    <s v="SI, SON PRI"/>
    <s v="ok tienen todos los datos"/>
    <e v="#N/A"/>
    <e v="#N/A"/>
    <m/>
    <n v="2"/>
    <n v="4"/>
    <n v="4"/>
    <n v="10"/>
    <n v="20"/>
    <n v="15"/>
    <n v="5"/>
    <n v="8"/>
    <n v="7.5"/>
    <n v="61.5"/>
    <n v="0.4"/>
    <m/>
    <n v="2"/>
    <n v="2.5"/>
    <n v="0"/>
    <n v="3"/>
    <n v="2"/>
    <n v="2.5"/>
    <n v="0"/>
    <n v="3.5"/>
    <n v="62"/>
    <n v="0.4"/>
    <n v="0.4"/>
    <e v="#N/A"/>
    <m/>
    <m/>
    <n v="0"/>
    <m/>
    <m/>
    <s v="Derecho"/>
    <e v="#N/A"/>
    <s v="084"/>
    <e v="#N/A"/>
  </r>
  <r>
    <s v="TI"/>
    <n v="1017930430"/>
    <s v="1000396166"/>
    <s v="ESTEBAN MARIN QUIROZ"/>
    <s v="Estudios por primera vez"/>
    <x v="1"/>
    <s v="Descartado por ingresos altos"/>
    <s v="Vehículo"/>
    <s v="En publico objetivo"/>
    <s v="2da Cohorte"/>
    <s v="Admitido"/>
    <s v="emarinq@eafit.edu.co"/>
    <s v="emarinq@eafit.edu.co"/>
    <s v="estebanmquiroz97@gmail.com"/>
    <s v="573106512281"/>
    <d v="2025-05-16T00:00:00"/>
    <s v="Activo en Programa"/>
    <s v="199-Finanzas"/>
    <s v="E.Finanzas, Economía, Gobierno"/>
    <d v="2007-07-30T00:00:00"/>
    <n v="18"/>
    <s v="Antioquia"/>
    <s v="Medellín"/>
    <s v="Hombre"/>
    <s v="Soltero"/>
    <s v="NO"/>
    <s v="NO"/>
    <n v="0"/>
    <s v="NO"/>
    <s v="NA"/>
    <s v="NO"/>
    <s v="NA"/>
    <s v="NO"/>
    <s v="NA"/>
    <s v="No"/>
    <s v="310/626-7337"/>
    <s v="573106512281"/>
    <s v="Estrato 3"/>
    <s v="CL 106 B #74 22"/>
    <s v="Antioquia"/>
    <s v="Medellín"/>
    <s v="No aplica, no soy foráneo"/>
    <s v="Arriendo"/>
    <s v="SI"/>
    <s v="2024"/>
    <s v="AC202433190204"/>
    <n v="375"/>
    <n v="77"/>
    <n v="77"/>
    <s v="Privada"/>
    <s v="COLEGIO SAN JOSÉ DE LA SALLE"/>
    <n v="2024"/>
    <s v="Antioquia"/>
    <s v="Medellín"/>
    <s v="BACHILLER"/>
    <s v="ACAD"/>
    <s v="TIPO: Privada, INSTITUCION: COLEGIO SAN JOSÉ DE LA SALLE, AÑO: 2024, CIUDAD: Medellín, TITULO: BACHILLER"/>
    <s v="11"/>
    <s v="Escala de 0 - 5"/>
    <s v="Escala de 0 - 5"/>
    <s v="4,5"/>
    <s v="4,4"/>
    <m/>
    <s v="4,4"/>
    <s v="4,5"/>
    <m/>
    <n v="4.4000000000000004"/>
    <n v="4.5"/>
    <m/>
    <n v="4.5"/>
    <n v="4.5"/>
    <m/>
    <s v="4,5"/>
    <s v="4,5"/>
    <m/>
    <s v="4,5"/>
    <s v="4,5"/>
    <m/>
    <s v="4,5"/>
    <s v="4,5"/>
    <m/>
    <s v="De 9 y 10"/>
    <n v="4.4749999999999996"/>
    <s v="NO"/>
    <s v="NA"/>
    <n v="0"/>
    <n v="0"/>
    <s v="No"/>
    <n v="45"/>
    <m/>
    <n v="45"/>
    <m/>
    <n v="50"/>
    <m/>
    <s v="Muy seguro de querer estudiar Finanzas, saco 375 en saber 11, una entrevista destacada"/>
    <n v="46.666666666666664"/>
    <s v="Con detalle por componente"/>
    <s v="Otras (por ejemplo, un talento extraordinario),Deportistas de alto rendimiento o representativo"/>
    <s v="Desde que tomé la decisión de estudiar Finanzas, me visualizo trabajando en una empresa con proyección internacional, ayudando a gestionar el capital de manera estratégica y ética. Me apasiona entender cómo se mueve el dinero, cómo tomar decisiones informadas y cómo hacer que los recursos generen bienestar, no solo en las empresas, sino también en las personas y comunidades._x000a__x000a_A largo plazo, me encantaría crear un programa de educación financiera accesible para jóvenes y familias en mi comunidad, en Pedregal. Muchas veces, las malas decisiones económicas no se dan por falta de interés, sino por falta de conocimiento. Yo quiero aportar a cambiar eso. La educación financiera es una herramienta poderosa que puede transformar vidas, y me motiva la idea de ser un puente entre el conocimiento académico y las realidades de quienes más lo necesitan._x000a__x000a_Obtener esta beca sería una oportunidad inmensa para avanzar hacia ese propósito. No solo aliviaría la carga económica de mis estudios, sino que me permitiría concentrarme plenamente en formarme como un profesional íntegro, con las herramientas necesarias para devolverle algo valioso a mi ciudad. Medellín necesita jóvenes comprometidos con el desarrollo, la equidad y la transformación social. Y yo quiero ser parte activa de ese cambio, empezando por mi gente y mi historia."/>
    <s v="Estudiantes de EAFIT"/>
    <s v="Por la calidad académica."/>
    <s v="Alta proyección de ingresos."/>
    <n v="3"/>
    <s v="0"/>
    <s v="SI"/>
    <s v="NO"/>
    <s v="Entre 6 y 7 millones"/>
    <s v="Si"/>
    <s v="SI"/>
    <s v="SI"/>
    <s v="Crédito entidad externa"/>
    <s v="SI"/>
    <s v="Beca"/>
    <s v="NO"/>
    <s v=""/>
    <s v=""/>
    <s v="Sin información"/>
    <n v="0"/>
    <m/>
    <m/>
    <m/>
    <s v=""/>
    <s v=""/>
    <m/>
    <s v=""/>
    <m/>
    <s v=""/>
    <m/>
    <m/>
    <s v="Nunca ha estado presente económicamente ni emocionalmente."/>
    <s v="Si"/>
    <s v="Cris Valerin Quiroz Castaño"/>
    <s v="Otro"/>
    <s v="BACHILLERATO"/>
    <s v="36"/>
    <s v="ama de casa"/>
    <s v="Labores del hogar y cuidado"/>
    <s v="Ama de casa, cuidado del hogar."/>
    <s v="N/A"/>
    <n v="0"/>
    <s v="Si"/>
    <s v="NO"/>
    <s v="NO"/>
    <s v="Se dedica al cuidado de la casa, de su madre (mi abuela) y del aspirante (yo)."/>
    <n v="0"/>
    <s v="Si"/>
    <s v="Adolfo Leon Lopez Patiño"/>
    <s v="PADRASTRO"/>
    <s v="45"/>
    <s v="Agropecuario (Piscicultor)"/>
    <s v="Particular"/>
    <n v="6350000"/>
    <s v="Si"/>
    <s v="Maria Zobeida Castaño Marulanda"/>
    <s v="Abuelo / Abuela"/>
    <s v="69"/>
    <s v="Pensionada/Jubilada"/>
    <s v="Fuerzas Militares de Colombia"/>
    <n v="2100000"/>
    <s v="No"/>
    <s v=""/>
    <s v=""/>
    <s v=""/>
    <s v=""/>
    <s v=""/>
    <m/>
    <s v=""/>
    <s v="Adolfo Leon Lopez (Familiar 1), es el padrastro del aspirante y pareja sentimental de la madre hace 7 años."/>
    <n v="0"/>
    <n v="0"/>
    <n v="0"/>
    <n v="0"/>
    <n v="0"/>
    <s v="Si"/>
    <s v="FORD"/>
    <s v="2017"/>
    <n v="70000000"/>
    <s v="No"/>
    <s v=""/>
    <s v=""/>
    <n v="0"/>
    <s v="No"/>
    <s v=""/>
    <s v=""/>
    <s v=""/>
    <n v="0"/>
    <s v="Hubo perdida de algunos bienes anteriores, luego tuvimos la oportunidad de obtener el vehículo."/>
    <n v="4"/>
    <n v="4"/>
    <n v="3"/>
    <n v="4"/>
    <n v="4"/>
    <n v="4"/>
    <n v="2"/>
    <n v="3"/>
    <n v="4"/>
    <n v="3"/>
    <n v="35"/>
    <s v="SI"/>
    <m/>
    <s v="SI, SON PRI"/>
    <s v="ok tienen todos los datos"/>
    <e v="#N/A"/>
    <e v="#N/A"/>
    <m/>
    <n v="2"/>
    <n v="10"/>
    <n v="8"/>
    <n v="15"/>
    <n v="15"/>
    <n v="15"/>
    <n v="20"/>
    <n v="18.5"/>
    <n v="18.5"/>
    <n v="93.5"/>
    <n v="0.6"/>
    <m/>
    <n v="2"/>
    <n v="4.5"/>
    <n v="8"/>
    <n v="4"/>
    <n v="2"/>
    <n v="4"/>
    <n v="8"/>
    <n v="4.5"/>
    <n v="91.5"/>
    <n v="0.7"/>
    <n v="0.8"/>
    <e v="#N/A"/>
    <m/>
    <m/>
    <n v="0"/>
    <s v="EN ORDEN"/>
    <n v="0"/>
    <s v="Finanzas"/>
    <s v="Pres. para revision docs nutresa"/>
    <s v="199"/>
    <e v="#N/A"/>
  </r>
  <r>
    <s v="TI"/>
    <n v="1017930782"/>
    <s v="1000403425"/>
    <s v="MARIA ANTONIA SÁNCHEZ GUERRERO"/>
    <s v="Estudios por primera vez"/>
    <x v="1"/>
    <s v="Descartado por propiedades"/>
    <m/>
    <s v="En publico objetivo"/>
    <s v="1er Cohorte"/>
    <s v="Admitido"/>
    <s v="masancheg2@eafit.edu.co"/>
    <s v="masancheg2@eafit.edu.co"/>
    <s v="mantoniasguerrero@gmail.com"/>
    <s v="573182608313"/>
    <d v="2025-04-25T00:00:00"/>
    <s v="Activo en Programa"/>
    <s v="237-Diseño Interactivo"/>
    <s v="Escuela de Artes y Humanidades"/>
    <d v="2007-10-01T00:00:00"/>
    <n v="18"/>
    <s v="Antioquia"/>
    <s v="Medellín"/>
    <s v="Mujer"/>
    <s v="Soltero"/>
    <s v="NO"/>
    <s v="NO"/>
    <n v="0"/>
    <s v="NO"/>
    <s v="NA"/>
    <s v="NO"/>
    <s v="NA"/>
    <s v="NO"/>
    <s v="NA"/>
    <s v="No"/>
    <s v="604/545-9037"/>
    <s v="573182608313"/>
    <s v="Estrato 3"/>
    <s v="CL 77 SUR #46 180"/>
    <s v="Antioquia"/>
    <s v="Sabaneta"/>
    <s v="No aplica, no soy foráneo"/>
    <s v="Arriendo"/>
    <s v="SI"/>
    <s v="2024"/>
    <s v="AC202430965459"/>
    <n v="339"/>
    <n v="70"/>
    <n v="68"/>
    <s v="Privada"/>
    <s v="COLEGIO ANTONINO"/>
    <n v="2024"/>
    <s v="Antioquia"/>
    <s v="La Estrella"/>
    <s v="BACHILLER"/>
    <s v="ACAD"/>
    <s v="TIPO: Privada, INSTITUCION: COLEGIO ANTONINO, AÑO: 2024, CIUDAD: La Estrella, TITULO: BACHILLER"/>
    <s v="11"/>
    <s v="Escala de 0 - 5"/>
    <s v="Escala de 0 - 5"/>
    <s v="4,1"/>
    <s v="4,1"/>
    <m/>
    <s v="4,5"/>
    <s v="4,5"/>
    <m/>
    <n v="3.5"/>
    <n v="3.9"/>
    <m/>
    <n v="4"/>
    <n v="4.2"/>
    <m/>
    <s v="4"/>
    <s v="4,5"/>
    <m/>
    <s v="3,9"/>
    <s v="4,2"/>
    <m/>
    <s v="3,9"/>
    <s v="4,5"/>
    <m/>
    <s v="De 9 y 10"/>
    <n v="3.9000000000000004"/>
    <s v="NO"/>
    <s v="NA"/>
    <n v="0"/>
    <n v="0"/>
    <s v="No"/>
    <n v="50"/>
    <m/>
    <n v="45"/>
    <m/>
    <n v="50"/>
    <m/>
    <s v="Necesita información sobre ayuda financiera."/>
    <n v="48.333333333333336"/>
    <s v="Con detalle por componente"/>
    <s v="Artísticas o culturales"/>
    <s v="En mi búsqueda de una carrera que reflejara mis intereses y pasiones, descubrí Diseño Interactivo en la Universidad EAFIT y supe que eran el lugar y el programa perfectos para mí. Lo que más me atrae de Eafit es su enfoque práctico y creativo. Aquí no solo aprenderé teoría, sino que podré trabajar en proyectos reales y ver cómo mis ideas toman forma. La posibilidad de experimentar, probar y crear me emociona porque cada paso que dé me acercará más a lo que siempre soñé._x000a__x000a_Además, me encanta la visión humana y abierta de EAFIT. No se trata solo de formar grandes profesionales, sino de enseñar a usar el conocimiento para aportar a la sociedad. Me motiva saber que con lo que aprenda podré crear soluciones que hagan la tecnología más accesible para todos, especialmente para personas con discapacidades. Mi pasión por el diseño no es solo una forma de desarrollar mi creatividad, sino una oportunidad para construir herramientas digitales más inclusivas._x000a__x000a_Siento que en EAFIT encuentro el equilibrio perfecto entre el ser y el hacer._x000a__x000a_Me imagino ejerciendo mi profesión con pasión, diseñando proyectos que realmente cambien vidas. Quiero desarrollar soluciones que abran puertas y derriben barreras, permitiendo que la tecnología sea accesible para todos. Sueño con un futuro donde mi trabajo inspire a otros y transforme la manera en que vivimos. ¿Y si cada idea fuera un paso hacia un mundo más inclusivo? ¿Podré motivar a otros a usar la tecnología para romper límites? Estas preguntas me llenan de energía y me impulsan a seguir adelante, convencida de que cada pequeño paso puede marcar la diferencia._x000a__x000a_Muchas gracias por su atención."/>
    <s v="Amigos"/>
    <s v="Por la calidad académica."/>
    <s v="Vocación."/>
    <n v="3"/>
    <s v="1"/>
    <s v="SI"/>
    <s v="NO"/>
    <s v="Entre 1 y 2 millones"/>
    <s v="Si"/>
    <n v="0"/>
    <n v="0"/>
    <m/>
    <s v="SI"/>
    <s v="Beca"/>
    <s v="NO"/>
    <s v=""/>
    <s v=""/>
    <s v="Si"/>
    <s v="Juan Edinson Sánchez Sánchez"/>
    <s v="Casado"/>
    <s v="UNIVERSITARIOS"/>
    <s v="52"/>
    <s v="Ingeniería mecanica"/>
    <s v="Otra"/>
    <s v="mecanico"/>
    <s v="ASEM"/>
    <n v="0"/>
    <s v="Si"/>
    <s v="NO"/>
    <s v="NO"/>
    <s v="Tenemos un negocio (taller electromecánico ) desde el año 2000, ha crecido satisfactoriamente;  por lo que mi madre empezó a trabajar en él desde el año 2016, pero en la actualidad y desde hace 2 años venimos batallando con la condición de salud y un diagnóstico de carcinoma papilar tiroideo que afecta a mi padre y que ha disminuido los ingresos familiares , ya que no puede ejercer completamente las funciones como antes."/>
    <s v="Si"/>
    <s v="Angela Maria Guerrero Herrera"/>
    <s v="Casado"/>
    <s v="UNIVERSITARIOS"/>
    <s v="46"/>
    <s v="Secretaria"/>
    <s v="Empleado (con contrato laboral)"/>
    <s v="secretaria"/>
    <s v="ASEM"/>
    <n v="1700000"/>
    <s v="Si"/>
    <s v="SI"/>
    <s v="NO"/>
    <s v="Es bacterióloga de profesión, se desempeña como secretaria en el negocio familiar, en este momento es la principal entrada económica del hogar."/>
    <n v="1700000"/>
    <s v="Si"/>
    <s v="Julieta Sanchez Guerrero"/>
    <s v="Hermano / Hermana"/>
    <s v="13"/>
    <s v="Estudiante"/>
    <s v="Colegio Antonino"/>
    <n v="0"/>
    <s v="No"/>
    <s v=""/>
    <s v=""/>
    <s v=""/>
    <s v=""/>
    <s v=""/>
    <m/>
    <s v=""/>
    <s v=""/>
    <s v=""/>
    <s v=""/>
    <s v=""/>
    <s v=""/>
    <m/>
    <s v=""/>
    <s v="Siempre hemos sido una familia unida y amorosa, nos gusta pasar tiempo juntos y compartir actividades, cuando surgen dificultades tratamos de hablar buscando soluciones y antetodo respetandonos como individuos."/>
    <n v="141000000"/>
    <n v="87212000"/>
    <n v="0"/>
    <n v="230000000"/>
    <n v="0"/>
    <s v="Si"/>
    <s v="Suzuki vitara live"/>
    <s v="2020"/>
    <n v="47000000"/>
    <s v="No"/>
    <s v=""/>
    <s v=""/>
    <n v="0"/>
    <s v="Si"/>
    <s v="Moto"/>
    <s v="Auteco kymco"/>
    <s v="2019"/>
    <n v="3000000"/>
    <s v="El apartamento en que habitamos se paga mensual por leasing habitacional a Da Vivienda, está avaluado 399000000"/>
    <n v="4"/>
    <n v="3"/>
    <n v="4"/>
    <n v="4"/>
    <n v="4"/>
    <n v="3"/>
    <n v="4"/>
    <n v="4"/>
    <n v="4"/>
    <n v="4"/>
    <n v="38"/>
    <s v="SI"/>
    <m/>
    <s v="SI, SON PRI"/>
    <s v="ok tienen todos los datos"/>
    <e v="#N/A"/>
    <e v="#N/A"/>
    <m/>
    <n v="3"/>
    <n v="10"/>
    <n v="8"/>
    <n v="10"/>
    <n v="10"/>
    <n v="15"/>
    <n v="20"/>
    <n v="13"/>
    <n v="13.5"/>
    <n v="78.5"/>
    <n v="0.4"/>
    <n v="0.4"/>
    <n v="2"/>
    <n v="3.5"/>
    <n v="8"/>
    <n v="0"/>
    <n v="2"/>
    <n v="3"/>
    <n v="8"/>
    <n v="0"/>
    <n v="76"/>
    <n v="0.4"/>
    <n v="0.4"/>
    <e v="#N/A"/>
    <m/>
    <m/>
    <n v="0"/>
    <m/>
    <m/>
    <s v="Diseño Interactivo"/>
    <e v="#N/A"/>
    <s v="237"/>
    <e v="#N/A"/>
  </r>
  <r>
    <s v="TI"/>
    <n v="1017930902"/>
    <s v="1000110087"/>
    <s v="JUAN JOSE RUA ECHEVERRY"/>
    <s v="Cupo Reservado"/>
    <x v="1"/>
    <s v="Descartado por notas"/>
    <m/>
    <s v="En publico objetivo"/>
    <s v="1er Cohorte"/>
    <s v="Admitido"/>
    <s v="jjruae@eafit.edu.co"/>
    <s v="jjruae@eafit.edu.co"/>
    <s v="jjruae@eafit.edu.co"/>
    <s v="322/583-7694"/>
    <d v="2025-04-25T00:00:00"/>
    <s v="Activo en Programa"/>
    <s v="002-Negocios Internacionales"/>
    <s v="Escuela de Administración"/>
    <d v="2007-10-14T00:00:00"/>
    <n v="18"/>
    <s v="Antioquia"/>
    <s v="Medellín"/>
    <s v="Hombre"/>
    <s v="Soltero"/>
    <s v="NO"/>
    <s v="NO"/>
    <n v="0"/>
    <s v="NO"/>
    <s v="NA"/>
    <s v="NO"/>
    <s v="NA"/>
    <s v="NO"/>
    <s v="NA"/>
    <s v="No"/>
    <s v="322/583-7694"/>
    <s v="NA"/>
    <s v="Estrato 3"/>
    <s v="CR 71 CL 37 350"/>
    <s v="Antioquia"/>
    <s v="Itagui"/>
    <s v="No aplica, no soy foráneo"/>
    <s v="Arriendo"/>
    <s v="SI"/>
    <n v="2024"/>
    <s v="AC202433098886"/>
    <n v="374"/>
    <n v="82"/>
    <n v="73"/>
    <s v="Privada"/>
    <s v="INSTITUTO SAN CARLOS"/>
    <n v="2024"/>
    <m/>
    <s v="Medellín"/>
    <n v="0"/>
    <s v="BACHILLER"/>
    <s v="TIPO: Privada, INSTITUCION: INSTITUTO SAN CARLOS, AÑO: 2024, CIUDAD: Medellín, TITULO: BACHILLER"/>
    <n v="0"/>
    <n v="0"/>
    <s v="Escala de 0 - 5"/>
    <m/>
    <s v="3"/>
    <m/>
    <m/>
    <s v="3"/>
    <m/>
    <m/>
    <n v="3.9"/>
    <n v="4.3"/>
    <m/>
    <n v="4.0999999999999996"/>
    <n v="4.8"/>
    <m/>
    <s v="4"/>
    <m/>
    <m/>
    <s v="5"/>
    <m/>
    <m/>
    <s v="3"/>
    <m/>
    <s v="De 10 y 11"/>
    <n v="4.2749999999999995"/>
    <s v="NA"/>
    <s v="NA"/>
    <n v="0"/>
    <n v="0"/>
    <s v="No"/>
    <s v="Sin informacion"/>
    <s v="Sin informacion"/>
    <s v="Sin informacion"/>
    <s v="Sin informacion"/>
    <s v="Sin informacion"/>
    <s v="Sin informacion"/>
    <s v="Descartado por propiedades y/o vehiculos (casa 350, duster 38m)"/>
    <n v="35"/>
    <s v="Cupo reservado"/>
    <s v="Trabajo social o comunitario,Espacios de liderazgo o representación social,Artísticas o culturales"/>
    <s v="Cuando pienso en mi futuro como negociador internacional, no solo me veo como un comerciante o alguien que finalice tratos entre compañías o negocios, me veo como un ancla o un puente que conecta productos y el talento de Antioquia con el mundo, otorgando oportunidades de crecimiento en mi gente, quiero ayudar a los emprendedores, a los soñadores y a los jóvenes para enseñarle al mundo lo que un colombiano puede hacer. _x000a_Con la beca lograre plasmar esta visión que tengo gracias a los conocimientos que solo EAFIT puede otorgarme, sus herramientas, su aprendizaje activo, las conexiones que puedo conseguir.  Lo digo ahora y lo dije la última vez que me postulé, creo firmemente que la mayor muestra de amor existente es entregarle conocimiento al otro y aspiro a compartir todo lo que aprenda en beneficio de mi comunidad y con eta beca no solo podré cumplir mi sueño de estudiar mi vocación que son los negocios internacionales, sino también contribuir activamente al desarrollo de mi región. Esta beca es una inversión en un líder, un soñador y un estratega, alguien que hará hasta lo imposible por cumplir su palabra de que con lo aprendido mejorara lo que hoy es Colombia y su alma mater que le dio la mano dándole esta oportunidad para cumplir su sueño de ser un profesional y una muestra del talento que hay en Medellín y en Colombia."/>
    <s v="Redes sociales"/>
    <s v="Por la calidad académica."/>
    <s v="Vocación."/>
    <n v="3"/>
    <s v="Sin informacion"/>
    <s v="Sin informacion"/>
    <s v="Sin informacion"/>
    <s v="Sin informacion"/>
    <s v="No"/>
    <n v="0"/>
    <s v="SI"/>
    <s v="Crédito entidad externa"/>
    <s v="SI"/>
    <s v="Beca"/>
    <s v="NO"/>
    <s v=""/>
    <s v=""/>
    <s v="No, fallecido"/>
    <n v="0"/>
    <m/>
    <m/>
    <m/>
    <s v=""/>
    <s v=""/>
    <m/>
    <s v=""/>
    <m/>
    <s v=""/>
    <m/>
    <m/>
    <s v="murió en 2020 por negligencia medica."/>
    <s v="Si"/>
    <s v="Ana Maria Echeverry Zapata"/>
    <s v="Casado"/>
    <s v="ESPECIALIZACIÓN"/>
    <s v="43"/>
    <s v="Contadora publica"/>
    <s v="Pensionado"/>
    <s v="pensionada por invalidez laboral"/>
    <s v="NO APLICA"/>
    <n v="2000000"/>
    <s v="No"/>
    <s v="SI"/>
    <s v="NO"/>
    <s v="Esta pensionada por invalidez laboral hace 2 años, sufre de fibromialgia, lipidema, lupus y trastorno bipolar afectivo tipo 2, no puede ejercer su carrera, no vive con el aspirante por problemas de convivencia debido a diferentes puntos de vista en diferentes situaciones del diario vivir."/>
    <n v="2000000"/>
    <s v="Si"/>
    <s v="Mariela de las mercedes zapata mejia"/>
    <s v="Abuelo / Abuela"/>
    <s v="81"/>
    <s v="Pensionada"/>
    <s v="colpensiones"/>
    <n v="900000"/>
    <s v="Si"/>
    <s v="Luis Fernando echeverri zapata"/>
    <s v="Tío / Tía"/>
    <s v="52"/>
    <s v="mensajero"/>
    <s v="elagro"/>
    <n v="1423000"/>
    <s v="Si"/>
    <s v="Isabel Cristina Echeverri Zapata"/>
    <s v="Tío / Tía"/>
    <s v="45"/>
    <s v="Desempleada por discapacidad cognitiva"/>
    <s v="No aplica"/>
    <n v="0"/>
    <s v="No"/>
    <s v="vivo con mi abuela pensionada la cual no recibe su pensión completa debido a un préstamo que realizo el anterior año para poder pagar mi colegio y así graduarme en el Instituto san Carlos, donde estudie toda mi vida, mi tia nació con una discapacidad cognitiva por lo que no puede trabajar y desde pequeña ha estado en grupos de niños especiales, mi tío la principal fuente de ingresos del hogar trabaja como mensajero gracias al grupo de AA que le consiguió el empleo, lleva 5 años sin consumir alcohol ni sustancias. vivimos en unidad cerrada por la condición de mi tia, aunque eso nos ha limitado mucho en el aspecto económico ya que el alquiler es mayor al millón de pesos aun siendo estrato 3"/>
    <n v="200000000"/>
    <n v="0"/>
    <n v="0"/>
    <n v="0"/>
    <n v="0"/>
    <s v="Si"/>
    <s v="Renault"/>
    <s v="2016"/>
    <n v="35000000"/>
    <s v="No"/>
    <s v=""/>
    <s v=""/>
    <n v="0"/>
    <s v="No"/>
    <s v=""/>
    <s v=""/>
    <s v=""/>
    <n v="0"/>
    <s v="el vehículo tiene un embargo pendiente por parte de varias entidades, es un salvamento, se encuentra en mal estado y necesita cierto mantenimiento, la casa por su parte esta a nombre mío y de mi hermana ( principalmente de mi hermana) por lo que no se puede vender ni hipotecar hasta que ambos cumplamos la mayoría de edad, la casa ya esta en arriendo y es parte de los ingresos mencionados de mi madre, ya que esta también cuenta con su pensión recortada debido a un préstamo que realizo para pagar diferentes deudas que había adquirido en años pasados."/>
    <n v="4"/>
    <n v="4"/>
    <n v="3"/>
    <n v="4"/>
    <n v="3"/>
    <n v="4"/>
    <n v="4"/>
    <n v="4"/>
    <n v="4"/>
    <n v="3"/>
    <n v="37"/>
    <s v="SI"/>
    <s v="SI, CRE"/>
    <s v="Son CRE, sin tipo de vivienda, nada del ICFES, sin nada de entrevista, y con solo 1 nota del colegio"/>
    <s v="sin info de entrevista, fue descartado en 20251"/>
    <s v="Negada"/>
    <n v="20251"/>
    <m/>
    <n v="3"/>
    <n v="10"/>
    <n v="8"/>
    <n v="15"/>
    <n v="15"/>
    <n v="15"/>
    <n v="5"/>
    <n v="15"/>
    <n v="15.5"/>
    <n v="75.5"/>
    <n v="0.4"/>
    <m/>
    <n v="2"/>
    <n v="3.5"/>
    <n v="8"/>
    <n v="2"/>
    <n v="2"/>
    <n v="3"/>
    <n v="8"/>
    <n v="2"/>
    <n v="73"/>
    <n v="0.5"/>
    <n v="0.5"/>
    <e v="#N/A"/>
    <m/>
    <m/>
    <s v="SI, CRE"/>
    <m/>
    <m/>
    <s v="Negocios Internacionales"/>
    <e v="#N/A"/>
    <s v="002"/>
    <e v="#N/A"/>
  </r>
  <r>
    <s v="TI"/>
    <n v="1017931007"/>
    <s v="1000381061"/>
    <s v="XIMENA PEREZ TEJADA"/>
    <s v="Estudios por primera vez"/>
    <x v="1"/>
    <s v="Cumple Nutresa"/>
    <m/>
    <s v="En publico objetivo"/>
    <s v="1er Cohorte"/>
    <s v="Admitido"/>
    <s v="xperezt@eafit.edu.co"/>
    <s v="xperezt@eafit.edu.co"/>
    <s v="ximex3245@gmail.com"/>
    <s v="573197673091"/>
    <d v="2025-04-25T00:00:00"/>
    <s v="Activo en Programa"/>
    <s v="183-Biología"/>
    <s v="E Ciencias Aplic e Ingeniería"/>
    <d v="2007-11-01T00:00:00"/>
    <n v="18"/>
    <s v="Antioquia"/>
    <s v="Medellín"/>
    <s v="Mujer"/>
    <s v="Soltero"/>
    <s v="NO"/>
    <s v="NO"/>
    <n v="0"/>
    <s v="NO"/>
    <s v="NA"/>
    <s v="NO"/>
    <s v="NA"/>
    <s v="NO"/>
    <s v="NA"/>
    <s v="No"/>
    <s v="604/425-2470"/>
    <s v="573197673091"/>
    <s v="Estrato 3"/>
    <s v="CR 67 #94 104"/>
    <s v="Antioquia"/>
    <s v="Medellín"/>
    <s v="No aplica, no soy foráneo"/>
    <s v="Arriendo"/>
    <s v="SI"/>
    <s v="2024"/>
    <s v="AC202435957493"/>
    <n v="327"/>
    <n v="63"/>
    <n v="70"/>
    <s v="Pública"/>
    <s v="I.E. INEM JOSE FELIX DE RESTRE"/>
    <n v="2024"/>
    <s v="Antioquia"/>
    <s v="Medellín"/>
    <s v="BACHILLER"/>
    <n v="0"/>
    <s v="TIPO: Pública, INSTITUCION: I.E. INEM JOSE FELIX DE RESTRE, AÑO: 2024, CIUDAD: Medellín, TITULO: BACHILLER"/>
    <s v="11"/>
    <s v="Escala Desempeño"/>
    <s v="Escala de 0 - 5"/>
    <s v="4,5"/>
    <s v="5"/>
    <m/>
    <s v="4,5"/>
    <s v="3,4"/>
    <m/>
    <n v="4.5"/>
    <n v="5"/>
    <m/>
    <n v="4.5"/>
    <n v="4.5"/>
    <m/>
    <s v="4,5"/>
    <s v="4,5"/>
    <m/>
    <s v="4"/>
    <s v="5"/>
    <m/>
    <s v="5"/>
    <s v="4,5"/>
    <m/>
    <s v="De 9 y 10"/>
    <n v="4.625"/>
    <s v="NO"/>
    <s v="NA"/>
    <n v="0"/>
    <n v="0"/>
    <s v="No"/>
    <n v="50"/>
    <m/>
    <n v="50"/>
    <m/>
    <n v="50"/>
    <m/>
    <s v="Gran interés en el programa, buen desempeño en la entrevista"/>
    <n v="50"/>
    <s v="Con detalle por componente"/>
    <s v="Artísticas o culturales,Espacios de liderazgo o representación social"/>
    <s v="Al terminar mi pregrado en Biología, gracias a la beca otorgada por la universidad, dedicaré un período de tiempo a la investigación relacionada a especies invasoras, centrándome principalmente en plantas. Trabajaré en Santa Elena, un lugar especial que merece nuestra atención. Allí, la tala de árboles ha aumentado y las especies invasoras como “El ojo de poeta”, no dejan de expandirse y de acabar con nuestras especies endémicas y nativas, busco con la combinación de sus enfoques en ecología y evolución y biociencias encontrar una manera de detener su crecimiento, protegiendo nuestra biodiversidad. Adoro enseñar, y tengo las capacidades para hacerlo, por esto, me enfocaré en mostrar la ciencia a personas de todas las edades. Como dijo Jorge Alberto Naranjo Mesa en &quot;&quot;Las invenciones de mi alegría&quot;&quot; &quot;&quot;El conocimiento no se transmite. Se transmite es la pasión, se despierta en el joven el amor por el conocimiento. Esto es lo esencial, lo que dura toda la vida&quot;&quot;. A los niños les enseñare que la ciencia hace parte de nuestra vida diaria, fomentando su curiosidad y amor por las cosas que nos rodean, motivaré a los jóvenes a buscar más opciones de educación superior, a superarse a sí mismos y perderle el miedo al riesgo, y a la sociedad le mostrare que no hay que tener miedo a estas áreas de estudio, no son más difíciles que otras, somos esenciales y estamos en todas partes. Esto lo haré atreves de redes sociales y en la creación/participación de proyectos de educación._x000a_ Se puede estudiar sin tener los suficientes recursos económicos. Las oportunidades están en la mesa, sólo se necesita verdadera pasión y persistencia. Y espero ser un ejemplo de esto."/>
    <s v="Estudiantes de EAFIT"/>
    <s v="Por la calidad académica."/>
    <s v="Vocación."/>
    <n v="3"/>
    <s v="1"/>
    <s v="SI"/>
    <s v="NO"/>
    <s v="Entre 1 y 2 millones"/>
    <s v="No"/>
    <n v="0"/>
    <n v="0"/>
    <m/>
    <s v="SI"/>
    <m/>
    <s v="NO"/>
    <s v=""/>
    <s v=""/>
    <s v="Si"/>
    <s v="Orlando Pérez"/>
    <s v="Casado"/>
    <s v="BACHILLERATO"/>
    <s v="47"/>
    <s v="Operario"/>
    <s v="Empleado (con contrato laboral)"/>
    <s v="Impresor de flexografia"/>
    <s v="Etiflex"/>
    <n v="2982877"/>
    <s v="Si"/>
    <s v="SI"/>
    <s v="NO"/>
    <s v=""/>
    <s v="Si"/>
    <s v="Claudia Marleny Tejada Durango"/>
    <s v="Casado"/>
    <s v="BACHILLERATO"/>
    <s v="42"/>
    <s v="ama de casa"/>
    <s v="Labores del hogar y cuidado"/>
    <s v="Ama de casa"/>
    <s v="NO APLICA"/>
    <n v="0"/>
    <s v="Si"/>
    <s v="NO"/>
    <s v="NO"/>
    <m/>
    <n v="2982877"/>
    <s v="Si"/>
    <s v="Xiomara Pérez Tejada"/>
    <s v="Hermano / Hermana"/>
    <s v="9"/>
    <s v="Estudiante"/>
    <s v="Institución educativa Maria Montessori"/>
    <n v="0"/>
    <s v="No"/>
    <s v=""/>
    <s v=""/>
    <s v=""/>
    <s v=""/>
    <s v=""/>
    <m/>
    <s v=""/>
    <s v=""/>
    <s v=""/>
    <s v=""/>
    <s v=""/>
    <s v=""/>
    <m/>
    <s v=""/>
    <m/>
    <n v="120000000"/>
    <n v="0"/>
    <n v="0"/>
    <n v="0"/>
    <n v="0"/>
    <s v="No"/>
    <s v=""/>
    <s v=""/>
    <n v="0"/>
    <s v="No"/>
    <s v=""/>
    <s v=""/>
    <n v="0"/>
    <s v="No"/>
    <s v=""/>
    <s v=""/>
    <s v=""/>
    <n v="0"/>
    <s v="Actualmente vivo en una casa que está a nombre de mi papá, pero debo aclarar que él paga arriendo por estar allí. Esta casa fue comprada originalmente por él con la intención de que mi abuela viviera en ella. Sin embargo, con el tiempo, mi papá no pudo seguir pagando y mi tía (su hermana) asumió el compromiso de cubrir el resto de la deuda, aportando más de la mitad del valor total del inmueble.Como la casa era para mi abuela y era un acuerdo familiar, nunca se cambió el nombre en los papeles. Después del fallecimiento de mi abuela y al quedar la casa disponible, mi familia y yo nos mudamos allí. Desde entonces, por decisión familiar, pagamos un arriendo mensual de $1.000.000 a mi tía, en reconocimiento a su aporte económico y como parte del acuerdo entre ellos."/>
    <n v="4"/>
    <n v="4"/>
    <n v="4"/>
    <n v="4"/>
    <n v="3"/>
    <n v="4"/>
    <n v="3"/>
    <n v="4"/>
    <n v="4"/>
    <n v="4"/>
    <n v="38"/>
    <s v="SI"/>
    <m/>
    <s v="SI, SON PRI"/>
    <s v="ok tienen todos los datos"/>
    <n v="0.6"/>
    <n v="20251"/>
    <m/>
    <n v="2"/>
    <n v="10"/>
    <n v="8"/>
    <n v="5"/>
    <n v="20"/>
    <n v="15"/>
    <n v="20"/>
    <n v="16.5"/>
    <n v="17"/>
    <n v="87"/>
    <n v="0.5"/>
    <m/>
    <n v="3.5"/>
    <n v="3.5"/>
    <n v="8"/>
    <n v="2"/>
    <n v="3.5"/>
    <n v="3"/>
    <n v="8"/>
    <n v="2"/>
    <n v="84.5"/>
    <n v="0.5"/>
    <n v="0.5"/>
    <e v="#N/A"/>
    <m/>
    <m/>
    <n v="0"/>
    <s v="EN ORDEN"/>
    <s v="Impuesto predial del 2024"/>
    <s v="Biología"/>
    <s v="Pres. para revision docs nutresa"/>
    <s v="183"/>
    <e v="#N/A"/>
  </r>
  <r>
    <s v="TI"/>
    <n v="1017931141"/>
    <s v="1000405397"/>
    <s v="SIMON SANTIAGO SOTO BERRIO"/>
    <s v="Estudios por primera vez"/>
    <x v="5"/>
    <s v="Cumple Nutresa"/>
    <s v="Madre profesional"/>
    <s v="En publico objetivo"/>
    <s v="2da Cohorte"/>
    <s v="Admitido"/>
    <s v="sssotob@eafit.edu.co"/>
    <e v="#N/A"/>
    <s v="simonssotoberrio076@gmail.com"/>
    <s v="573197525074"/>
    <d v="2025-05-16T00:00:00"/>
    <s v="Activo en Programa"/>
    <s v="010-Ingeniería de Sistemas"/>
    <s v="E Ciencias Aplic e Ingeniería"/>
    <d v="2007-11-13T00:00:00"/>
    <n v="18"/>
    <s v="Antioquia"/>
    <s v="Medellín"/>
    <s v="Hombre"/>
    <s v="Soltero"/>
    <s v="NO"/>
    <s v="NO"/>
    <n v="0"/>
    <s v="NO"/>
    <s v="NA"/>
    <s v="NO"/>
    <s v="NA"/>
    <s v="NO"/>
    <s v="NA"/>
    <s v="No"/>
    <s v="319/752-5074"/>
    <s v="573197525074"/>
    <s v="Estrato 2"/>
    <s v="CALLE 79 # 50C 85 APTO 301"/>
    <s v="Antioquia"/>
    <s v="Medellín"/>
    <s v="No aplica, no soy foráneo"/>
    <s v="Arriendo"/>
    <s v="SI"/>
    <s v="2024"/>
    <s v="AC202435937552"/>
    <n v="363"/>
    <n v="80"/>
    <n v="71"/>
    <s v="Pública"/>
    <s v="IE LICEO ANTIOQUEÑO"/>
    <n v="2024"/>
    <s v="Antioquia"/>
    <s v="Bello"/>
    <s v="BACHILLER"/>
    <n v="0"/>
    <s v="TIPO: Pública, INSTITUCION: IE LICEO ANTIOQUEÑO, AÑO: 2024, CIUDAD: Bello, TITULO: BACHILLER | TIPO: Pública, INSTITUCION: IE LICEO ANTIOQUEÑO, AÑO: 2024, CIUDAD: Bello, TITULO: BACHILLER"/>
    <s v="11"/>
    <s v="Escala de 0 - 5"/>
    <s v="Escala de 0 - 5"/>
    <s v="4,3"/>
    <s v="4,5"/>
    <m/>
    <s v="4,4"/>
    <s v="4,4"/>
    <m/>
    <n v="5"/>
    <n v="4.4000000000000004"/>
    <m/>
    <n v="4.3"/>
    <n v="4.5"/>
    <m/>
    <s v="5"/>
    <s v="4,4"/>
    <m/>
    <s v="4,5"/>
    <s v="4"/>
    <m/>
    <s v="5"/>
    <s v="5"/>
    <m/>
    <s v="De 9 y 10"/>
    <n v="4.55"/>
    <s v="NO"/>
    <s v="NA"/>
    <n v="0"/>
    <n v="0"/>
    <s v="No"/>
    <n v="50"/>
    <m/>
    <n v="50"/>
    <m/>
    <n v="50"/>
    <m/>
    <s v="Aspirante con gran motivación y excelente desempeño en la entrevista, tienen un bachillerato tecnico en desarrollo de sw"/>
    <n v="50"/>
    <s v="Con detalle por componente"/>
    <s v="Ninguna"/>
    <s v="Desde que era pequeño soñé ser parte de un proyecto que lograra brindar soluciones a problemas cotidianos; que ayudaran a las personas a hacer su vida mejor y mucho más práctica. A medida que crecía podía ver como la tecnología iba abriendo nuevas puertas a jóvenes soñadores como yo, que querían ofrecer sus conocimientos y habilidades al servicio del otro. Ya la tecnología no solo estaba avanzando si no que estaba tomando un papel transformador en la sociedad. Desde ahí supe que mi sueño podía hacerse realidad y podía hacer parte de esa lucha hacia un futuro prometedor e innovador._x000a__x000a_Me gustaría dedicar mi carrera con un propósito social; crear no solo para innovar, sino para impactar. Con la obtención de la beca sería afortunado de adquirir grandes conocimientos y habilidades que me permitieran ser participe en la construcción de soluciones innovadoras acompañado de un entorno académico excepcional y profesionales que compartan esa visión similar. Quiero estar y ser parte de espacios de constante aprendizaje, donde los problemas sean una posibilidad para el cambio, las ideas se transformen en herramientas y el conocimiento siga expandiéndose formando semillitas de cambio en los otros."/>
    <s v="Amigos"/>
    <s v="Universidad reconocida."/>
    <s v="Alta proyección de ingresos."/>
    <n v="1"/>
    <s v="3"/>
    <s v="NO"/>
    <s v="NO"/>
    <s v="Entre 1 y 2 millones"/>
    <s v="No"/>
    <n v="0"/>
    <n v="0"/>
    <m/>
    <s v="SI"/>
    <s v="Beca"/>
    <s v="NO"/>
    <s v=""/>
    <s v=""/>
    <s v="Sin información"/>
    <s v="RODOLFO DE JESUS DE SOTO CASTAÑO"/>
    <s v="Soltero"/>
    <s v="BACHILLERATO"/>
    <s v="52"/>
    <s v=""/>
    <s v=""/>
    <m/>
    <s v=""/>
    <m/>
    <s v=""/>
    <s v="NO"/>
    <s v="SI"/>
    <s v=""/>
    <s v="Si"/>
    <s v="Leidy Johanna Berrio Cardona"/>
    <s v="Soltero"/>
    <s v="UNIVERSITARIOS"/>
    <s v="37"/>
    <s v="Administrador de empresas"/>
    <s v="Empleado (con contrato laboral)"/>
    <s v="Auxiliar administrativo en activos fijos"/>
    <s v="E.S.E HOSPITAL MARCO FIDEL SUAREZ"/>
    <n v="1967029"/>
    <s v="Si"/>
    <s v="SI"/>
    <s v="SI"/>
    <m/>
    <n v="1967029"/>
    <s v="No, solo vivo con mis padres"/>
    <s v=""/>
    <s v=""/>
    <s v=""/>
    <s v=""/>
    <s v=""/>
    <m/>
    <s v=""/>
    <s v=""/>
    <s v=""/>
    <s v=""/>
    <s v=""/>
    <s v=""/>
    <m/>
    <s v=""/>
    <s v=""/>
    <s v=""/>
    <s v=""/>
    <s v=""/>
    <s v=""/>
    <m/>
    <s v=""/>
    <s v=""/>
    <n v="0"/>
    <n v="0"/>
    <n v="0"/>
    <n v="0"/>
    <n v="0"/>
    <s v="No"/>
    <s v=""/>
    <s v=""/>
    <n v="0"/>
    <s v="No"/>
    <s v=""/>
    <s v=""/>
    <n v="0"/>
    <s v="No"/>
    <s v=""/>
    <s v=""/>
    <s v=""/>
    <n v="0"/>
    <m/>
    <n v="4"/>
    <n v="4"/>
    <n v="3"/>
    <n v="4"/>
    <n v="3"/>
    <n v="3"/>
    <n v="4"/>
    <n v="3"/>
    <n v="3"/>
    <n v="4"/>
    <n v="35"/>
    <s v="SI"/>
    <m/>
    <s v="SI, SON PRI"/>
    <s v="ok tienen todos los datos"/>
    <e v="#N/A"/>
    <e v="#N/A"/>
    <m/>
    <n v="3"/>
    <n v="10"/>
    <n v="10"/>
    <n v="15"/>
    <n v="20"/>
    <n v="15"/>
    <n v="20"/>
    <n v="20"/>
    <n v="20"/>
    <n v="100"/>
    <s v="80 - 100%"/>
    <m/>
    <n v="3.5"/>
    <n v="4.5"/>
    <n v="8"/>
    <n v="4"/>
    <n v="3.5"/>
    <n v="4"/>
    <n v="8"/>
    <n v="4.5"/>
    <n v="100"/>
    <s v="80 - 100%"/>
    <n v="1"/>
    <s v="SIMON SANTIAGO SOTO BERRIO"/>
    <m/>
    <m/>
    <n v="0"/>
    <s v="EN ORDEN"/>
    <n v="0"/>
    <s v="Ingeniería de Sistemas"/>
    <s v="Pres. para revision docs nutresa"/>
    <m/>
    <s v="NUTRESA"/>
  </r>
  <r>
    <s v="TI"/>
    <n v="1017931167"/>
    <s v="1000380594"/>
    <s v="ISABEL SOFIA CUESTA PINO"/>
    <s v="Pasa de estudios gener a pregr"/>
    <x v="9"/>
    <s v="No cumple, estrato 5 o 6"/>
    <m/>
    <s v="En publico objetivo"/>
    <s v="1er Cohorte"/>
    <s v="Admitido"/>
    <s v="iscuestap@eafit.edu.co"/>
    <s v="iscuestap@eafit.edu.co"/>
    <s v="iscuestap@eafit.edu.co"/>
    <s v="310/551-1931"/>
    <d v="2025-04-28T00:00:00"/>
    <s v="Activo en Programa"/>
    <s v="084-Derecho"/>
    <s v="Escuela de Derecho"/>
    <d v="2007-11-23T00:00:00"/>
    <n v="18"/>
    <s v="Antioquia"/>
    <s v="Medellín"/>
    <s v="Mujer"/>
    <s v="Soltero"/>
    <s v="NO"/>
    <s v="NO"/>
    <n v="0"/>
    <s v="NO"/>
    <s v="NA"/>
    <s v="SI"/>
    <s v="Afrocolombianos"/>
    <s v="SI"/>
    <s v="Afrocolombianos"/>
    <s v="No"/>
    <s v="604/570-1052"/>
    <s v="310/551-1931"/>
    <s v="Estrato 5"/>
    <s v="CL 32 ESTE 82 30"/>
    <s v="Antioquia"/>
    <s v="Medellín"/>
    <s v="Si"/>
    <s v="Propio"/>
    <s v="SI"/>
    <s v="2024"/>
    <s v="AC202435789227"/>
    <n v="323"/>
    <n v="63"/>
    <n v="71"/>
    <s v="Pública"/>
    <s v="IE TECNICA INTEGRADO CARRASQUI"/>
    <n v="2024"/>
    <s v="Chocó"/>
    <s v="Quibdó"/>
    <s v="BACHILLER"/>
    <n v="0"/>
    <s v="TIPO: Pública, INSTITUCION: IE TECNICA INTEGRADO CARRASQUI, AÑO: 2024, CIUDAD: Quibdó, TITULO: BACHILLER"/>
    <s v="11"/>
    <s v="Escala de 0 - 5"/>
    <s v="Escala de 0 - 5"/>
    <s v="3"/>
    <s v="4,8"/>
    <m/>
    <s v="4,4"/>
    <s v="4,4"/>
    <m/>
    <n v="3.6"/>
    <n v="3.1"/>
    <m/>
    <n v="3.5"/>
    <n v="4"/>
    <m/>
    <s v="3,9"/>
    <s v="4,3"/>
    <m/>
    <s v="4,1"/>
    <s v="4,1"/>
    <m/>
    <s v="3,5"/>
    <s v="4,4"/>
    <m/>
    <s v="De 9 y 10"/>
    <n v="3.55"/>
    <s v="NO"/>
    <s v="NA"/>
    <n v="0"/>
    <n v="0"/>
    <s v="No"/>
    <n v="45"/>
    <m/>
    <n v="50"/>
    <m/>
    <n v="50"/>
    <m/>
    <m/>
    <n v="48.333333333333336"/>
    <s v="Con detalle por componente"/>
    <s v="Artísticas o culturales"/>
    <s v="Desde que tomé la desición de estudiar derecho, me visualizo como una profesional comprometida con la transparenta y la justicia ,dedicada a luchas contra la corrupción, abandono estatal y la negligencia de los dirigentes en el cumplimiento de sus deberes. Uno de mis más grandes propósitos es promover la responsabilidad y la protección de los derechos de la población, ubicándome como un agente de cambio que limite las problemáticas generadas por la mala gestión de los dirigentes._x000a_Obtener esta beca representa no solo la posibilidad de realizar mis estudios superiores, sino también una oportunidad invaluable para profundizar mis conocimientos y capacidades para asesorar y acompañar a quienes más lo necesitan. Esta beca también me podrá brindar la posibilidad de formarme en una institución de excelencia y tener acceso a experiencias prácticas que me faciliten diseñar soluciones jurídicas sostenibles y eficientes._x000a_Mi visión a largo plazo es ofrecer un apoyo legal y asesoramiento a la población, comenzando desde el Choco y extendiéndome paulatinamente a todo Colombia, deseo colaborar en la construcción de un estado más resoojsable, con esto comprometido con su población._x000a_A la transformación de mi departamento es escencial también educar a la población sobre El cumplimiento sus deberres, para garantizar el respeto a sus derechos у promover una cultura de supervisión social, unificándolo como comunidad, esta beca sería también una puerta hacia la implementación de proyectos que generen un impacto real en nuestra sociedad, facilitando que la justicia y un buen gobierno sean una realidad no solo en el departamento del Chocó sino también en la nación."/>
    <s v="Amigos"/>
    <s v="Por la calidad académica."/>
    <s v="Vocación."/>
    <n v="1"/>
    <s v="2"/>
    <s v="NO"/>
    <s v="NO"/>
    <s v="Más de 16 millones"/>
    <s v="No"/>
    <s v="SI"/>
    <s v="SI"/>
    <m/>
    <s v="SI"/>
    <m/>
    <s v="NO"/>
    <s v=""/>
    <s v=""/>
    <s v="Si"/>
    <s v="Alder Cuesta Diaz"/>
    <s v="Casado"/>
    <s v="ESPECIALIZACIÓN"/>
    <s v="46"/>
    <s v="Médico"/>
    <s v="Desempleado (Se encuentra en la búsqueda activa de empleo)"/>
    <s v="Médico internista"/>
    <s v="Ninguna"/>
    <n v="0"/>
    <s v="No"/>
    <s v="SI"/>
    <s v="NO"/>
    <s v="Ausente."/>
    <s v="Si"/>
    <s v="Denis Pino Mosquera"/>
    <s v="Casado"/>
    <s v="UNIVERSITARIOS"/>
    <s v="51"/>
    <s v="Fonoaudiologa"/>
    <s v="Empleado (con contrato laboral)"/>
    <s v="Profesional de apoyo"/>
    <s v="Secretaria de educación municipal de quibdó"/>
    <n v="3254081"/>
    <s v="Si"/>
    <s v="NO"/>
    <s v="SI"/>
    <m/>
    <n v="3254081"/>
    <s v="Si"/>
    <s v="Juan David Torres Pino"/>
    <s v="Primos"/>
    <s v="22"/>
    <s v="Estudiante"/>
    <s v="Universidad San Buenaventura"/>
    <n v="0"/>
    <s v="No"/>
    <s v=""/>
    <s v=""/>
    <s v=""/>
    <s v=""/>
    <s v=""/>
    <m/>
    <s v=""/>
    <s v=""/>
    <s v=""/>
    <s v=""/>
    <s v=""/>
    <s v=""/>
    <m/>
    <s v=""/>
    <s v=""/>
    <n v="45253000"/>
    <n v="0"/>
    <n v="0"/>
    <n v="0"/>
    <n v="0"/>
    <s v="No"/>
    <s v=""/>
    <s v=""/>
    <n v="0"/>
    <s v="No"/>
    <s v=""/>
    <s v=""/>
    <n v="0"/>
    <s v="No"/>
    <s v=""/>
    <s v=""/>
    <s v=""/>
    <n v="0"/>
    <m/>
    <n v="3"/>
    <n v="4"/>
    <n v="3"/>
    <n v="4"/>
    <n v="4"/>
    <n v="4"/>
    <n v="3"/>
    <n v="4"/>
    <n v="4"/>
    <n v="4"/>
    <n v="37"/>
    <s v="SI"/>
    <m/>
    <s v="SI, SON PRI"/>
    <s v="ok tienen todos los datos"/>
    <e v="#N/A"/>
    <e v="#N/A"/>
    <m/>
    <n v="2"/>
    <s v="NA"/>
    <s v="NA"/>
    <s v="NA"/>
    <s v="NA"/>
    <s v="NA"/>
    <s v="NA"/>
    <e v="#VALUE!"/>
    <e v="#VALUE!"/>
    <e v="#VALUE!"/>
    <s v="NCR"/>
    <m/>
    <s v="NA"/>
    <s v="NA"/>
    <s v="NA"/>
    <s v="NA"/>
    <s v="NA"/>
    <s v="NA"/>
    <s v="NA"/>
    <s v="NA"/>
    <e v="#VALUE!"/>
    <s v="NCR"/>
    <s v="Negado"/>
    <e v="#N/A"/>
    <m/>
    <m/>
    <n v="0"/>
    <m/>
    <m/>
    <s v="Derecho"/>
    <e v="#N/A"/>
    <m/>
    <s v="NCR"/>
  </r>
  <r>
    <s v="TI"/>
    <n v="1017931376"/>
    <s v="1000355541"/>
    <s v="VALERIA AGUILERA MUÑOZ"/>
    <s v="Estudios por primera vez"/>
    <x v="9"/>
    <s v="No cumple, estrato 5 o 6"/>
    <m/>
    <s v="En publico objetivo"/>
    <s v="2da Cohorte"/>
    <s v="Admitido"/>
    <s v="vaguileram@eafit.edu.co"/>
    <s v="vaguileram@eafit.edu.co"/>
    <s v="valeaa.0712@gmail.com"/>
    <s v="573126755705"/>
    <d v="2025-05-16T00:00:00"/>
    <s v="Activo en Programa"/>
    <s v="084-Derecho"/>
    <s v="Escuela de Derecho"/>
    <d v="2007-12-14T00:00:00"/>
    <n v="17"/>
    <s v="Antioquia"/>
    <s v="Medellín"/>
    <s v="Mujer"/>
    <s v="Soltero"/>
    <s v="NO"/>
    <s v="NO"/>
    <n v="0"/>
    <s v="NO"/>
    <s v="NA"/>
    <s v="NO"/>
    <s v="NA"/>
    <s v="NO"/>
    <s v="NA"/>
    <s v="No"/>
    <s v="336-0209"/>
    <s v="573126755705"/>
    <s v="Estrato 5"/>
    <s v="CR 27 28 SUR 51"/>
    <s v="Antioquia"/>
    <s v="Envigado"/>
    <s v="No aplica, no soy foráneo"/>
    <s v="Propio"/>
    <s v="SI"/>
    <s v="2025"/>
    <s v="AC202511077452"/>
    <n v="341"/>
    <n v="67"/>
    <n v="63"/>
    <s v="Privada"/>
    <s v="COLEGIO CANADIENSE"/>
    <n v="2025"/>
    <s v="Antioquia"/>
    <s v="La Estrella"/>
    <s v="BACHILLER"/>
    <s v="ACAD"/>
    <s v="TIPO: Privada, INSTITUCION: COLEGIO CANADIENSE, AÑO: 2025, CIUDAD: La Estrella, TITULO: BACHILLER"/>
    <s v="12"/>
    <s v="Escala de 0 - 100"/>
    <s v="Escala de 0 - 100"/>
    <m/>
    <s v="100"/>
    <s v="90"/>
    <m/>
    <s v="100"/>
    <s v="100"/>
    <m/>
    <n v="94"/>
    <n v="91"/>
    <m/>
    <n v="87"/>
    <n v="91"/>
    <m/>
    <s v="86"/>
    <s v="90"/>
    <m/>
    <s v="90"/>
    <s v="90"/>
    <m/>
    <s v="100"/>
    <s v="100"/>
    <s v="De 10 y 11"/>
    <n v="90.75"/>
    <s v="NO"/>
    <s v="NA"/>
    <n v="0"/>
    <n v="0"/>
    <s v="No"/>
    <n v="50"/>
    <m/>
    <n v="50"/>
    <m/>
    <n v="50"/>
    <m/>
    <m/>
    <n v="50"/>
    <s v="Con detalle por componente"/>
    <s v="Espacios de liderazgo o representación social,Trabajo social o comunitario"/>
    <s v="Me veo ejerciendo el Derecho con compromiso social, ética y cercanía hacia las personas. Mi sueño es ser una abogada que no solo conozca las leyes, sino que tambien entienda las realidades humanas que estan detras de cada personas. Aspiro a trabajar especialmente en temas relacionados con derechos humanos y acceso a la justicia. _x000a__x000a_Creo que a Medellin le hacen falta abogados con verdadera vocacíon y ética, y es por eso que decidí estudair Derecho; Para devolverle a la ciudad la confianza en la autoridad y la justicia. _x000a__x000a_Obtener la Beca Talentos me permitiría enfocarme plenamente en mi formación, acceder a oportunidades académicas y extracurriculares que fortalezcan mis capacidades, y comenzar a construir desde ya el perfil profesional que deseo. Ademas, esta beca me daría las herramientas para devolver ese apoyo a mi comunidad. Al contar con una educacon de calidad, podré convertirme en una abogada al servicio de quienes mas lo necesitan y ser parte activa del cambio social que Medellin necesita."/>
    <s v="Estudiantes de EAFIT"/>
    <s v="Por la calidad académica."/>
    <s v="Vocación."/>
    <n v="1"/>
    <s v="4"/>
    <s v="NO"/>
    <s v="NO"/>
    <s v="Entre 9 y 10 millones"/>
    <s v="No"/>
    <s v="SI"/>
    <n v="0"/>
    <m/>
    <n v="0"/>
    <m/>
    <s v="NO"/>
    <s v=""/>
    <s v=""/>
    <s v="Sin información"/>
    <s v="ALEJANDRO   AGUILERA BENAVIDES"/>
    <s v="Soltero"/>
    <s v="UNIVERSITARIOS"/>
    <s v="60"/>
    <s v=""/>
    <s v=""/>
    <m/>
    <s v=""/>
    <m/>
    <s v=""/>
    <s v="SI"/>
    <s v="NO"/>
    <s v="Padres divorciados, en el momento de la inscripcion a la universidad vivi un tiempo con mi padre, pero por una situacion personal vivo ahora con mi madre."/>
    <s v="Si"/>
    <s v="Monica Alexandra Muñoz Agudelo"/>
    <s v="Soltero"/>
    <s v="UNIVERSITARIOS"/>
    <s v="49"/>
    <s v="Vendedora"/>
    <s v="Empleado (con contrato laboral)"/>
    <s v="Vendedora"/>
    <s v="Textiles Sedatex"/>
    <n v="4000000"/>
    <s v="Si"/>
    <s v="NO"/>
    <s v="NO"/>
    <s v="Madre cabeza de familia"/>
    <n v="4000000"/>
    <s v="No, solo vivo con mis padres"/>
    <s v=""/>
    <s v=""/>
    <s v=""/>
    <s v=""/>
    <s v=""/>
    <m/>
    <s v=""/>
    <s v=""/>
    <s v=""/>
    <s v=""/>
    <s v=""/>
    <s v=""/>
    <m/>
    <s v=""/>
    <s v=""/>
    <s v=""/>
    <s v=""/>
    <s v=""/>
    <s v=""/>
    <m/>
    <s v=""/>
    <s v=""/>
    <n v="0"/>
    <n v="400000000"/>
    <n v="0"/>
    <n v="0"/>
    <n v="0"/>
    <s v="Si"/>
    <s v="Hyundai"/>
    <s v="2011"/>
    <n v="20000000"/>
    <s v="No"/>
    <s v=""/>
    <s v=""/>
    <n v="0"/>
    <s v="No"/>
    <s v=""/>
    <s v=""/>
    <s v=""/>
    <n v="0"/>
    <m/>
    <n v="3"/>
    <n v="4"/>
    <n v="4"/>
    <n v="4"/>
    <n v="3"/>
    <n v="4"/>
    <n v="3"/>
    <n v="4"/>
    <n v="4"/>
    <n v="3"/>
    <n v="36"/>
    <s v="SI"/>
    <m/>
    <s v="SI, SON PRI"/>
    <s v="ok tienen todos los datos"/>
    <e v="#N/A"/>
    <e v="#N/A"/>
    <m/>
    <n v="2"/>
    <s v="NA"/>
    <s v="NA"/>
    <s v="NA"/>
    <s v="NA"/>
    <s v="NA"/>
    <s v="NA"/>
    <e v="#VALUE!"/>
    <e v="#VALUE!"/>
    <e v="#VALUE!"/>
    <s v="NCR"/>
    <m/>
    <s v="NA"/>
    <s v="NA"/>
    <s v="NA"/>
    <s v="NA"/>
    <s v="NA"/>
    <s v="NA"/>
    <s v="NA"/>
    <s v="NA"/>
    <e v="#VALUE!"/>
    <s v="NCR"/>
    <s v="Negado"/>
    <e v="#N/A"/>
    <m/>
    <m/>
    <n v="0"/>
    <m/>
    <m/>
    <s v="Derecho"/>
    <e v="#N/A"/>
    <m/>
    <s v="NCR"/>
  </r>
  <r>
    <s v="TI"/>
    <n v="1017931390"/>
    <s v="1000124511"/>
    <s v="JUAN MANUEL OSORIO PINEDA PINEDA"/>
    <s v="Estudios por primera vez"/>
    <x v="3"/>
    <s v="Descartado por ingresos altos"/>
    <s v="Se esta revisando ingresos contra doc"/>
    <s v="En publico objetivo"/>
    <s v="1er Cohorte"/>
    <s v="Admitido"/>
    <s v="jmosoriop@eafit.edu.co"/>
    <s v="jmosoriop@eafit.edu.co"/>
    <s v="robertoalbeiro60@gmail.com"/>
    <s v="573226030669"/>
    <d v="2025-04-25T00:00:00"/>
    <s v="Activo en Programa"/>
    <s v="001-Administración de Negocios"/>
    <s v="Escuela de Administración"/>
    <d v="2007-12-28T00:00:00"/>
    <n v="17"/>
    <s v="Antioquia"/>
    <s v="Medellín"/>
    <s v="Hombre"/>
    <s v="Soltero"/>
    <s v="NO"/>
    <s v="NO"/>
    <n v="0"/>
    <s v="NO"/>
    <s v="NA"/>
    <s v="NO"/>
    <s v="NA"/>
    <s v="NO"/>
    <s v="NA"/>
    <s v="No"/>
    <s v="313 7610755"/>
    <s v="573226030669"/>
    <s v="Estrato 3"/>
    <s v="TV V 32 C SUR N 31 BA 19 BRR LAS FLORES ENVIGADO"/>
    <s v="Antioquia"/>
    <s v="Medellín"/>
    <s v="No aplica, no soy foráneo"/>
    <s v="Propio"/>
    <s v="SI"/>
    <s v="2024"/>
    <s v="AC202433290384"/>
    <n v="311"/>
    <n v="59"/>
    <n v="62"/>
    <s v="Privada"/>
    <s v="COLEGIO LA SALLE ENVIGADO"/>
    <n v="2024"/>
    <s v="Antioquia"/>
    <s v="Envigado"/>
    <s v="BACHILLER"/>
    <s v="ACAD"/>
    <s v="TIPO: Privada, INSTITUCION: COLEGIO LA SALLE ENVIGADO, AÑO: 2024, CIUDAD: Envigado, TITULO: BACHILLER"/>
    <s v="11"/>
    <s v="Escala de 0 - 5"/>
    <s v="Escala de 0 - 5"/>
    <s v="4,1"/>
    <s v="3,8"/>
    <m/>
    <s v="3,8"/>
    <s v="4,2"/>
    <m/>
    <n v="4.2"/>
    <n v="4.3"/>
    <m/>
    <n v="4.3"/>
    <n v="4.0999999999999996"/>
    <m/>
    <s v="4,7"/>
    <s v="4,8"/>
    <m/>
    <s v="4,4"/>
    <s v="4,1"/>
    <m/>
    <s v="4,3"/>
    <s v="4,1"/>
    <m/>
    <s v="De 9 y 10"/>
    <n v="4.2249999999999996"/>
    <s v="NO"/>
    <s v="NA"/>
    <n v="0"/>
    <n v="0"/>
    <s v="No"/>
    <n v="45"/>
    <m/>
    <n v="45"/>
    <m/>
    <n v="45"/>
    <m/>
    <s v="Aspirante egresado en Dec24. Este semestre se fue para USA a NJ porque estaba indeciso sober que estudiar y porque quería tener la experiencia de vivir por fuera y conocer nuevas personas. Ya regresó a Colombia y durante este tiempo trabajó con la tía en servicio al cliente en la compañía de aseo que ella tiene en USA. Quiere aspirar a la beca talento. Le gusta mucho el baloncesto que juega como aficionado con el INDER de Envigado. Tiene buen inglés. Estaba indeciso si estudiar finanzas o admon., se decidió por admon. porque le ha gustado emprender y porque piensa que podrá tener mayor empleabilidad que con finanzas. En emprendimientos, vendió joyería/bisutería y tuvo un negocio de batidos saludables dirigido a niños, los nombres de los batidos se referían a súper héroes. EAFIT le gusta por las oportunidades que brinda al estudiante, por el reconocimiento y la calidad de la Institución."/>
    <n v="45"/>
    <s v="Con detalle por componente"/>
    <s v="Deportistas de alto rendimiento o representativo,Trabajo social o comunitario"/>
    <s v="Desde que descubrí mi interés por el mundo empresarial, he soñado con ser un profesional que contribuya al crecimiento económico de mi región de manera ética e innovadora. Estudiar Administración de Negocios en la Universidad EAFIT representa para mí una oportunidad única para formarme con excelencia y desarrollar habilidades estratégicas que me permitan liderar proyectos con impacto positivo._x000a__x000a_Me visualizo creando o fortaleciendo empresas en Envigado y Medellín que generen empleo, promuevan el emprendimiento y estén comprometidas con el bienestar social. Quiero impulsar negocios sostenibles que, además de ser rentables, mejoren la calidad de vida de las personas, especialmente en comunidades que enfrentan desafíos económicos._x000a__x000a_Obtener esta beca transformaría mi vida personal y profesional. Me permitiría dedicarme plenamente a mi formación sin que los obstáculos financieros limiten mis oportunidades. Además, me abriría las puertas a espacios de aprendizaje, mentoría y liderazgo que potenciarán mi capacidad para generar un cambio real en mi entorno._x000a__x000a_Con el conocimiento y las herramientas adquiridas en EAFIT, aspiro a apoyar a emprendedores locales, fomentar la educación financiera y promover modelos de negocio que integren a poblaciones vulnerables. Estoy convencido de que la educación, acompañada de compromiso y visión, puede ser una poderosa herramienta para transformar vidas."/>
    <s v="A través del Colegio"/>
    <s v="Por la calidad académica."/>
    <s v="Alta empleabilidad."/>
    <n v="3"/>
    <s v="0"/>
    <s v="SI"/>
    <s v="NO"/>
    <s v="Entre 3 y 4 millones"/>
    <s v="No"/>
    <s v="NO"/>
    <s v="SI"/>
    <s v="Crédito entidad externa"/>
    <s v="SI"/>
    <s v="Beca"/>
    <s v="NO"/>
    <s v=""/>
    <s v=""/>
    <s v="Sin información"/>
    <n v="0"/>
    <m/>
    <m/>
    <m/>
    <s v=""/>
    <s v=""/>
    <m/>
    <s v=""/>
    <m/>
    <s v=""/>
    <m/>
    <m/>
    <s v="Sin información."/>
    <s v="Si"/>
    <s v="Natalia Pineda Torres"/>
    <s v="Casado"/>
    <m/>
    <s v="48"/>
    <s v="Visitadora médica"/>
    <s v="Empleado (con contrato laboral)"/>
    <s v="Visitadora médica."/>
    <s v="Euroetika"/>
    <n v="5155000"/>
    <s v="Si"/>
    <s v="SI"/>
    <s v="NO"/>
    <s v="Natalia es una madre soltera que ha asumido con responsabilidad y compromiso la crianza de su hijo, quien actualmente participa en el proceso para obtener una beca en EAFIT. Vive con su madre, quien también ha sido un apoyo fundamental en el hogar. Natalia se ha esforzado por brindarle a su hijo las mejores oportunidades posibles dentro de sus capacidades, a pesar de la ausencia económica del padre."/>
    <n v="5155000"/>
    <s v="Si"/>
    <s v="Cielo Maria Torres"/>
    <s v="Abuelo / Abuela"/>
    <s v="74"/>
    <s v="Ama de casa."/>
    <s v="Ninguna."/>
    <n v="0"/>
    <s v="No"/>
    <s v=""/>
    <s v=""/>
    <s v=""/>
    <s v=""/>
    <s v=""/>
    <m/>
    <s v=""/>
    <s v=""/>
    <s v=""/>
    <s v=""/>
    <s v=""/>
    <s v=""/>
    <m/>
    <s v=""/>
    <s v=""/>
    <n v="0"/>
    <n v="150000000"/>
    <n v="0"/>
    <n v="0"/>
    <n v="0"/>
    <s v="Si"/>
    <s v="kia cerato forte"/>
    <s v="2015"/>
    <n v="28000000"/>
    <s v="No"/>
    <s v=""/>
    <s v=""/>
    <n v="0"/>
    <s v="No"/>
    <s v=""/>
    <s v=""/>
    <s v=""/>
    <n v="0"/>
    <s v="La familia cuenta con un único bien inmueble&amp;#58; un apartamento que actualmente habitan la madre, el hijo que participa en la convocatoria de beca y la abuela. Este apartamento no genera ingresos, ya que es la vivienda principal de la familia. Además, poseen un solo vehículo, el cual es de uso familiar y se utiliza principalmente para desplazamientos cotidianos, como el transporte al trabajo, diligencias médicas y actividades escolares o académicas. No existen otros bienes inmuebles ni vehículos adicionales."/>
    <n v="1"/>
    <n v="1"/>
    <n v="1"/>
    <n v="1"/>
    <n v="1"/>
    <n v="1"/>
    <n v="1"/>
    <n v="1"/>
    <n v="1"/>
    <n v="1"/>
    <n v="10"/>
    <s v="NO"/>
    <m/>
    <s v="SI, SON PRI"/>
    <s v="ok tienen todos los datos"/>
    <e v="#N/A"/>
    <e v="#N/A"/>
    <m/>
    <n v="3"/>
    <n v="10"/>
    <n v="8"/>
    <n v="5"/>
    <n v="15"/>
    <n v="0"/>
    <n v="15"/>
    <n v="12.5"/>
    <n v="9.5"/>
    <n v="54.5"/>
    <n v="0.4"/>
    <m/>
    <n v="2"/>
    <n v="2.5"/>
    <n v="3"/>
    <n v="2"/>
    <n v="2"/>
    <n v="2.5"/>
    <n v="6"/>
    <n v="2"/>
    <n v="55.5"/>
    <n v="0.4"/>
    <s v="Negado"/>
    <e v="#N/A"/>
    <m/>
    <m/>
    <n v="0"/>
    <m/>
    <m/>
    <s v="Administración de Negocios"/>
    <e v="#N/A"/>
    <m/>
    <e v="#N/A"/>
  </r>
  <r>
    <s v="TI"/>
    <n v="1017931674"/>
    <s v="1000148474"/>
    <s v="SAMUEL BARBOSA SEPULVEDA"/>
    <s v="Estudios por primera vez"/>
    <x v="1"/>
    <s v="Descartado por notas"/>
    <m/>
    <s v="En publico objetivo"/>
    <s v="2da Cohorte"/>
    <s v="Admitido"/>
    <s v="sbarbosas@eafit.edu.co"/>
    <e v="#N/A"/>
    <s v="leidysam85@gmail.com"/>
    <s v="573006914211"/>
    <d v="2025-05-16T00:00:00"/>
    <s v="Activo en Programa"/>
    <s v="010-Ingeniería de Sistemas"/>
    <s v="E Ciencias Aplic e Ingeniería"/>
    <d v="2008-02-06T00:00:00"/>
    <n v="17"/>
    <s v="Antioquia"/>
    <s v="Medellín"/>
    <s v="Hombre"/>
    <s v="Soltero"/>
    <s v="NO"/>
    <s v="NO"/>
    <n v="0"/>
    <s v="NO"/>
    <s v="NA"/>
    <s v="NO"/>
    <s v="NA"/>
    <s v="NO"/>
    <s v="NA"/>
    <s v="No"/>
    <s v="300/691-4211"/>
    <s v="573006914211"/>
    <s v="Estrato 3"/>
    <s v="CR 58 BB CL 40 C 16 IN 501"/>
    <s v="Antioquia"/>
    <s v="Bello"/>
    <s v="No aplica, no soy foráneo"/>
    <s v="Familiar"/>
    <s v="SI"/>
    <s v="2024"/>
    <s v="AC202433347077"/>
    <n v="360"/>
    <n v="67"/>
    <n v="71"/>
    <s v="Privada"/>
    <s v="COL PARROQ SN FCO. DE ASIS"/>
    <n v="2024"/>
    <s v="Antioquia"/>
    <s v="Medellín"/>
    <s v="BACHILLER"/>
    <s v="ACAD"/>
    <s v="TIPO: Privada, INSTITUCION: COL PARROQ SN FCO. DE ASIS, AÑO: 2024, CIUDAD: Bello, TITULO: BACHILLER"/>
    <s v="11"/>
    <s v="Escala de 0 - 10"/>
    <s v="Escala de 0 - 5"/>
    <s v="4"/>
    <s v="3,9"/>
    <m/>
    <s v="4"/>
    <s v="3,9"/>
    <m/>
    <n v="3.6"/>
    <n v="3.8"/>
    <m/>
    <n v="4"/>
    <n v="3.9"/>
    <m/>
    <s v="4"/>
    <s v="3,9"/>
    <m/>
    <s v="3,9"/>
    <s v="3,8"/>
    <m/>
    <s v="3,8"/>
    <s v="4"/>
    <m/>
    <s v="De 9 y 10"/>
    <n v="3.8250000000000002"/>
    <s v="NO"/>
    <s v="NA"/>
    <n v="0"/>
    <n v="0"/>
    <s v="No"/>
    <n v="40"/>
    <m/>
    <n v="40"/>
    <m/>
    <n v="40"/>
    <m/>
    <m/>
    <n v="40"/>
    <s v="Con detalle por componente"/>
    <s v="Deportistas de alto rendimiento o representativo,Espacios de liderazgo o representación social,Artísticas o culturales"/>
    <s v="Desde muy chiquito he sentido una profunda curiosidad por la tecnología y su capacidad para resolver problemas reales y ayudar a los demás. Esta pasión me llevó a estar luchando por cumplir mi meta de convertirme en un un Ingeniero en sistemas como camino profesional. Me visualizo ejerciendo esta carrera no solo como un ingeniero competente en desarrollo de software y soluciones digitales, sino también como un agente de cambio para mi familia y comunidad donde he crecido y donde he podido vivir momentos tan agradables que me hacen corroborar ese sentimiento de querer seguir adelante y dando un paso en mi camino profesional de alguna manera me gustaría devolverle el favor al espacio donde habito."/>
    <s v="Anuncio periódico WEB"/>
    <s v="Por la calidad académica."/>
    <s v="Vocación."/>
    <n v="3"/>
    <s v="0"/>
    <s v="SI"/>
    <s v="NO"/>
    <s v="Entre 2 y 3 millones"/>
    <s v="No"/>
    <n v="0"/>
    <n v="0"/>
    <m/>
    <s v="SI"/>
    <s v="Beca"/>
    <s v="NO"/>
    <s v=""/>
    <s v=""/>
    <s v="Sin información"/>
    <s v="JAIRO ALBERTO BARBOSA BARRERA"/>
    <s v="Soltero"/>
    <s v="TECNOLOGÍA"/>
    <s v="49"/>
    <s v=""/>
    <s v=""/>
    <m/>
    <s v=""/>
    <m/>
    <s v=""/>
    <s v="NO"/>
    <s v="NO"/>
    <s v="Vive en Armenia, no tenemos mucho contacto, me ayuda muy poco economicamente."/>
    <s v="Si"/>
    <s v="LEIDY JOHANA SEPULVEDA"/>
    <s v="Soltero"/>
    <s v="UNIVERSITARIOS"/>
    <s v="40"/>
    <s v="Administradora de empresas"/>
    <s v="Empleado (con contrato laboral)"/>
    <s v="COMERCIAL"/>
    <s v="LAS ELECTROMEDICINA"/>
    <n v="3400000"/>
    <s v="Si"/>
    <s v="SI"/>
    <s v="NO"/>
    <s v="Ninguna"/>
    <n v="3400000"/>
    <s v="Si"/>
    <s v="MARTHA ELENA SEPULVEDA JIMENEZ"/>
    <s v="Abuelo / Abuela"/>
    <s v="62"/>
    <s v="Ama de casa"/>
    <s v="Ninguna"/>
    <n v="0"/>
    <s v="No"/>
    <s v=""/>
    <s v=""/>
    <s v=""/>
    <s v=""/>
    <s v=""/>
    <m/>
    <s v=""/>
    <s v=""/>
    <s v=""/>
    <s v=""/>
    <s v=""/>
    <s v=""/>
    <m/>
    <s v=""/>
    <s v=""/>
    <n v="0"/>
    <n v="135000000"/>
    <n v="0"/>
    <n v="0"/>
    <n v="0"/>
    <s v="No"/>
    <s v=""/>
    <s v=""/>
    <n v="0"/>
    <s v="No"/>
    <s v=""/>
    <s v=""/>
    <n v="0"/>
    <s v="No"/>
    <s v=""/>
    <s v=""/>
    <s v=""/>
    <n v="0"/>
    <s v="El apartamento se encuentra hipotecado"/>
    <n v="4"/>
    <n v="4"/>
    <n v="4"/>
    <n v="4"/>
    <n v="4"/>
    <n v="4"/>
    <n v="4"/>
    <n v="4"/>
    <n v="4"/>
    <n v="4"/>
    <n v="40"/>
    <s v="SI"/>
    <m/>
    <s v="SI, SON PRI"/>
    <s v="ok tienen todos los datos"/>
    <s v="Negada"/>
    <n v="20251"/>
    <m/>
    <n v="3"/>
    <n v="10"/>
    <n v="8"/>
    <n v="10"/>
    <n v="10"/>
    <n v="15"/>
    <n v="10"/>
    <n v="15.5"/>
    <n v="15.5"/>
    <n v="70.5"/>
    <n v="0.4"/>
    <m/>
    <n v="2"/>
    <n v="3.5"/>
    <n v="8"/>
    <n v="2"/>
    <n v="2"/>
    <n v="3.5"/>
    <n v="8"/>
    <n v="2"/>
    <n v="68.5"/>
    <n v="0.5"/>
    <n v="0.4"/>
    <e v="#N/A"/>
    <m/>
    <m/>
    <n v="0"/>
    <m/>
    <m/>
    <s v="Ingeniería de Sistemas"/>
    <e v="#N/A"/>
    <s v="010"/>
    <e v="#N/A"/>
  </r>
  <r>
    <s v="TI"/>
    <n v="1017931824"/>
    <s v="1000027811"/>
    <s v="SARA ESCOBAR GOMEZ"/>
    <s v="Estudios por primera vez"/>
    <x v="6"/>
    <s v="No cumple, puntaje ICFES menor a 300"/>
    <m/>
    <s v="En publico objetivo"/>
    <s v="2da Cohorte"/>
    <s v="Admitido"/>
    <s v="sescobarg3@eafit.edu.co"/>
    <s v="sescobarg3@eafit.edu.co"/>
    <s v="esco.sara08@gmail.com"/>
    <s v="573054058624"/>
    <d v="2025-05-16T00:00:00"/>
    <s v="Activo en Programa"/>
    <s v="237-Diseño Interactivo"/>
    <s v="Escuela de Artes y Humanidades"/>
    <d v="2008-03-08T00:00:00"/>
    <n v="17"/>
    <s v="Antioquia"/>
    <s v="Medellín"/>
    <s v="Mujer"/>
    <s v="Soltero"/>
    <s v="NO"/>
    <s v="NO"/>
    <n v="0"/>
    <s v="NO"/>
    <s v="NA"/>
    <s v="NO"/>
    <s v="NA"/>
    <s v="NO"/>
    <s v="NA"/>
    <s v="No"/>
    <s v="604/558-2408"/>
    <s v="573054058624"/>
    <s v="Estrato 3"/>
    <s v="CL 2 79 35"/>
    <s v="Antioquia"/>
    <s v="Medellín"/>
    <s v="No aplica, no soy foráneo"/>
    <s v="Arriendo"/>
    <s v="SI"/>
    <s v="2024"/>
    <s v="AC202435305156"/>
    <n v="288"/>
    <n v="56"/>
    <n v="64"/>
    <s v="Privada"/>
    <s v="DE LA UNV. PONTIFICIA BOLIVARI"/>
    <n v="2024"/>
    <m/>
    <s v="Medellín"/>
    <s v="Bachillerato"/>
    <s v="BACHILLER"/>
    <s v="TIPO: Privada, INSTITUCION: DE LA UNV. PONTIFICIA BOLIVARI, AÑO: 2024, CIUDAD: Medellín, TITULO: BACHILLER"/>
    <s v="11"/>
    <s v="Escala de 0 - 5"/>
    <s v="Escala de 0 - 5"/>
    <s v="5"/>
    <s v="4"/>
    <m/>
    <s v="4,7"/>
    <s v="4,5"/>
    <m/>
    <n v="4.5"/>
    <n v="4"/>
    <m/>
    <n v="4.5"/>
    <n v="4.5"/>
    <m/>
    <s v="4,5"/>
    <s v="4,5"/>
    <m/>
    <s v="4,5"/>
    <s v="4,7"/>
    <m/>
    <s v="4,5"/>
    <s v="5"/>
    <m/>
    <s v="De 9 y 10"/>
    <n v="4.375"/>
    <s v="NO"/>
    <s v="NA"/>
    <n v="0"/>
    <n v="0"/>
    <s v="No"/>
    <n v="40"/>
    <m/>
    <n v="45"/>
    <m/>
    <n v="50"/>
    <m/>
    <m/>
    <n v="45"/>
    <s v="Con detalle por componente"/>
    <s v="Artísticas o culturales"/>
    <s v="Me visualizo ejerciendo en el diseño interactivo como alguien que trabaja con un propósito para los demás. Aquella persona que entiende, imagina y crea pensando en la satisfacción de las personas. Más que solo hacer cosas &quot;bonitas&quot;, quiero diseñar experiencias que hagan la relación - cliente más significativa. Quiero escuchar a las personas, para entender sus necesidades y poder reflejarlos en experiencias digitales, que no solo funcionen, sino que también permitan conectar emocionalmente con el público. Me visualizo liderando proyectos en empresas que mezclen la creatividad, tecnología y especialmente la empatía, ya que considero que es una palabra que me define como persona y quisiera reflejarlo en mis proyectos. Colombia es un país lleno de creatividad y talento, pero también es un lugar donde la educación especializada y la tecnología es muy limitada. Con esta beca no solo estoy cumpliendo un sueño a nivel personal, sino que para mí representa una oportunidad para formarme con los mejores y abrirme al mundo; además me permitiría impulsar mis conocimientos para poder ser voz en mi país y crear proyectos que ayuden a la comunidad, como diseñar plataformas digitales educativas para que los niños puedan vivir experiencias más allá de lo tradicional, que no solo sean educativas, sino que también sea un espacio en el que ellos puedan divertirse. O ¿Por qué no crear soluciones digitales en los que los emprendedores puedan expandirse? La tecnología es el futuro y con el uso adecuado de ella se pueden hacer cosas extraordinarias. Quiero contribuir a que más personas en mi país descubran que también pueden ser creadores de soluciones y no solo usuarios. Esta beca para mi no solo es una simple puerta, es la llave para abrir el futuro. Con este apoyo no solo quiero diseñar; quiero inspirar, conmover y hacer que cada interacción digital sea un latido de conexión humana."/>
    <s v="Amigos"/>
    <s v="Por la calidad académica."/>
    <s v="Vocación."/>
    <n v="4"/>
    <s v="4"/>
    <s v="NO"/>
    <s v="NO"/>
    <s v="Entre 4 y 5 millones"/>
    <s v="No"/>
    <n v="0"/>
    <n v="0"/>
    <m/>
    <s v="Y"/>
    <m/>
    <s v="NO"/>
    <s v="NA"/>
    <s v="NA"/>
    <s v="Si"/>
    <s v="Julio Cesár Escobar Silva"/>
    <s v="Soltero"/>
    <s v="UNIVERSITARIOS"/>
    <s v="53"/>
    <s v="Administrador de empresas"/>
    <s v="Empleado (con contrato laboral)"/>
    <s v="Jefe de Zona"/>
    <s v="Laboratorios Sophia"/>
    <n v="8000000"/>
    <s v="No"/>
    <s v="SI"/>
    <s v="NO"/>
    <s v="Padres separados. Con responsabilidad económica de Hermano y Hermana por parte paterna de la aspirante Sara Escobar Gómez. Teniendo en cuenta que el Hermano menor es aspirante también a universidad segundo semestre 2025."/>
    <s v="Si"/>
    <s v="Julman Gómez Bustamante"/>
    <s v="Soltero"/>
    <s v="ESPECIALIZACIÓN"/>
    <s v="53"/>
    <s v="Administradora de negocios"/>
    <s v="Empleado (con contrato laboral)"/>
    <s v="Representante de ventas"/>
    <s v="Laboratorio Abbott"/>
    <n v="5100000"/>
    <s v="Si"/>
    <s v="NO"/>
    <s v="NO"/>
    <s v="Padres separados. Con responsabilidad económica de Primo y Abuela por parte materna de la aspirante Sara Escobar Gómez."/>
    <n v="13100000"/>
    <s v="Si"/>
    <s v="María Cenaida Bustamante"/>
    <s v="Abuelo / Abuela"/>
    <s v="73"/>
    <s v="Ama de casa"/>
    <s v="No aplica"/>
    <n v="0"/>
    <s v="No"/>
    <s v="Katty Escobar Gómez"/>
    <s v="Hermano / Hermana"/>
    <s v="30"/>
    <s v="Maquillador"/>
    <s v="No aplica"/>
    <n v="1500000"/>
    <s v="No"/>
    <s v="Juan Pablo Marzal Gómez"/>
    <s v="Primos"/>
    <s v="23"/>
    <s v="No aplica"/>
    <s v="No aplica"/>
    <n v="0"/>
    <s v="No"/>
    <s v="Padres separados. En la vivienda materna y en la que vive la aspirante habitan, su madre, su hermana, su abuela y su primo. En la vivienda paterna viven su padre, su hermano y su hermana."/>
    <n v="0"/>
    <n v="0"/>
    <n v="0"/>
    <n v="0"/>
    <n v="0"/>
    <s v="Si"/>
    <s v="Chevrolet"/>
    <s v="2020"/>
    <n v="25000000"/>
    <s v="No"/>
    <s v=""/>
    <s v=""/>
    <n v="0"/>
    <s v="No"/>
    <s v=""/>
    <s v=""/>
    <s v=""/>
    <n v="0"/>
    <s v="No aplica"/>
    <n v="3"/>
    <n v="4"/>
    <n v="4"/>
    <n v="4"/>
    <n v="3"/>
    <n v="4"/>
    <n v="3"/>
    <n v="4"/>
    <n v="3"/>
    <n v="3"/>
    <n v="35"/>
    <s v="SI"/>
    <m/>
    <s v="SI, SON PRI"/>
    <s v="ok tienen todos los datos"/>
    <e v="#N/A"/>
    <e v="#N/A"/>
    <m/>
    <n v="3"/>
    <n v="10"/>
    <n v="8"/>
    <n v="0"/>
    <n v="15"/>
    <n v="15"/>
    <n v="15"/>
    <n v="10.5"/>
    <n v="10.5"/>
    <n v="65.5"/>
    <n v="0.4"/>
    <m/>
    <n v="2"/>
    <n v="4.5"/>
    <n v="0"/>
    <n v="4"/>
    <n v="2"/>
    <n v="4"/>
    <n v="0"/>
    <n v="4.5"/>
    <n v="63.5"/>
    <n v="0.4"/>
    <s v="Negado"/>
    <e v="#N/A"/>
    <m/>
    <m/>
    <n v="0"/>
    <m/>
    <m/>
    <s v="Diseño Interactivo"/>
    <e v="#N/A"/>
    <m/>
    <e v="#N/A"/>
  </r>
  <r>
    <s v="TI"/>
    <n v="1017932012"/>
    <s v="1000409984"/>
    <s v="MATIAS RESTREPO BERNAL"/>
    <s v="Estudios por primera vez"/>
    <x v="1"/>
    <s v="No cumple, puntaje ICFES menor a 300"/>
    <m/>
    <s v="En publico objetivo"/>
    <s v="3ra Cohorte"/>
    <s v="Admitido"/>
    <s v="mrestrepb3@eafit.edu.co"/>
    <e v="#N/A"/>
    <s v="andresfra0622@gmail.com"/>
    <s v="573116430282, 3116430282"/>
    <d v="2025-06-06T00:00:00"/>
    <s v="Matrícula"/>
    <s v="237-Diseño Interactivo"/>
    <s v="Escuela de Artes y Humanidades"/>
    <s v="02/04/2008"/>
    <n v="17"/>
    <s v="Antioquia"/>
    <s v="Medellín"/>
    <s v="Hombre"/>
    <s v="Soltero"/>
    <s v="NO"/>
    <s v="NO"/>
    <s v="NA"/>
    <s v="NO"/>
    <s v="NA"/>
    <s v="NO"/>
    <s v="NA"/>
    <s v="NO"/>
    <s v="NA"/>
    <s v="No"/>
    <s v="NA"/>
    <s v="NA"/>
    <s v="Estrato 3"/>
    <s v="CR 51#44 58"/>
    <s v="Antioquia"/>
    <s v="Fredonia"/>
    <s v="Si"/>
    <s v="Arriendo"/>
    <s v="SI"/>
    <s v="2024"/>
    <s v="AC202435346093"/>
    <n v="287"/>
    <n v="50"/>
    <n v="62"/>
    <s v="Pública"/>
    <s v="I. E. EFE GOMEZ"/>
    <n v="2024"/>
    <m/>
    <s v="Fredonia"/>
    <s v="Bachillerato"/>
    <s v="Académico"/>
    <m/>
    <s v="Once"/>
    <s v="0-5"/>
    <s v="Escala de 0 - 5"/>
    <m/>
    <m/>
    <m/>
    <m/>
    <m/>
    <m/>
    <n v="4"/>
    <n v="4"/>
    <m/>
    <n v="4"/>
    <n v="4"/>
    <m/>
    <m/>
    <m/>
    <m/>
    <m/>
    <m/>
    <m/>
    <m/>
    <m/>
    <m/>
    <s v="De 9 y 10"/>
    <n v="4"/>
    <s v="NO"/>
    <s v="NA"/>
    <n v="0"/>
    <n v="0"/>
    <s v="No"/>
    <s v="Sin informacion"/>
    <s v="Sin informacion"/>
    <s v="Sin informacion"/>
    <s v="Sin informacion"/>
    <s v="Sin informacion"/>
    <s v="Sin informacion"/>
    <s v="Sin informacion"/>
    <n v="48.332999999999998"/>
    <s v="Sin detalle por componente"/>
    <s v="Deportistas de alto rendimiento o representativo,Espacios de liderazgo o representación social,Artísticas o culturales"/>
    <s v="Quiero poder realizar el pregrado de diseño interactivo en eafit por que deseo ser una persona que aporta al crecimiento del país y las nuevas tecnologías, me veo como un catalizador de cambio, un puente entre la tecnología y las necesidades humanas. No solo seré un diseñador, sino un estratega, un solucionador de problemas con la habilidad de transformar ideas complejas en experiencias intuitivas y atractivas, quiero ser parte de la nueva transformación que esta viviendo el país."/>
    <s v="Página WEB"/>
    <s v="Por la calidad académica."/>
    <s v="Recomendación."/>
    <n v="2"/>
    <s v="1"/>
    <s v="SI"/>
    <s v="SI"/>
    <s v="Menos de 1millón"/>
    <s v="No"/>
    <n v="0"/>
    <n v="0"/>
    <m/>
    <s v="Y"/>
    <m/>
    <s v="NO"/>
    <s v="NA"/>
    <s v="NA"/>
    <s v="Si"/>
    <s v="ANDRES FELIPE RESTREPO ARANGO"/>
    <m/>
    <m/>
    <m/>
    <s v="ADMINSITRADOR COMERCIAL"/>
    <s v="Empleado (con contrato laboral)"/>
    <s v="Director comercial"/>
    <s v="HEAVY MOGUL"/>
    <n v="4500000"/>
    <s v="No"/>
    <m/>
    <m/>
    <s v="MI PAPA VIVE EN MEDELLIN Y ES LA PERSONA QUE APORTA PARA MI SOSTENIMIENTO"/>
    <s v="Si"/>
    <s v="CATALINA BERNAL LOPEZ"/>
    <m/>
    <m/>
    <m/>
    <s v="ama de casa"/>
    <s v="Labores del hogar y cuidado"/>
    <s v="Ama de casa"/>
    <s v="Ama de casa"/>
    <n v="0"/>
    <s v="Si"/>
    <m/>
    <m/>
    <s v="MI MAMA ES AMA DE CASA YO VIVO CON ELLA, MI PADRASTRO Y HERMANOS"/>
    <n v="4500000"/>
    <s v="Si"/>
    <s v="LORENZO PEREZ BERNAL"/>
    <s v="Hermano / Hermana"/>
    <s v="7"/>
    <s v="Estudiante"/>
    <s v="INSTITUCION EDUCATIVA EFE GOMEZ"/>
    <n v="0"/>
    <s v="No"/>
    <s v="MAXIMILIANO PEREZ BERNAL"/>
    <s v="Hermano / Hermana"/>
    <s v="9"/>
    <s v="Estudiante"/>
    <s v="INSTITUCION EDUCATIVA EFE GOMEZ"/>
    <n v="0"/>
    <s v="No"/>
    <s v=""/>
    <s v=""/>
    <s v=""/>
    <s v=""/>
    <s v=""/>
    <m/>
    <s v=""/>
    <s v="VIVO CON MI MAMA, MIS HERMANOS Y MI PADRASTRO PERO DE MIS GASTOS SE ENCARGO MI PAPA QUE VIVE EN MEDELLIN"/>
    <n v="0"/>
    <n v="0"/>
    <n v="0"/>
    <n v="0"/>
    <n v="0"/>
    <s v="No"/>
    <s v=""/>
    <s v=""/>
    <n v="0"/>
    <s v="No"/>
    <s v=""/>
    <s v=""/>
    <n v="0"/>
    <s v="Si"/>
    <s v="Moto"/>
    <s v="Akt"/>
    <s v="2020"/>
    <n v="4000000"/>
    <m/>
    <n v="4"/>
    <n v="3"/>
    <n v="4"/>
    <n v="4"/>
    <n v="4"/>
    <n v="4"/>
    <n v="4"/>
    <n v="3"/>
    <n v="4"/>
    <n v="4"/>
    <n v="38"/>
    <s v="SI"/>
    <s v="SI, ICFES"/>
    <s v="PRI SIN PUNTAJE ICFES, TIPO IES, DETALLE OTROS ESTUDIOS Y DETALLE ENTREVISTA"/>
    <s v="pendiente tipo ie"/>
    <e v="#N/A"/>
    <e v="#N/A"/>
    <m/>
    <n v="3"/>
    <n v="10"/>
    <n v="8"/>
    <n v="0"/>
    <n v="15"/>
    <n v="15"/>
    <n v="20"/>
    <n v="19"/>
    <n v="18"/>
    <n v="78"/>
    <n v="0.5"/>
    <m/>
    <n v="3.5"/>
    <n v="4.5"/>
    <n v="6"/>
    <n v="4"/>
    <n v="3.5"/>
    <n v="4"/>
    <n v="7"/>
    <n v="4.5"/>
    <n v="77"/>
    <n v="0.7"/>
    <n v="0.7"/>
    <e v="#N/A"/>
    <m/>
    <m/>
    <s v="SI, ICFES"/>
    <m/>
    <m/>
    <s v="Diseño Interactivo"/>
    <e v="#N/A"/>
    <s v="237"/>
    <e v="#N/A"/>
  </r>
  <r>
    <s v="TI"/>
    <n v="1017932014"/>
    <s v="1000390797"/>
    <s v="LUISA MARÍA MONTOYA PARRA"/>
    <s v="Estudios por primera vez"/>
    <x v="1"/>
    <s v="Descartado por notas"/>
    <m/>
    <s v="En publico objetivo"/>
    <s v="2da Cohorte"/>
    <s v="Admitido"/>
    <s v="lmmontoyp1@eafit.edu.co"/>
    <s v="lmmontoyp1@eafit.edu.co"/>
    <s v="luisaparra496@gmail.com"/>
    <s v="573206700328"/>
    <d v="2025-05-16T00:00:00"/>
    <s v="Activo en Programa"/>
    <s v="084-Derecho"/>
    <s v="Escuela de Derecho"/>
    <d v="2008-04-15T00:00:00"/>
    <n v="17"/>
    <s v="Antioquia"/>
    <s v="Medellín"/>
    <s v="Mujer"/>
    <s v="Soltero"/>
    <s v="NO"/>
    <s v="NO"/>
    <n v="0"/>
    <s v="NO"/>
    <s v="NA"/>
    <s v="NO"/>
    <s v="NA"/>
    <s v="NO"/>
    <s v="NA"/>
    <s v="No"/>
    <s v="314/673-5020"/>
    <s v="573206700328"/>
    <s v="Estrato 2"/>
    <s v="CR 79 CL 2 SUR 39"/>
    <s v="Antioquia"/>
    <s v="Medellín"/>
    <s v="No aplica, no soy foráneo"/>
    <s v="Arriendo"/>
    <s v="SI"/>
    <s v="2024"/>
    <s v="AC202433347093"/>
    <n v="326"/>
    <n v="74"/>
    <n v="66"/>
    <s v="Privada"/>
    <s v="COL PARROQ SN FCO. DE ASIS"/>
    <n v="2024"/>
    <s v="Antioquia"/>
    <s v="Medellín"/>
    <s v="BACHILLER"/>
    <s v="ACAD"/>
    <s v="TIPO: Privada, INSTITUCION: COL PARROQ SN FCO. DE ASIS, AÑO: 2024, CIUDAD: Bello, TITULO: BACHILLER"/>
    <s v="11"/>
    <s v="Escala de 0 - 5"/>
    <s v="Escala de 0 - 5"/>
    <s v="3,9"/>
    <s v="4"/>
    <m/>
    <s v="4,5"/>
    <s v="4"/>
    <m/>
    <n v="4.5"/>
    <n v="3.9"/>
    <m/>
    <n v="4"/>
    <n v="4"/>
    <m/>
    <s v="4"/>
    <s v="4"/>
    <m/>
    <s v="3,7"/>
    <s v="4"/>
    <m/>
    <s v="3,5"/>
    <s v="4"/>
    <m/>
    <s v="De 9 y 10"/>
    <n v="4.0999999999999996"/>
    <s v="NO"/>
    <s v="NA"/>
    <n v="0"/>
    <n v="0"/>
    <s v="No"/>
    <n v="45"/>
    <m/>
    <n v="50"/>
    <m/>
    <n v="45"/>
    <m/>
    <m/>
    <n v="46.666666666666664"/>
    <s v="Con detalle por componente"/>
    <s v="Artísticas o culturales,Otras (por ejemplo, un talento extraordinario),Deportistas de alto rendimiento o representativo"/>
    <s v="Me visualizo ejerciendo el Derecho como una herramienta para defender y transformar la vida de quienes más lo necesitan, especialmente niños y mujeres. Desde muy joven he sido testigo de cómo, en mi región, muchas personas viven situaciones de injusticia que les roban la tranquilidad, la dignidad y las oportunidades, como son por ejemplo, los niños que son obligados a crecer entre violencias, y las mujeres que son constantemente silenciadas o limitadas por un sistema que muchas veces las ignora y simplemente las subestima._x000a__x000a_Por eso decidí estudiar Derecho, para alzar la voz por quienes no pueden hacerlo, para convertirme en no solo una profesional íntegra, sensible y comprometida con la justicia social sino una mujer que demuestre que todo es posible. Quiero ejercer el Derecho desde el territorio, acompañando comunidades, generando espacios seguros, y luchando por un acceso equitativo a la justicia._x000a__x000a_Como mujer, sé lo difícil que es abrirse camino en un mundo que constantemente impone barreras, pero también creo firmemente que con esfuerzo y preparación puedo ser ejemplo de que sí se puede. Quiero demostrar que no estamos condenadas a la invisibilidad, sino que somos agentes de cambio poderosas._x000a__x000a_La beca representa para mí la posibilidad de acceder a una educación que me prepare para cumplir ese propósito. No solo me beneficiará a nivel personal, sino que me dará las herramientas para regresar a mi comunidad y trabajar por una sociedad más justa, más humana y más consciente. Transformar mi región empieza por transformarme a mí, y esta beca es el primer paso."/>
    <s v="Redes sociales"/>
    <s v="Por la calidad académica."/>
    <s v="Vocación."/>
    <n v="2"/>
    <s v="1"/>
    <s v="NO"/>
    <s v="NO"/>
    <s v="Entre 2 y 3 millones"/>
    <s v="No"/>
    <n v="0"/>
    <n v="0"/>
    <m/>
    <s v="SI"/>
    <s v="Beca"/>
    <s v="NO"/>
    <s v=""/>
    <s v=""/>
    <s v="Si"/>
    <s v="Luis Bernardo Montoya Parra"/>
    <s v="Unión marital"/>
    <s v="BACHILLERATO"/>
    <s v="61"/>
    <s v="Conductor"/>
    <s v="Independiente (trabaja por cuenta propia)"/>
    <s v="Conductor de taxi"/>
    <s v="Rápido Medellín Rionegro"/>
    <n v="1800000"/>
    <s v="Si"/>
    <s v="SI"/>
    <s v="NO"/>
    <s v=""/>
    <s v="Sin información"/>
    <s v=""/>
    <m/>
    <m/>
    <m/>
    <s v=""/>
    <s v=""/>
    <m/>
    <s v=""/>
    <m/>
    <s v=""/>
    <m/>
    <m/>
    <m/>
    <n v="1800000"/>
    <s v="Si"/>
    <s v="David Stiven Montoya Parra"/>
    <s v="Hermano / Hermana"/>
    <s v="28"/>
    <s v="Estudiante"/>
    <s v="SENA"/>
    <n v="0"/>
    <s v="No"/>
    <s v=""/>
    <s v=""/>
    <s v=""/>
    <s v=""/>
    <s v=""/>
    <m/>
    <s v=""/>
    <s v=""/>
    <s v=""/>
    <s v=""/>
    <s v=""/>
    <s v=""/>
    <m/>
    <s v=""/>
    <s v=""/>
    <n v="0"/>
    <n v="0"/>
    <n v="0"/>
    <n v="0"/>
    <n v="0"/>
    <s v="No"/>
    <s v=""/>
    <s v=""/>
    <n v="0"/>
    <s v="No"/>
    <s v=""/>
    <s v=""/>
    <n v="0"/>
    <s v="No"/>
    <s v=""/>
    <s v=""/>
    <s v=""/>
    <n v="0"/>
    <m/>
    <n v="4"/>
    <n v="4"/>
    <n v="4"/>
    <n v="4"/>
    <n v="4"/>
    <n v="4"/>
    <n v="3"/>
    <n v="4"/>
    <n v="4"/>
    <n v="4"/>
    <n v="39"/>
    <s v="SI"/>
    <m/>
    <s v="SI, SON PRI"/>
    <s v="ok tienen todos los datos"/>
    <n v="0.4"/>
    <n v="20251"/>
    <m/>
    <n v="2"/>
    <n v="10"/>
    <n v="10"/>
    <n v="5"/>
    <n v="15"/>
    <n v="15"/>
    <n v="20"/>
    <n v="18.5"/>
    <n v="18.5"/>
    <n v="83.5"/>
    <n v="0.6"/>
    <m/>
    <n v="2"/>
    <n v="4.5"/>
    <n v="8"/>
    <n v="4"/>
    <n v="2"/>
    <n v="4"/>
    <n v="8"/>
    <n v="4.5"/>
    <n v="83.5"/>
    <n v="0.7"/>
    <n v="0.7"/>
    <e v="#N/A"/>
    <m/>
    <m/>
    <n v="0"/>
    <m/>
    <m/>
    <s v="Derecho"/>
    <e v="#N/A"/>
    <s v="084"/>
    <e v="#N/A"/>
  </r>
  <r>
    <s v="TI"/>
    <n v="1017932119"/>
    <s v="1000386198"/>
    <s v="MARIANA PEREZ SALAZAR"/>
    <s v="Cupo Reservado"/>
    <x v="3"/>
    <s v="No cumple, estrato 4"/>
    <m/>
    <s v="En publico objetivo"/>
    <s v="1er Cohorte"/>
    <s v="Admitido"/>
    <s v="mperezs9@eafit.edu.co"/>
    <s v="mperezs9@eafit.edu.co"/>
    <s v="marianitaps08089@gmail.com"/>
    <s v="573006187677"/>
    <d v="2025-04-25T00:00:00"/>
    <s v="Activo en Programa"/>
    <s v="002-Negocios Internacionales"/>
    <s v="Escuela de Administración"/>
    <d v="2008-05-08T00:00:00"/>
    <n v="17"/>
    <s v="Antioquia"/>
    <s v="Medellín"/>
    <s v="Mujer"/>
    <s v="Soltero"/>
    <s v="NO"/>
    <s v="NO"/>
    <n v="0"/>
    <s v="NO"/>
    <s v="NA"/>
    <s v="NO"/>
    <s v="NA"/>
    <s v="NO"/>
    <s v="NA"/>
    <s v="No"/>
    <s v="300/618-7677"/>
    <s v="573006187677"/>
    <s v="Estrato 4"/>
    <s v="MEDELLÍN"/>
    <s v="Antioquia"/>
    <s v="Medellín"/>
    <s v="No aplica, no soy foráneo"/>
    <s v="Arriendo"/>
    <s v="SI"/>
    <n v="2024"/>
    <s v="AC202432756963"/>
    <n v="350"/>
    <n v="70"/>
    <n v="69"/>
    <s v="Privada"/>
    <s v="Colegio Franciscano Palermo de San Jose"/>
    <n v="2024"/>
    <s v="Antioquia"/>
    <s v="Envigado"/>
    <n v="0"/>
    <n v="0"/>
    <m/>
    <n v="0"/>
    <n v="0"/>
    <s v="Escala de 0 - 5"/>
    <m/>
    <s v="4"/>
    <m/>
    <m/>
    <s v="4"/>
    <m/>
    <m/>
    <n v="4.7"/>
    <m/>
    <m/>
    <n v="4.5999999999999996"/>
    <m/>
    <m/>
    <s v="4"/>
    <m/>
    <m/>
    <s v="5"/>
    <m/>
    <m/>
    <s v="4"/>
    <m/>
    <s v="Solo de 10"/>
    <n v="4.6500000000000004"/>
    <s v="NA"/>
    <s v="NA"/>
    <n v="0"/>
    <n v="0"/>
    <s v="No"/>
    <s v="Sin informacion"/>
    <s v="Sin informacion"/>
    <s v="Sin informacion"/>
    <s v="Sin informacion"/>
    <s v="Sin informacion"/>
    <s v="Sin informacion"/>
    <s v="No se había postulado anteriormente a la convocatoria de becas"/>
    <n v="35"/>
    <s v="Cupo reservado"/>
    <s v="Artísticas o culturales,Deportistas de alto rendimiento o representativo,Espacios de liderazgo o representación social"/>
    <s v="Me visualizo ejerciendo mi carrera liderando proyectos de comercio exterior, creando puentes entre empresas colombianas y mercados internacionales, especialmente desde Medellín, una ciudad con un enorme potencial exportador, pero que aún enfrenta retos. Quiero aportar al fortalecimiento de las pequeñas y medianas empresas locales para que logren internacionalizarse, impulsando el desarrollo económico de la región._x000a__x000a_La beca no solo representa una ayuda financiera, sino una oportunidad transformadora, que me permitiría seguir con mi formación académica sin que las limitaciones económicas frenen mi crecimiento."/>
    <s v="Estudiantes de EAFIT"/>
    <s v="Por la calidad académica."/>
    <s v="Vocación."/>
    <n v="3"/>
    <s v="Sin informacion"/>
    <s v="Sin informacion"/>
    <s v="Sin informacion"/>
    <s v="Sin informacion"/>
    <s v="Si"/>
    <n v="0"/>
    <n v="0"/>
    <m/>
    <s v="SI"/>
    <m/>
    <s v="NO"/>
    <s v=""/>
    <s v=""/>
    <s v="Si"/>
    <s v="Elkin Pérez Vargas"/>
    <s v="Soltero"/>
    <s v="UNIVERSITARIOS"/>
    <s v="49"/>
    <s v="Ingeniero Mecanico"/>
    <s v="Independiente (trabaja por cuenta propia)"/>
    <s v="Dueño de empresa"/>
    <s v="Vertical Ingenieria LS SAS"/>
    <n v="3200000"/>
    <s v="Si"/>
    <s v="SI"/>
    <s v="NO"/>
    <s v="Mi padre es un hombre increíble, siempre presente en mi vida. Es una persona divertida, amable y cariñosa, que me brinda un apoyo incondicional en todo lo que hago. Siempre está ahí para animarme, impulsarme a crecer y recordarme que puedo ser mejor cada día."/>
    <s v="Si"/>
    <s v="María Cristina Salazar Bedoya"/>
    <s v="Soltero"/>
    <s v="UNIVERSITARIOS"/>
    <s v="47"/>
    <s v="Ingeniera Mecanica"/>
    <s v="Emprendedor (inicia un proyecto productivo o negocio propio)"/>
    <s v="Emprendedora"/>
    <s v="Tienda GatoPerro"/>
    <n v="700000"/>
    <s v="Si"/>
    <s v="NO"/>
    <s v="NO"/>
    <s v="Mi mamá es la mujer que me inspira todos los días. Me ha cuidado y formado con mucho amor y dedicación, siempre está a mi lado, tanto en los momentos difíciles como en los felices. Es una persona profundamente cariñosa, y su presencia constante en mi vida es una de mis mayores fortalezas."/>
    <n v="3900000"/>
    <s v="Si"/>
    <s v="Isabella Pérez Salazar"/>
    <s v="Hermano / Hermana"/>
    <s v="14"/>
    <s v="Estudiante"/>
    <s v="Colegio Benedictino de Santa María"/>
    <n v="0"/>
    <s v="No"/>
    <s v=""/>
    <s v=""/>
    <s v=""/>
    <s v=""/>
    <s v=""/>
    <m/>
    <s v=""/>
    <s v=""/>
    <s v=""/>
    <s v=""/>
    <s v=""/>
    <s v=""/>
    <m/>
    <s v=""/>
    <s v="Somos una familia muy unida. Hemos trabajado con amor y compromiso para construir la hermosa relación que tenemos hoy. Disfrutamos de una comunicación abierta, nos encanta pasar tiempo juntos y compartir momentos llenos de risas, cariño y complicidad. Cada día fortalecemos más nuestros lazos, y eso es algo que valoro profundamente."/>
    <n v="0"/>
    <n v="0"/>
    <n v="0"/>
    <n v="0"/>
    <n v="0"/>
    <s v="Si"/>
    <s v="Renault"/>
    <s v="2016"/>
    <n v="40000000"/>
    <s v="No"/>
    <s v=""/>
    <s v=""/>
    <n v="0"/>
    <s v="No"/>
    <s v=""/>
    <s v=""/>
    <s v=""/>
    <n v="0"/>
    <m/>
    <n v="1"/>
    <n v="1"/>
    <n v="2"/>
    <n v="1"/>
    <n v="1"/>
    <n v="2"/>
    <n v="1"/>
    <n v="1"/>
    <n v="1"/>
    <n v="1"/>
    <n v="12"/>
    <s v="NO"/>
    <s v="SI, CRE"/>
    <s v="Son CRE, sin tipo de vivienda, nada del ICFES, sin nada de entrevista, sin informacion del colegio y con solo 1 nota del colegio"/>
    <s v="se reviso docs, sin tipo de vivienda ni entrevista"/>
    <e v="#N/A"/>
    <e v="#N/A"/>
    <m/>
    <n v="3"/>
    <n v="4"/>
    <n v="4"/>
    <n v="10"/>
    <n v="20"/>
    <n v="0"/>
    <n v="5"/>
    <n v="17.5"/>
    <n v="16.5"/>
    <n v="55.5"/>
    <n v="0.5"/>
    <m/>
    <n v="2"/>
    <n v="4.5"/>
    <n v="6"/>
    <n v="4"/>
    <n v="2"/>
    <n v="4"/>
    <n v="7"/>
    <n v="4.5"/>
    <n v="56.5"/>
    <n v="0.6"/>
    <s v="Negado"/>
    <e v="#N/A"/>
    <m/>
    <m/>
    <s v="SI, CRE"/>
    <m/>
    <m/>
    <s v="Negocios Internacionales"/>
    <e v="#N/A"/>
    <m/>
    <e v="#N/A"/>
  </r>
  <r>
    <s v="CC"/>
    <n v="1018232553"/>
    <s v="1000403578"/>
    <s v="MIGUEL ANGEL VARGAS GARCIA"/>
    <s v="Estudios por primera vez"/>
    <x v="1"/>
    <s v="Descartado por notas"/>
    <m/>
    <s v="En publico objetivo"/>
    <s v="1er Cohorte"/>
    <s v="Admitido"/>
    <s v="mavargasg2@eafit.edu.co"/>
    <s v="mavargasg2@eafit.edu.co"/>
    <s v="miguelangelvg2006@gmail.com"/>
    <s v="312/397-7510"/>
    <d v="2025-04-25T00:00:00"/>
    <s v="Activo en Programa"/>
    <s v="010-Ingeniería de Sistemas"/>
    <s v="E Ciencias Aplic e Ingeniería"/>
    <d v="2006-03-07T00:00:00"/>
    <n v="19"/>
    <s v="Antioquia"/>
    <s v="Medellín"/>
    <s v="Hombre"/>
    <s v="Soltero"/>
    <s v="NO"/>
    <s v="NO"/>
    <n v="0"/>
    <s v="NO"/>
    <s v="NA"/>
    <s v="NO"/>
    <s v="NA"/>
    <s v="NO"/>
    <s v="NA"/>
    <s v="No"/>
    <s v="310/459-6284"/>
    <s v="312/397-7510"/>
    <s v="Estrato 2"/>
    <s v="CR 72 A #94 35"/>
    <s v="Antioquia"/>
    <s v="Medellín"/>
    <s v="Si"/>
    <s v="Arriendo"/>
    <s v="SI"/>
    <s v="2024"/>
    <s v="AC202432377547"/>
    <n v="345"/>
    <n v="70"/>
    <n v="72"/>
    <s v="Pública"/>
    <s v="I. E. COLOMBIA"/>
    <n v="2024"/>
    <s v="Antioquia"/>
    <s v="Carepa"/>
    <s v="BACHILLER"/>
    <s v="TECN"/>
    <s v="TIPO: Pública, INSTITUCION: I. E. COLOMBIA, AÑO: 2024, CIUDAD: Carepa, TITULO: BACHILLER"/>
    <s v="12"/>
    <s v="Escala de 0 - 5"/>
    <s v="Escala de 0 - 5"/>
    <m/>
    <s v="4,5"/>
    <s v="4"/>
    <m/>
    <s v="3,8"/>
    <s v="3,4"/>
    <m/>
    <n v="3.9"/>
    <n v="4.3"/>
    <m/>
    <n v="4.0999999999999996"/>
    <n v="3.6"/>
    <m/>
    <s v="3,4"/>
    <s v="4"/>
    <m/>
    <s v="3,8"/>
    <s v="4,5"/>
    <m/>
    <s v="4"/>
    <s v="4"/>
    <s v="De 10 y 11"/>
    <n v="3.9749999999999996"/>
    <s v="NO"/>
    <s v="NA"/>
    <n v="0"/>
    <n v="0"/>
    <s v="No"/>
    <n v="45"/>
    <m/>
    <n v="50"/>
    <m/>
    <n v="50"/>
    <m/>
    <m/>
    <n v="48.333333333333336"/>
    <s v="Con detalle por componente"/>
    <s v="Deportistas de alto rendimiento o representativo,Espacios de liderazgo o representación social,Artísticas o culturales"/>
    <s v="Me visualizo ejerciendo la profesión que elegí con mucha pasión y entusiasmo, realmente la carrera de ingeniería en sistemas me llama mucho la atención y deseo poder aplicar todos mis conocimientos y habilidades obtenidas en la carrera en el mundo laboral, con confianza desempeñando mis capacidades._x000a__x000a_La obtención de una beca sería un paso muy importante para transformar mi ciudad de origen (Medellín), un ingeniero puede ayudar a el desarrollo de soluciones complejas en diferentes ámbitos de nuestra sociedad, también puede fomentar la innovación y crear diferentes métodos o formas de interactuar en las industrias de desarrollo informático, la beca sería la que me permitiría poder estudiar y aprender casi todo lo necesario para desempeñarme en el mundo laboral."/>
    <s v="Página WEB"/>
    <s v="Por la calidad académica."/>
    <s v="Certificación."/>
    <n v="1"/>
    <s v="3"/>
    <s v="SI"/>
    <s v="NO"/>
    <s v="Entre 1 y 2 millones"/>
    <s v="No"/>
    <n v="0"/>
    <n v="0"/>
    <m/>
    <s v="SI"/>
    <s v="Beca"/>
    <s v="SI"/>
    <s v="INDUSTRIAS WEY"/>
    <s v="tejedor de calcetines"/>
    <s v="Si"/>
    <s v="Wilfrido Vargas Catellano"/>
    <s v="Soltero"/>
    <s v="BACHILLERATO"/>
    <s v="55"/>
    <s v="Operador de retro excavadora"/>
    <s v="Empleado (con contrato laboral)"/>
    <s v="Varios"/>
    <s v="Transcar"/>
    <n v="2000000"/>
    <s v="No"/>
    <s v="NO"/>
    <s v="NO"/>
    <s v="Es mi principal apoyo económico y emocional"/>
    <s v="Si"/>
    <s v="Monica García Buitrago"/>
    <m/>
    <m/>
    <m/>
    <s v="Estudiante"/>
    <s v="Labores del hogar y cuidado"/>
    <s v="Varias"/>
    <s v="SENA"/>
    <n v="0"/>
    <s v="No"/>
    <m/>
    <m/>
    <m/>
    <n v="2000000"/>
    <s v="No, vivo solo"/>
    <s v=""/>
    <s v=""/>
    <s v=""/>
    <s v=""/>
    <s v=""/>
    <m/>
    <s v=""/>
    <s v=""/>
    <s v=""/>
    <s v=""/>
    <s v=""/>
    <s v=""/>
    <m/>
    <s v=""/>
    <s v=""/>
    <s v=""/>
    <s v=""/>
    <s v=""/>
    <s v=""/>
    <m/>
    <s v=""/>
    <s v=""/>
    <n v="0"/>
    <n v="0"/>
    <n v="0"/>
    <n v="0"/>
    <n v="0"/>
    <s v="No"/>
    <s v=""/>
    <s v=""/>
    <n v="0"/>
    <s v="No"/>
    <s v=""/>
    <s v=""/>
    <n v="0"/>
    <s v="Si"/>
    <s v="Moto"/>
    <s v="Honda"/>
    <s v="2017"/>
    <n v="2500000"/>
    <m/>
    <n v="4"/>
    <n v="3"/>
    <n v="2"/>
    <n v="4"/>
    <n v="4"/>
    <n v="4"/>
    <n v="4"/>
    <n v="4"/>
    <n v="2"/>
    <n v="4"/>
    <n v="35"/>
    <s v="SI"/>
    <m/>
    <s v="SI, SON PRI"/>
    <s v="ok tienen todos los datos"/>
    <e v="#N/A"/>
    <e v="#N/A"/>
    <m/>
    <n v="3"/>
    <n v="10"/>
    <n v="10"/>
    <n v="10"/>
    <n v="10"/>
    <n v="15"/>
    <n v="20"/>
    <n v="20"/>
    <n v="20"/>
    <n v="85"/>
    <s v="80 - 100%"/>
    <m/>
    <n v="3.5"/>
    <n v="4.5"/>
    <n v="8"/>
    <n v="4"/>
    <n v="3.5"/>
    <n v="4"/>
    <n v="8"/>
    <n v="4.5"/>
    <n v="85"/>
    <s v="80 - 100%"/>
    <n v="1"/>
    <e v="#N/A"/>
    <m/>
    <m/>
    <n v="0"/>
    <m/>
    <m/>
    <s v="Ingeniería de Sistemas"/>
    <e v="#N/A"/>
    <s v="010"/>
    <e v="#N/A"/>
  </r>
  <r>
    <s v="CC"/>
    <n v="1018233256"/>
    <s v="1000404836"/>
    <s v="LUISA FERNANDA RÍOS CADAVID"/>
    <s v="Estudios por primera vez"/>
    <x v="5"/>
    <s v="Cumple Nutresa"/>
    <m/>
    <s v="En publico objetivo"/>
    <s v="2da Cohorte"/>
    <s v="Admitido"/>
    <s v="lfriosc@eafit.edu.co"/>
    <e v="#N/A"/>
    <s v="luisacrios05@gmail.com"/>
    <s v="573237387070"/>
    <d v="2025-05-16T00:00:00"/>
    <s v="Activo en Programa"/>
    <s v="002-Negocios Internacionales"/>
    <s v="Escuela de Administración"/>
    <d v="2006-05-12T00:00:00"/>
    <n v="19"/>
    <s v="Antioquia"/>
    <s v="Medellín"/>
    <s v="Mujer"/>
    <s v="Soltero"/>
    <s v="NO"/>
    <s v="NO"/>
    <n v="0"/>
    <s v="NO"/>
    <s v="NA"/>
    <s v="NO"/>
    <s v="NA"/>
    <s v="NO"/>
    <s v="NA"/>
    <s v="No"/>
    <s v="323/738-7070"/>
    <s v="573237387070"/>
    <s v="Estrato 2"/>
    <s v="CR 57 #64 62"/>
    <s v="Antioquia"/>
    <s v="Bello"/>
    <s v="No aplica, no soy foráneo"/>
    <s v="Arriendo"/>
    <s v="SI"/>
    <s v="2024"/>
    <s v="AC202433704434"/>
    <n v="362"/>
    <n v="66"/>
    <n v="71"/>
    <s v="Pública"/>
    <s v="IE ANDRES BELLO"/>
    <n v="2024"/>
    <s v="Antioquia"/>
    <s v="Bello"/>
    <s v="BACHILLER"/>
    <s v="TECN"/>
    <s v="TIPO: Pública, INSTITUCION: IE ANDRES BELLO, AÑO: 2024, CIUDAD: Bello, TITULO: BACHILLER"/>
    <s v="11"/>
    <s v="Escala Desempeño"/>
    <s v="Escala de 0 - 5"/>
    <s v="4"/>
    <s v="4"/>
    <m/>
    <s v="4"/>
    <s v="4"/>
    <m/>
    <n v="4"/>
    <n v="4"/>
    <m/>
    <n v="4"/>
    <n v="5"/>
    <m/>
    <s v="4"/>
    <s v="4,5"/>
    <m/>
    <s v="4,5"/>
    <s v="4"/>
    <m/>
    <s v="4"/>
    <s v="4,5"/>
    <m/>
    <s v="De 9 y 10"/>
    <n v="4.25"/>
    <s v="NO"/>
    <s v="NA"/>
    <n v="0"/>
    <n v="0"/>
    <s v="No"/>
    <n v="45"/>
    <m/>
    <n v="45"/>
    <m/>
    <n v="40"/>
    <m/>
    <m/>
    <n v="43.333333333333336"/>
    <s v="Con detalle por componente"/>
    <s v="Artísticas o culturales,Espacios de liderazgo o representación social"/>
    <s v="En un futuro me veo como una pieza fundamental en proyectos que promuevan la transformacion de nuestro pais mediante alianzas y conocimientos promovidos por otras culturas, del mismo modo me gustaria extender mis costumbres, pensamientos, talento y voluntad a otras partes del mundo. Soy consciente de la magnitud de esta oportunidad, el como podria ayudarme a ser mejor profesional y persona. Quiero ser el futuro de mi familia, poder darle otro motivo de sonrisa a mi madre al pertener a una universidad que para mi contexto familiar y social es casi inalcanzable, ser la primera en mi familia en poseer una carrera profesional, y cambiar la imagen que se tiene de los jovenes provenientes de barrios complejos en Bello, mi municipio, lograrlo a base de mis esfuerzos."/>
    <s v="Anuncio periódico WEB"/>
    <s v="Por la calidad académica."/>
    <s v="Vocación."/>
    <n v="4"/>
    <s v="0"/>
    <s v="SI"/>
    <s v="NO"/>
    <s v="Entre 3 y 4 millones"/>
    <s v="No"/>
    <n v="0"/>
    <n v="0"/>
    <m/>
    <s v="SI"/>
    <s v="Beca"/>
    <s v="NO"/>
    <s v=""/>
    <s v=""/>
    <s v="Sin información"/>
    <s v="JUAN GUILLERMO RÍOS CARMONA"/>
    <s v="Soltero"/>
    <s v="TECNOLOGÍA"/>
    <s v="40"/>
    <s v=""/>
    <s v=""/>
    <m/>
    <s v=""/>
    <m/>
    <s v=""/>
    <s v="NO"/>
    <s v="NO"/>
    <s v="Ninguna"/>
    <s v="Si"/>
    <s v="Rosaura Andrea Cadavid Garcia"/>
    <s v="Soltero"/>
    <s v="TÉCNICA"/>
    <s v="38"/>
    <s v="Técnica en secretariado gerencial sistematizado-Técnica en tránsito y transporte terrestre"/>
    <s v="Empleado (con contrato laboral)"/>
    <s v="Auxiliar Administrativa"/>
    <s v="Alcaldía de Bello"/>
    <n v="4033897"/>
    <s v="Si"/>
    <s v="NO"/>
    <s v="NO"/>
    <s v="Madre soltera cabeza de hogar"/>
    <n v="4033897"/>
    <s v="Si"/>
    <s v="Onelly Garcia Toro"/>
    <s v="Abuelo / Abuela"/>
    <s v="65"/>
    <s v="Ama de casa"/>
    <s v="N/A"/>
    <n v="0"/>
    <s v="No"/>
    <s v="Rubén Dario Cadavid Castro"/>
    <s v="Abuelo / Abuela"/>
    <s v="68"/>
    <s v="N/a"/>
    <s v="N/A"/>
    <n v="0"/>
    <s v="No"/>
    <s v=""/>
    <s v=""/>
    <s v=""/>
    <s v=""/>
    <s v=""/>
    <m/>
    <s v=""/>
    <s v=""/>
    <n v="0"/>
    <n v="0"/>
    <n v="0"/>
    <n v="0"/>
    <n v="0"/>
    <s v="No"/>
    <s v=""/>
    <s v=""/>
    <n v="0"/>
    <s v="No"/>
    <s v=""/>
    <s v=""/>
    <n v="0"/>
    <s v="Si"/>
    <s v="Moto"/>
    <s v="Auteco"/>
    <s v="2019"/>
    <n v="5200000"/>
    <s v=""/>
    <n v="4"/>
    <n v="4"/>
    <n v="4"/>
    <n v="4"/>
    <n v="4"/>
    <n v="3"/>
    <n v="4"/>
    <n v="3"/>
    <n v="4"/>
    <n v="4"/>
    <n v="38"/>
    <s v="SI"/>
    <m/>
    <s v="SI, SON PRI"/>
    <s v="ok tienen todos los datos"/>
    <e v="#N/A"/>
    <e v="#N/A"/>
    <m/>
    <n v="3"/>
    <n v="10"/>
    <n v="10"/>
    <n v="15"/>
    <n v="15"/>
    <n v="15"/>
    <n v="15"/>
    <n v="19"/>
    <n v="18"/>
    <n v="88"/>
    <n v="0.5"/>
    <m/>
    <n v="3.5"/>
    <n v="4.5"/>
    <n v="6"/>
    <n v="4"/>
    <n v="3.5"/>
    <n v="4"/>
    <n v="7"/>
    <n v="4.5"/>
    <n v="89"/>
    <n v="0.7"/>
    <n v="0.8"/>
    <s v="LUISA FERNANDA RÍOS CADAVID"/>
    <m/>
    <m/>
    <n v="0"/>
    <s v="EN ORDEN"/>
    <s v="Certificado idioma"/>
    <s v="Negocios Internacionales"/>
    <s v="Pres. para revision docs nutresa"/>
    <m/>
    <s v="NUTRESA"/>
  </r>
  <r>
    <s v="CC"/>
    <n v="1018235215"/>
    <s v="1000396972"/>
    <s v="ALEJANDRO ARANGO GUTIERREZ"/>
    <s v="Estudios por primera vez"/>
    <x v="1"/>
    <s v="Descartado por bajo icfes"/>
    <m/>
    <s v="En publico objetivo"/>
    <s v="2da Cohorte"/>
    <s v="Admitido"/>
    <s v="aarangog4@eafit.edu.co"/>
    <s v="aarangog4@eafit.edu.co"/>
    <s v="alejandro.arangogutierrez112@gmail.com"/>
    <s v="319/203-9555"/>
    <d v="2025-05-16T00:00:00"/>
    <s v="Activo en Programa"/>
    <s v="010-Ingeniería de Sistemas"/>
    <s v="E Ciencias Aplic e Ingeniería"/>
    <d v="2006-11-11T00:00:00"/>
    <n v="19"/>
    <s v="Antioquia"/>
    <s v="Medellín"/>
    <s v="Hombre"/>
    <s v="Soltero"/>
    <s v="NO"/>
    <s v="NO"/>
    <n v="0"/>
    <s v="NO"/>
    <s v="NA"/>
    <s v="NO"/>
    <s v="NA"/>
    <s v="NO"/>
    <s v="NA"/>
    <s v="No"/>
    <s v="301/675-5869"/>
    <s v="319/203-9555"/>
    <s v="Estrato 2"/>
    <s v="CL 114 #63 D- 29 (INTERIOR 201 )"/>
    <s v="Antioquia"/>
    <s v="Medellín"/>
    <s v="No aplica, no soy foráneo"/>
    <s v="Arriendo"/>
    <s v="SI"/>
    <s v="2024"/>
    <s v="AC202433359791"/>
    <n v="300"/>
    <n v="62"/>
    <n v="59"/>
    <s v="Pública"/>
    <s v="INST EDUC JOSE ASUNCION SILVA"/>
    <n v="2024"/>
    <s v="Antioquia"/>
    <s v="Medellín"/>
    <s v="BACHILLER"/>
    <s v="ACAD"/>
    <s v="TIPO: Pública, INSTITUCION: INST EDUC JOSE ASUNCION SILVA, AÑO: 2024, CIUDAD: Medellín, TITULO: BACHILLER"/>
    <s v="11"/>
    <s v="Escala Desempeño"/>
    <s v="Escala de 0 - 5"/>
    <s v="4,5"/>
    <s v="4,5"/>
    <m/>
    <s v="4,5"/>
    <s v="4,5"/>
    <m/>
    <n v="4"/>
    <n v="5"/>
    <m/>
    <n v="4.5"/>
    <n v="4.5"/>
    <m/>
    <s v="4,5"/>
    <s v="4,5"/>
    <m/>
    <s v="4"/>
    <s v="4"/>
    <m/>
    <s v="4"/>
    <s v="4,5"/>
    <m/>
    <s v="De 9 y 10"/>
    <n v="4.5"/>
    <s v="NO"/>
    <s v="NA"/>
    <n v="0"/>
    <n v="0"/>
    <s v="No"/>
    <n v="45"/>
    <m/>
    <n v="45"/>
    <m/>
    <n v="40"/>
    <m/>
    <m/>
    <n v="43.333333333333336"/>
    <s v="Con detalle por componente"/>
    <s v="Artísticas o culturales,Otras (por ejemplo, un talento extraordinario)"/>
    <s v="Ingeniería en sistemas_x000a__x000a_Me visualizo como un profesional capacitado en áreas de la informática, como bases de datos y desarrollo de software. Aspiro a aportar no solo a mi entorno, sino también al mundo, mediante herramientas y proyectos útiles para facilitar una o varias tareas, desarrollando sistemas y programas que normalmente requieran de inteligencia humana para su resolución._x000a_ Me considero como alguien dispuesto a colaborar y recibir apoyo en nuevos proyectos, porque no todas las buenas ideas salen de una sola mente. _x000a_La obtención de la beca será una ayuda muy grande para motivar a mis amigos y conocidos a creer que todo es posible con el conocimiento necesario, y a valorar la importancia del estudio y la dedicación a una carrera profesional, con el objetivo de evolucionar como sociedad._x000a_ Desde el plano personal, este proceso que deseo emprender es con el fin de construir un futuro brillante y lleno de oportunidades para ejercer mi labor como ingeniero de sistemas. Ese es mi propósito."/>
    <s v="A través del Colegio"/>
    <s v="Universidad reconocida."/>
    <s v="Alta proyección de ingresos."/>
    <n v="4"/>
    <s v="1"/>
    <s v="NO"/>
    <s v="NO"/>
    <s v="Entre 1 y 2 millones"/>
    <s v="No"/>
    <s v="NO"/>
    <s v="NO"/>
    <m/>
    <s v="SI"/>
    <s v="Patrocinio empresarial"/>
    <s v="NO"/>
    <s v=""/>
    <s v=""/>
    <s v="Sin información"/>
    <n v="0"/>
    <m/>
    <m/>
    <m/>
    <s v=""/>
    <s v=""/>
    <m/>
    <s v=""/>
    <m/>
    <s v=""/>
    <m/>
    <m/>
    <s v="desconozco su paradero"/>
    <s v="Si"/>
    <s v="Maricela Gutiérrez Salas"/>
    <s v="Unión marital"/>
    <s v="TECNOLOGÍA"/>
    <s v="41"/>
    <s v="área administrativa"/>
    <s v="Empleado (con contrato laboral)"/>
    <s v="Administradora"/>
    <s v="FIREMUSIC GROUP SAS NIT 901149848-8"/>
    <n v="1980000"/>
    <s v="Si"/>
    <s v="NO"/>
    <s v="NO"/>
    <m/>
    <n v="1980000"/>
    <s v="Si"/>
    <s v="David Arango Gutiérrez"/>
    <s v="Hermano / Hermana"/>
    <s v="21"/>
    <s v="Estudiante"/>
    <s v="Universidad de San Buena Aventura"/>
    <n v="1000000"/>
    <s v="No"/>
    <s v="Juan Carlos Arboleda Londoño"/>
    <s v="Padrastro"/>
    <s v=""/>
    <s v="Analista de producción"/>
    <s v="PREMEX S.A.S"/>
    <n v="3144000"/>
    <s v="Si"/>
    <s v=""/>
    <s v=""/>
    <s v=""/>
    <s v=""/>
    <s v=""/>
    <m/>
    <s v=""/>
    <s v=""/>
    <n v="0"/>
    <n v="0"/>
    <n v="0"/>
    <n v="0"/>
    <n v="0"/>
    <s v="No"/>
    <s v=""/>
    <s v=""/>
    <n v="0"/>
    <s v="No"/>
    <s v=""/>
    <s v=""/>
    <n v="0"/>
    <s v="No"/>
    <s v=""/>
    <s v=""/>
    <s v=""/>
    <n v="0"/>
    <m/>
    <n v="4"/>
    <n v="4"/>
    <n v="4"/>
    <n v="4"/>
    <n v="4"/>
    <n v="4"/>
    <n v="4"/>
    <n v="4"/>
    <n v="3"/>
    <n v="4"/>
    <n v="39"/>
    <s v="SI"/>
    <m/>
    <s v="SI, SON PRI"/>
    <s v="ok tienen todos los datos"/>
    <s v="Negada"/>
    <n v="20251"/>
    <m/>
    <n v="3"/>
    <n v="10"/>
    <n v="10"/>
    <n v="5"/>
    <n v="20"/>
    <n v="15"/>
    <n v="15"/>
    <n v="20"/>
    <n v="20"/>
    <n v="85"/>
    <s v="80 - 100%"/>
    <m/>
    <n v="3.5"/>
    <n v="4.5"/>
    <n v="8"/>
    <n v="4"/>
    <n v="3.5"/>
    <n v="4"/>
    <n v="8"/>
    <n v="4.5"/>
    <n v="85"/>
    <s v="80 - 100%"/>
    <n v="0.8"/>
    <e v="#N/A"/>
    <m/>
    <m/>
    <n v="0"/>
    <m/>
    <m/>
    <s v="Ingeniería de Sistemas"/>
    <e v="#N/A"/>
    <s v="010"/>
    <e v="#N/A"/>
  </r>
  <r>
    <s v="CC"/>
    <n v="1018235874"/>
    <s v="1000403820"/>
    <s v="CAROLIN RINCON BUSTAMANTE"/>
    <s v="Estudios por primera vez"/>
    <x v="1"/>
    <s v="No cumple, puntaje ICFES menor a 300"/>
    <m/>
    <s v="En publico objetivo"/>
    <s v="1er Cohorte"/>
    <s v="Admitido"/>
    <s v="crinconb1@eafit.edu.co"/>
    <e v="#N/A"/>
    <s v="rinconcarolin641@gmail.com"/>
    <s v="573214121763"/>
    <d v="2025-04-25T00:00:00"/>
    <s v="Activo en Programa"/>
    <s v="169-Mercadeo"/>
    <s v="Escuela de Administración"/>
    <d v="2006-12-31T00:00:00"/>
    <n v="18"/>
    <s v="Antioquia"/>
    <s v="Medellín"/>
    <s v="Mujer"/>
    <s v="Soltero"/>
    <s v="NO"/>
    <s v="NO"/>
    <n v="0"/>
    <s v="NO"/>
    <s v="NA"/>
    <s v="NO"/>
    <s v="NA"/>
    <s v="NO"/>
    <s v="NA"/>
    <s v="No"/>
    <s v="321/412-1763"/>
    <s v="573214121763"/>
    <s v="Estrato 2"/>
    <s v="CL 56 B CR 25 59"/>
    <s v="Antioquia"/>
    <s v="Medellín"/>
    <s v="No aplica, no soy foráneo"/>
    <s v="Arriendo"/>
    <s v="SI"/>
    <s v="2023"/>
    <s v="AC202342624153"/>
    <n v="285"/>
    <n v="52"/>
    <n v="56"/>
    <s v="Privada"/>
    <s v="CENT EDUCAL DON BOSCO"/>
    <n v="2023"/>
    <s v="Antioquia"/>
    <s v="Medellín"/>
    <s v="BACHILLER"/>
    <s v="ACAD"/>
    <s v="TIPO: Privada, INSTITUCION: CENT EDUCAL DON BOSCO, AÑO: 2023, CIUDAD: Medellín, TITULO: BACHILLER"/>
    <s v="11"/>
    <s v="Escala Desempeño"/>
    <s v="Escala de 0 - 5"/>
    <s v="4,5"/>
    <s v="4,5"/>
    <m/>
    <s v="4,5"/>
    <s v="4,5"/>
    <m/>
    <n v="4.5"/>
    <n v="4.5"/>
    <m/>
    <n v="4.5"/>
    <n v="4.5"/>
    <m/>
    <s v="4,5"/>
    <s v="4,5"/>
    <m/>
    <s v="4,5"/>
    <s v="4,5"/>
    <m/>
    <s v="4"/>
    <s v="4,5"/>
    <m/>
    <s v="De 9 y 10"/>
    <n v="4.5"/>
    <s v="NO"/>
    <s v="NA"/>
    <n v="0"/>
    <n v="0"/>
    <s v="No"/>
    <n v="50"/>
    <m/>
    <n v="50"/>
    <m/>
    <n v="50"/>
    <m/>
    <m/>
    <n v="50"/>
    <s v="Con detalle por componente"/>
    <s v="Trabajo social o comunitario,Espacios de liderazgo o representación social"/>
    <s v="Me visualizo ayudando a las empresas a conectar de manera auténtica con sus clientes, diseñando estrategias creativas, entendiendo las necesidades de las personas y creando campañas que generen impacto positivo ya que cada campaña tiene un alma, me veo escribiendo ideas, planeando estrategias preguntándome ¿Cómo puedo hacer que otros sientan, que otros brillen también? Porque no es solo entender lo que el mercado necesita, sino también lo que cada ser humano detrás de ese mercado anhela ya que quiero ser el puente entre ideas y corazones._x000a_Para mi el mercadeo no es simplemente vender o convencer: es conectar, escuchar, interpretar sueños y transformarlos en realidades palpables _x000a_La oportunidad de la beca seria un paso importante en mi vida ya que como mercaderista puedo transformar no solo mi barrio, sino mi bello Medellín, porque mi trabajo no es solo poner productos en vitrinas si no ver la vida detrás de cada esquina, cada tienda, cada persona que camina y sueña ya que el mercadeo tiene el poder de cambiar realidades como las que se viven en los barrios de Medellín. Si se pone amor en cada idea, estrategia, en cada conversación con tenderos, emprendedores se que se puede despertar movimientos que transforman economías pequeñas en esperanzas grandes. Con mi ayuda puedo lograr que la tiendita de don Mario venda más, que el emprendimiento de doña roció encuentre mas clientes y que las calles se llenen de nuevas oportunidades donde el calor humano se siente en cada saludo, yo puedo enseñar, inspirar, acompañar a otros para que descubran el valor de lo que ofrecen, en la belleza de su trabajo, el poder que tienen sus manos"/>
    <s v="Página WEB"/>
    <s v="Por la calidad académica."/>
    <s v="Vocación."/>
    <n v="1"/>
    <s v="1"/>
    <s v="SI"/>
    <s v="NO"/>
    <s v="Entre 1 y 2 millones"/>
    <s v="No"/>
    <n v="0"/>
    <n v="0"/>
    <m/>
    <s v="SI"/>
    <s v="Beca"/>
    <s v="SI"/>
    <s v="TECNOMONTAJES HIDRAULICOS"/>
    <s v="asesora comercial"/>
    <s v="Si"/>
    <s v="Walter Rincon"/>
    <s v="Casado"/>
    <s v="BACHILLERATO"/>
    <s v="44"/>
    <s v="Técnico en montajes"/>
    <s v="Empleado (con contrato laboral)"/>
    <s v="Técnico en montajes"/>
    <s v="Tecnomontajes"/>
    <n v="0"/>
    <s v="No"/>
    <s v="NO"/>
    <s v="NO"/>
    <s v=""/>
    <s v="Si"/>
    <s v="Yesenia Bustamante"/>
    <s v="Casado"/>
    <s v="TECNOLOGÍA"/>
    <s v="36"/>
    <s v="Administradora"/>
    <s v="Empleado (con contrato laboral)"/>
    <s v="Administradora"/>
    <s v="Tecnomontajes"/>
    <n v="2587200"/>
    <s v="No"/>
    <s v="NO"/>
    <s v="NO"/>
    <m/>
    <n v="2587200"/>
    <s v="Si"/>
    <s v="Carlos Iván betancur Muñoz"/>
    <s v="Abuelo / Abuela"/>
    <s v="68"/>
    <s v="Desempleado"/>
    <s v="Ninguna"/>
    <n v="100000"/>
    <s v="No"/>
    <s v=""/>
    <s v=""/>
    <s v=""/>
    <s v=""/>
    <s v=""/>
    <m/>
    <s v=""/>
    <s v=""/>
    <s v=""/>
    <s v=""/>
    <s v=""/>
    <s v=""/>
    <m/>
    <s v=""/>
    <s v=""/>
    <n v="63196000"/>
    <n v="0"/>
    <n v="0"/>
    <n v="0"/>
    <n v="0"/>
    <s v="No"/>
    <s v=""/>
    <s v=""/>
    <n v="0"/>
    <s v="No"/>
    <s v=""/>
    <s v=""/>
    <n v="0"/>
    <s v="No"/>
    <s v=""/>
    <s v=""/>
    <s v=""/>
    <n v="0"/>
    <m/>
    <n v="3"/>
    <n v="4"/>
    <n v="3"/>
    <n v="4"/>
    <n v="4"/>
    <n v="3"/>
    <n v="2"/>
    <n v="4"/>
    <n v="4"/>
    <n v="3"/>
    <n v="34"/>
    <s v="SI"/>
    <m/>
    <s v="SI, SON PRI"/>
    <s v="ok tienen todos los datos"/>
    <e v="#N/A"/>
    <e v="#N/A"/>
    <m/>
    <n v="3"/>
    <n v="10"/>
    <n v="10"/>
    <n v="0"/>
    <n v="20"/>
    <n v="10"/>
    <n v="20"/>
    <n v="16"/>
    <n v="16.5"/>
    <n v="76.5"/>
    <n v="0.5"/>
    <m/>
    <n v="2"/>
    <n v="3.5"/>
    <n v="8"/>
    <n v="3"/>
    <n v="2"/>
    <n v="3"/>
    <n v="8"/>
    <n v="3"/>
    <n v="76"/>
    <n v="0.5"/>
    <n v="0.5"/>
    <e v="#N/A"/>
    <m/>
    <m/>
    <n v="0"/>
    <m/>
    <m/>
    <s v="Mercadeo"/>
    <e v="#N/A"/>
    <s v="169"/>
    <e v="#N/A"/>
  </r>
  <r>
    <s v="CC"/>
    <n v="1018236339"/>
    <s v="1000404843"/>
    <s v="TOMAS CHICA GUTIERREZ"/>
    <s v="Estudios por primera vez"/>
    <x v="1"/>
    <s v="No cumple, puntaje ICFES menor a 300"/>
    <m/>
    <s v="En publico objetivo"/>
    <s v="1er Cohorte"/>
    <s v="Admitido"/>
    <s v="tchicag@eafit.edu.co"/>
    <e v="#N/A"/>
    <s v="tomaschicagutierrez@gmail.com"/>
    <s v="573003962164"/>
    <d v="2025-04-28T00:00:00"/>
    <s v="Activo en Programa"/>
    <s v="085-Ingeniería Diseño de Producto"/>
    <s v="E Ciencias Aplic e Ingeniería"/>
    <d v="2007-02-20T00:00:00"/>
    <n v="18"/>
    <s v="Antioquia"/>
    <s v="Medellín"/>
    <s v="Hombre"/>
    <s v="Soltero"/>
    <s v="NO"/>
    <s v="NO"/>
    <n v="0"/>
    <s v="NO"/>
    <s v="NA"/>
    <s v="NO"/>
    <s v="NA"/>
    <s v="NO"/>
    <s v="NA"/>
    <s v="No"/>
    <s v="300/396-2164"/>
    <s v="573003962164"/>
    <s v="Estrato 3"/>
    <s v="CR 73 A #93 110"/>
    <s v="Antioquia"/>
    <s v="Medellín"/>
    <s v="No aplica, no soy foráneo"/>
    <s v="Familiar"/>
    <s v="SI"/>
    <s v="2023"/>
    <s v="AC202344551628"/>
    <n v="288"/>
    <n v="54"/>
    <n v="60"/>
    <s v="Privada"/>
    <s v="INST FERRINI - SEDE ROBLEDO"/>
    <n v="2023"/>
    <s v="Antioquia"/>
    <s v="Medellín"/>
    <s v="BACHILLER"/>
    <s v="ACAD"/>
    <s v="TIPO: Privada, INSTITUCION: INST FERRINI - SEDE ROBLEDO, AÑO: 2023, CIUDAD: Medellín, TITULO: BACHILLER"/>
    <s v="11"/>
    <s v="Escala de 0 - 50"/>
    <s v="Escala de 0 - 5"/>
    <s v="4,3"/>
    <s v="4,3"/>
    <m/>
    <s v="4,2"/>
    <s v="4,2"/>
    <m/>
    <n v="4"/>
    <n v="3.7"/>
    <m/>
    <n v="3"/>
    <n v="4.3"/>
    <m/>
    <s v="3,2"/>
    <s v="4,1"/>
    <m/>
    <s v="4,1"/>
    <s v="4,2"/>
    <m/>
    <s v="4"/>
    <s v="4"/>
    <m/>
    <s v="De 9 y 10"/>
    <n v="3.75"/>
    <s v="NO"/>
    <s v="NA"/>
    <n v="0"/>
    <n v="0"/>
    <s v="No"/>
    <n v="45"/>
    <m/>
    <n v="35"/>
    <m/>
    <n v="40"/>
    <m/>
    <m/>
    <n v="40"/>
    <s v="Con detalle por componente"/>
    <s v="Ninguna"/>
    <s v="al comienzo de mi carrera me veo ejerciéndola en la universidad como director de proyectos o investigador y trabajando o teniendo relación con empresas o proyectos del país como lo son Haceb, Smartbone, y Place to Train, pasado el tiempo me gusta la idea de ejercerla en el exterior en países como lo son Inglaterra, Australia, España, países bajos, entre muchos otros y en empresas como Meta, Stellantis, Crux Product Design en Inglaterra y muchos más. Ahora, a través de la beca puedo transformar tanto mi lugar de origen como las personas que me rodean ya que puedo incentivarlas a estudiar lo que realmente les gusta y ayudarlos a conseguir sus sueños a través de los mismos programas que tiene la universidad, también fomentar un cambio y crecimiento en estos lugares y enseñarles los miles de posibilidades que les da la universidad a todos sin importar que cantidad de recursos tenga, dándole así una mano para salir adelante."/>
    <s v="Redes sociales"/>
    <s v="Por la calidad académica."/>
    <s v="Vocación."/>
    <n v="2"/>
    <s v="0"/>
    <s v="SI"/>
    <s v="NO"/>
    <s v="Entre 1 y 2 millones"/>
    <s v="No"/>
    <n v="0"/>
    <s v="NO"/>
    <m/>
    <s v="SI"/>
    <s v="Beca"/>
    <s v="NO"/>
    <s v=""/>
    <s v=""/>
    <s v="Si"/>
    <s v="Nelson Wbeimar Chica Calle"/>
    <s v="Casado"/>
    <s v="BACHILLERATO"/>
    <s v="50"/>
    <s v="conductor de servicio público Taxi"/>
    <s v="Independiente (trabaja por cuenta propia)"/>
    <s v="conductor"/>
    <s v="NA"/>
    <n v="1423500"/>
    <s v="Si"/>
    <s v="NO"/>
    <s v="NO"/>
    <s v="muy buena persona y centrado en ayudar a su familia"/>
    <s v="Si"/>
    <s v="Diana Milena Gutiérrez Novoa Uribe"/>
    <s v="Casado"/>
    <s v="TÉCNICA"/>
    <s v="39"/>
    <s v="Manicurista"/>
    <s v="Independiente (trabaja por cuenta propia)"/>
    <s v="Manicurista"/>
    <s v="NA"/>
    <n v="1423500"/>
    <s v="Si"/>
    <s v="NO"/>
    <s v="NO"/>
    <s v="ayuda en el hogar"/>
    <n v="2847000"/>
    <s v="No, solo vivo con mis padres"/>
    <s v=""/>
    <s v=""/>
    <s v=""/>
    <s v=""/>
    <s v=""/>
    <m/>
    <s v=""/>
    <s v=""/>
    <s v=""/>
    <s v=""/>
    <s v=""/>
    <s v=""/>
    <m/>
    <s v=""/>
    <s v=""/>
    <s v=""/>
    <s v=""/>
    <s v=""/>
    <s v=""/>
    <m/>
    <s v=""/>
    <s v=""/>
    <n v="0"/>
    <n v="0"/>
    <n v="0"/>
    <n v="0"/>
    <n v="0"/>
    <s v="No"/>
    <s v=""/>
    <s v=""/>
    <n v="0"/>
    <s v="No"/>
    <s v=""/>
    <s v=""/>
    <n v="0"/>
    <s v="No"/>
    <s v=""/>
    <s v=""/>
    <s v=""/>
    <n v="0"/>
    <s v="podría ser el taxi, pero no es de mi padre, es de mi abuelo paterno"/>
    <n v="4"/>
    <n v="4"/>
    <n v="3"/>
    <n v="4"/>
    <n v="4"/>
    <n v="4"/>
    <n v="4"/>
    <n v="4"/>
    <n v="3"/>
    <n v="4"/>
    <n v="38"/>
    <s v="SI"/>
    <m/>
    <s v="SI, SON PRI"/>
    <s v="ok tienen todos los datos"/>
    <e v="#N/A"/>
    <e v="#N/A"/>
    <m/>
    <n v="3"/>
    <n v="10"/>
    <n v="8"/>
    <n v="0"/>
    <n v="10"/>
    <n v="15"/>
    <n v="10"/>
    <n v="18"/>
    <n v="17.5"/>
    <n v="62.5"/>
    <n v="0.5"/>
    <m/>
    <n v="2"/>
    <n v="3.5"/>
    <n v="8"/>
    <n v="4"/>
    <n v="2"/>
    <n v="3.5"/>
    <n v="8"/>
    <n v="4.5"/>
    <n v="61"/>
    <n v="0.6"/>
    <n v="0.5"/>
    <e v="#N/A"/>
    <m/>
    <m/>
    <n v="0"/>
    <m/>
    <m/>
    <s v="Ingeniería Diseño de Producto"/>
    <e v="#N/A"/>
    <s v="085"/>
    <e v="#N/A"/>
  </r>
  <r>
    <s v="TI"/>
    <n v="1018236935"/>
    <s v="1000396597"/>
    <s v="SALOME RAIGOZA SANCHEZ"/>
    <s v="Estudios por primera vez"/>
    <x v="1"/>
    <s v="No cumple, puntaje ICFES menor a 300"/>
    <m/>
    <s v="En publico objetivo"/>
    <s v="2da Cohorte"/>
    <s v="Admitido"/>
    <s v="sraigozas@eafit.edu.co"/>
    <s v="sraigozas@eafit.edu.co"/>
    <s v="salooors253@gmail.com"/>
    <s v="573206673619"/>
    <d v="2025-05-16T00:00:00"/>
    <s v="Activo en Programa"/>
    <s v="169-Mercadeo"/>
    <s v="Escuela de Administración"/>
    <d v="2007-04-25T00:00:00"/>
    <n v="18"/>
    <s v="Antioquia"/>
    <s v="Medellín"/>
    <s v="Mujer"/>
    <s v="Soltero"/>
    <s v="NO"/>
    <s v="NO"/>
    <n v="0"/>
    <s v="NO"/>
    <s v="NA"/>
    <s v="NO"/>
    <s v="NA"/>
    <s v="NO"/>
    <s v="NA"/>
    <s v="No"/>
    <s v="604/456-0375"/>
    <s v="573206673619"/>
    <s v="Estrato 2"/>
    <s v="CR 59 A #43 12 SANTA ANA"/>
    <s v="Antioquia"/>
    <s v="Bello"/>
    <s v="No aplica, no soy foráneo"/>
    <s v="Arriendo"/>
    <s v="SI"/>
    <s v="2024"/>
    <s v="AC202433189982"/>
    <n v="272"/>
    <n v="48"/>
    <n v="67"/>
    <s v="Privada"/>
    <s v="COLEGIO SAN JOSÉ DE LA SALLE"/>
    <n v="2024"/>
    <s v="Antioquia"/>
    <s v="Medellín"/>
    <s v="BACHILLER"/>
    <s v="ACAD"/>
    <s v="TIPO: Privada, INSTITUCION: COLEGIO SAN JOSÉ DE LA SALLE, AÑO: 2024, CIUDAD: Medellín, TITULO: BACHILLER"/>
    <s v="11"/>
    <s v="Escala de 0 - 5"/>
    <s v="Escala de 0 - 5"/>
    <s v="3,9"/>
    <s v="4"/>
    <m/>
    <s v="4,5"/>
    <s v="3,8"/>
    <m/>
    <n v="4"/>
    <n v="4"/>
    <m/>
    <n v="3.8"/>
    <n v="4"/>
    <m/>
    <s v="4"/>
    <s v="3,9"/>
    <m/>
    <s v="4,5"/>
    <s v="4,5"/>
    <m/>
    <s v="4"/>
    <s v="4,1"/>
    <m/>
    <s v="De 9 y 10"/>
    <n v="3.95"/>
    <s v="NO"/>
    <s v="NA"/>
    <n v="0"/>
    <n v="0"/>
    <s v="No"/>
    <n v="40"/>
    <m/>
    <n v="45"/>
    <m/>
    <n v="45"/>
    <m/>
    <s v="Salomé es una persona con el foco en la capacidad estratégica q tiene el marketing. TIene como aspiración manejar marcas desde el componente de la publicidad. Es receptiva a los comentarios, personalidad abierta y buen trabajo en equipo."/>
    <n v="43.333333333333336"/>
    <s v="Con detalle por componente"/>
    <s v="Artísticas o culturales,Otras (por ejemplo, un talento extraordinario)"/>
    <s v="Me imagino ejerciendo el mercadeo como una forma de vida, no solo como una profesión. A lo largo de los años he descubierto que me apasiona todo lo que implique comunicar, conectar y crear nuevas ideas. Amo el arte, el diseño, los negocios, viajar, y la publicidad. Y fue precisamente en el mercadeo donde encontré una carrera que logra unir todo eso que me mueve. Quiero poder conectar con empresas que necesiten una ayuda para impulsar su marca y generar números. Pero para mi lo ideal y como me sueño ejerciendo mi carrera es teniendo mi propia agencia de mercadeo donde las marcas conecten conmigo para generar un impacto en los viejos y propensos clientes._x000a__x000a_Mi sueño es transformar la forma en que se vive el mercadeo en mi región. Hoy en día, todo se reduce a lo digital, y aunque lo valoro, creo que hemos perdido algo esencial: la conexión real con las personas. Quiero llevar el mercadeo más allá de las pantallas, unir lo digital con lo tangible, lo comercial con lo humano. No me interesa solo vender un producto o impulsar una marca, quiero generar experiencias que inspiren, que comuniquen con autenticidad y que realmente dejen una huella en quienes las viven._x000a__x000a_Obtener esta beca sería una oportunidad inmensa para formarme con excelencia y luego devolver ese conocimiento a mi entorno. Quiero ayudar a las empresas locales a conectar de una manera más cercana con su comunidad, y demostrar que el mercadeo puede ser una herramienta de transformación social, cultural y emocional. Para mí, esta beca no es solo un apoyo económico, es la posibilidad de convertir mi vocación en un motor de cambio real."/>
    <s v="Estudiantes de EAFIT"/>
    <s v="Por la calidad académica."/>
    <s v="Vocación."/>
    <n v="1"/>
    <s v="0"/>
    <s v="SI"/>
    <s v="NO"/>
    <s v="Entre 5 y 6 millones"/>
    <s v="Si"/>
    <n v="0"/>
    <n v="0"/>
    <m/>
    <s v="SI"/>
    <s v="Beca"/>
    <s v="NO"/>
    <s v=""/>
    <s v=""/>
    <s v="Sin información"/>
    <n v="0"/>
    <m/>
    <m/>
    <m/>
    <s v=""/>
    <s v=""/>
    <m/>
    <s v=""/>
    <m/>
    <s v=""/>
    <m/>
    <m/>
    <s v="No se tiene información ni aporte económico."/>
    <s v="Si"/>
    <s v="Laura Vanessa Sánchez Loaiza"/>
    <s v="Soltero"/>
    <s v="TÉCNICA"/>
    <s v="35"/>
    <s v="modelo y comerciante"/>
    <s v="Independiente (trabaja por cuenta propia)"/>
    <s v="vendedora de productos de belleza y modelo"/>
    <s v="Independiente"/>
    <n v="6000000"/>
    <s v="Si"/>
    <s v="NO"/>
    <s v="SI"/>
    <s v="Madre cabeza de familia."/>
    <n v="6000000"/>
    <s v="No, solo vivo con mis padres"/>
    <s v=""/>
    <s v=""/>
    <s v=""/>
    <s v=""/>
    <s v=""/>
    <m/>
    <s v=""/>
    <s v=""/>
    <s v=""/>
    <s v=""/>
    <s v=""/>
    <s v=""/>
    <m/>
    <s v=""/>
    <s v=""/>
    <s v=""/>
    <s v=""/>
    <s v=""/>
    <s v=""/>
    <m/>
    <s v=""/>
    <s v=""/>
    <n v="0"/>
    <n v="0"/>
    <n v="0"/>
    <n v="0"/>
    <n v="0"/>
    <s v="No"/>
    <s v=""/>
    <s v=""/>
    <n v="0"/>
    <s v="No"/>
    <s v=""/>
    <s v=""/>
    <n v="0"/>
    <s v="No"/>
    <s v=""/>
    <s v=""/>
    <s v=""/>
    <n v="0"/>
    <s v="Usamos transporte publico."/>
    <n v="4"/>
    <n v="4"/>
    <n v="3"/>
    <n v="4"/>
    <n v="4"/>
    <n v="4"/>
    <n v="4"/>
    <n v="3"/>
    <n v="3"/>
    <n v="4"/>
    <n v="37"/>
    <s v="SI"/>
    <m/>
    <s v="SI, SON PRI"/>
    <s v="ok tienen todos los datos"/>
    <e v="#N/A"/>
    <e v="#N/A"/>
    <m/>
    <n v="3"/>
    <n v="10"/>
    <n v="10"/>
    <n v="0"/>
    <n v="10"/>
    <n v="15"/>
    <n v="15"/>
    <n v="13.5"/>
    <n v="13.5"/>
    <n v="63.5"/>
    <n v="0.4"/>
    <m/>
    <n v="2"/>
    <n v="4.5"/>
    <n v="3"/>
    <n v="4"/>
    <n v="2"/>
    <n v="4"/>
    <n v="3"/>
    <n v="4.5"/>
    <n v="63.5"/>
    <n v="0.4"/>
    <n v="0.4"/>
    <e v="#N/A"/>
    <m/>
    <m/>
    <n v="0"/>
    <m/>
    <m/>
    <s v="Mercadeo"/>
    <e v="#N/A"/>
    <s v="169"/>
    <e v="#N/A"/>
  </r>
  <r>
    <s v="TI"/>
    <n v="1018237072"/>
    <s v="1000406983"/>
    <s v="MARIANA HERNÁNDEZ ESCUDERO"/>
    <s v="Estudios por primera vez"/>
    <x v="1"/>
    <s v="Descartado por bajo icfes"/>
    <m/>
    <s v="En publico objetivo"/>
    <s v="2da Cohorte"/>
    <s v="Admitido"/>
    <s v="mhernane10@eafit.edu.co"/>
    <e v="#N/A"/>
    <s v="marianaescudero630@gmail.com"/>
    <s v="321/585-9007"/>
    <d v="2025-05-16T00:00:00"/>
    <s v="Activo en Programa"/>
    <s v="169-Mercadeo"/>
    <s v="Escuela de Administración"/>
    <d v="2007-04-15T00:00:00"/>
    <n v="18"/>
    <s v="Antioquia"/>
    <s v="Medellín"/>
    <s v="Mujer"/>
    <s v="Soltero"/>
    <s v="NO"/>
    <s v="NO"/>
    <n v="0"/>
    <s v="NO"/>
    <s v="NA"/>
    <s v="NO"/>
    <s v="NA"/>
    <s v="NO"/>
    <s v="NA"/>
    <s v="No"/>
    <s v="no tenemos"/>
    <s v="321/585-9007"/>
    <s v="Estrato 2"/>
    <s v="CL 111 B #49 C 71"/>
    <s v="Antioquia"/>
    <s v="Medellín"/>
    <s v="No aplica, no soy foráneo"/>
    <s v="Familiar"/>
    <s v="SI"/>
    <s v="2024"/>
    <s v="AC202433440708"/>
    <n v="303"/>
    <n v="66"/>
    <n v="66"/>
    <s v="Pública"/>
    <s v="I.E FINCA LA MESA"/>
    <n v="2024"/>
    <m/>
    <s v="Medellín"/>
    <s v="Bachillerato"/>
    <s v="Técnico"/>
    <m/>
    <s v="11"/>
    <s v="Escala Cualitativa"/>
    <s v="Escala de 0 - 5"/>
    <s v="4"/>
    <s v="4"/>
    <m/>
    <s v="5"/>
    <s v="5"/>
    <m/>
    <n v="5"/>
    <n v="4.5"/>
    <m/>
    <n v="4.5"/>
    <n v="4.5"/>
    <m/>
    <s v="5"/>
    <s v="5"/>
    <m/>
    <s v="5"/>
    <s v="5"/>
    <m/>
    <s v="5"/>
    <s v="4,5"/>
    <m/>
    <s v="De 9 y 10"/>
    <n v="4.625"/>
    <s v="NO"/>
    <s v="NA"/>
    <n v="0"/>
    <n v="0"/>
    <s v="No"/>
    <n v="40"/>
    <m/>
    <n v="50"/>
    <m/>
    <n v="50"/>
    <m/>
    <m/>
    <n v="46.666666666666664"/>
    <s v="Con detalle por componente"/>
    <s v="Ninguna"/>
    <s v="Mercadeo me permitió sacar una versión de mí que sabía que existía, pero que no me atrevía a mostrar. Por eso, me visualizo ejerciendo esta carrera con amor y compromiso, expresando mis ideas con seguridad, desarrollando campañas, marcas y mensajes positivos, porque el mercadeo es mucho más que vender: es conectar, inspirar y transformar. Me veo trabajando con un equipo increíble, formulando y ejecutando investigaciones de mercado, tomando decisiones estratégicas y comprendiendo al consumidor para entregar verdaderas propuestas de valor. Me visualizo siendo una líder que inspira, motiva, escucha, comprende y es empática. Me gustaría ser esa persona que no solo guía a que sean su mejor versión sino que también abraza y apoya las ideas de los demás. Alguien humana, con valores sólidos y un propósito claro. Sueño con trabajar en la industria de la moda y crecer profesionalmente. También me veo emprendiendo, creando mi propio negocio. _x000a__x000a_A través de la beca, puedo transformar mi región promoviendo mi experiencia para expresar la importancia de la educación y que existen oportunidades para acceder a ella, incluso cuando las condiciones económicas son difíciles. Al contar cómo esta beca impactó mi vida, podría inspirar a otros en mi comunidad a creer que ellos también pueden lograr sus sueños. Me gustaría demostrar que sí es posible obtener oportunidades que les permitan cumplir sus anhelos y, así, cambiar su vida. Esta beca no solo me brindaría la posibilidad de estudiar, sino que, a través de mi ejemplo, podría motivar a otros a luchar por un futuro mejor."/>
    <s v="Redes sociales"/>
    <s v="Por la calidad académica."/>
    <s v="Vocación."/>
    <n v="3"/>
    <s v="0"/>
    <s v="SI"/>
    <s v="NO"/>
    <s v="Entre 1 y 2 millones"/>
    <s v="No"/>
    <n v="0"/>
    <n v="0"/>
    <m/>
    <s v="SI"/>
    <s v="Beca"/>
    <s v="NO"/>
    <s v=""/>
    <s v=""/>
    <s v="Si"/>
    <s v="Hernan Dario Hernandez"/>
    <s v="Soltero"/>
    <s v="BACHILLERATO"/>
    <s v="43"/>
    <s v="Prestar servicios de apoyo a la gestión con plena autonomía técnica y administrativa en el Parque Nacional Natural Paramillo"/>
    <s v="Empleado (con contrato laboral)"/>
    <s v="Prestar servicios de apoyo a la gestión con plena autonomía técnica y administrativa en el Parque Nacional Natural Paramillo"/>
    <s v="Parques Nacionales"/>
    <n v="1836237"/>
    <s v="No"/>
    <s v="NO"/>
    <s v="NO"/>
    <s v="Mi papá siempre ha estado presente en todos los aspectos de mi vida, brindándome acompañamiento emocional y apoyo constante. Aunque no vivimos en el mismo lugar, siempre se ha comprometido con mi bienestar. Sin embargo, recientemente enfrentó dificultades económicas debido a la falta de empleo, lo que afectó su aporte de pensión alimentaria. En abril retomó su vida laboral, pero aún no ha recibido pago, lo que ha retrasado su contribución económica en los últimos meses."/>
    <s v="Si"/>
    <s v="Marcela Escudero Jimenez"/>
    <s v="Unión marital"/>
    <s v="BACHILLERATO"/>
    <s v="37"/>
    <s v="Mesera"/>
    <s v="Empleado (con contrato laboral)"/>
    <s v="Mesera"/>
    <s v="Arepas y Arepas R.O Ltda"/>
    <n v="1849965"/>
    <s v="Si"/>
    <s v="NO"/>
    <s v="NO"/>
    <s v="Mi mamá ha sido siempre el pilar del hogar. Es una mujer trabajadora, responsable y comprometida con el bienestar de la familia. Aporta económicamente de manera constante. su esfuerzo y dedicación son increíbles."/>
    <n v="3686202"/>
    <s v="Si"/>
    <s v="Manuel Alberto Rincón Gutiérrez"/>
    <s v="PADRASTRO"/>
    <s v="32"/>
    <s v="Mesero"/>
    <s v="Arepas y Arepas R.O Ltda"/>
    <n v="1623500"/>
    <s v="Si"/>
    <s v="Donay Escudero Jimenez"/>
    <s v="Tío / Tía"/>
    <s v="54"/>
    <s v="Constructor"/>
    <s v="Trabajo independiente"/>
    <n v="800000"/>
    <s v="No"/>
    <s v=""/>
    <s v=""/>
    <s v=""/>
    <s v=""/>
    <s v=""/>
    <m/>
    <s v=""/>
    <s v="En el primer piso de la casa vivimos cuatro personas&amp;#58; mi madre, mi padrastro, mi tío y yo. Mi madre y mi padrastro son quienes sostienen el hogar económicamente, ya que mi tío no aporta en nada. No tiene un trabajo estable ni ingresos fijos. El dinero que obtiene lo destina al alcohol y otros vicios. Sin embargo, no solo esto genera conflictos, sino también su comportamiento dentro del hogar&amp;#58; no respeta los horarios de descanso, hace ruidos constantemente a altas horas de la noche, entra y sale de la casa sin consideración. Su actitud suele ser grosera con los demás, lo que hace que la convivencia sea muy difícil y afecte nuestro bienestar emocional. Además, vivimos en una casa unifamiliar donde en el segundo piso residen otros familiares. Todos los servicios públicos son compartidos, por lo que, aunque nuestro consumo es bajo, debemos asumir un valor elevado en las facturas, lo cual representa una carga adicional para mi familia."/>
    <n v="51047000"/>
    <n v="0"/>
    <n v="0"/>
    <n v="0"/>
    <n v="0"/>
    <s v="Si"/>
    <s v="Pulsar 180 GT"/>
    <s v="2015"/>
    <n v="3000000"/>
    <s v="No"/>
    <s v=""/>
    <s v=""/>
    <n v="0"/>
    <s v="No"/>
    <s v=""/>
    <s v=""/>
    <s v=""/>
    <n v="0"/>
    <s v="Actualmente residimos en una vivienda que pertenece a la familia, la vivienda es una propiedad heredada que aún está a nombre de mi abuela, quien ya falleció, y no se ha realizado el proceso legal de sucesión, por lo tanto, la propiedad no está formalmente dividida entre los herederos (7 hijos). Además el vehículo familiar (motocicleta) corresponde a mi papá."/>
    <n v="4"/>
    <n v="4"/>
    <n v="4"/>
    <n v="4"/>
    <n v="4"/>
    <n v="4"/>
    <n v="3"/>
    <n v="4"/>
    <n v="3"/>
    <n v="4"/>
    <n v="38"/>
    <s v="SI"/>
    <s v="SI, TIPO IE"/>
    <s v="PRI SIN TIPO IE"/>
    <s v="pendiente tipo ie"/>
    <e v="#N/A"/>
    <e v="#N/A"/>
    <m/>
    <n v="3"/>
    <n v="10"/>
    <n v="10"/>
    <n v="5"/>
    <n v="20"/>
    <n v="15"/>
    <n v="20"/>
    <n v="17"/>
    <n v="16"/>
    <n v="86"/>
    <n v="0.5"/>
    <m/>
    <n v="3.5"/>
    <n v="3.5"/>
    <n v="6"/>
    <n v="3"/>
    <n v="3.5"/>
    <n v="3.5"/>
    <n v="7"/>
    <n v="3"/>
    <n v="87"/>
    <n v="0.6"/>
    <n v="0.6"/>
    <e v="#N/A"/>
    <m/>
    <m/>
    <s v="SI, TIPO IE"/>
    <m/>
    <m/>
    <s v="Mercadeo"/>
    <e v="#N/A"/>
    <s v="169"/>
    <e v="#N/A"/>
  </r>
  <r>
    <s v="TI"/>
    <n v="1018237276"/>
    <s v="1000385621"/>
    <s v="CRISTIAN DANIEL GIRALDO VASQUEZ"/>
    <s v="Estudios por primera vez"/>
    <x v="10"/>
    <s v="Descartado, pago matricula"/>
    <s v="Ya pago matricula"/>
    <s v="En publico objetivo"/>
    <s v="1er Cohorte"/>
    <s v="Admitido"/>
    <s v="cdgiraldov@eafit.edu.co"/>
    <s v="cdgiraldov@eafit.edu.co"/>
    <s v="cdgiraldov@eafit.edu.co"/>
    <s v="573122426762"/>
    <d v="2025-04-25T00:00:00"/>
    <s v="Activo en Programa"/>
    <s v="001-Administración de Negocios"/>
    <s v="Escuela de Administración"/>
    <d v="2007-05-19T00:00:00"/>
    <n v="18"/>
    <s v="Antioquia"/>
    <s v="Medellín"/>
    <s v="Hombre"/>
    <s v="Soltero"/>
    <s v="NO"/>
    <s v="NO"/>
    <n v="0"/>
    <s v="NO"/>
    <s v="NA"/>
    <s v="NO"/>
    <s v="NA"/>
    <s v="NO"/>
    <s v="NA"/>
    <s v="No"/>
    <s v="604 867 0201"/>
    <s v="573122426762"/>
    <s v="Estrato 3"/>
    <s v="Carrera 13 #7-140"/>
    <s v="Antioquia"/>
    <s v="Entrerrios"/>
    <s v="Si"/>
    <s v="Propio"/>
    <s v="SI"/>
    <s v="2024"/>
    <s v="AC202431215573"/>
    <n v="304"/>
    <n v="56"/>
    <n v="61"/>
    <s v="Privada"/>
    <s v="COLEGIO SANTA INES"/>
    <n v="2024"/>
    <s v="Antioquia"/>
    <s v="Entrerrios"/>
    <s v="BACHILLER"/>
    <s v="ACAD"/>
    <s v="TIPO: Privada, INSTITUCION: COLEGIO SANTA INES, AÑO: 2024, CIUDAD: Entrerrios, TITULO: BACHILLER"/>
    <s v="11"/>
    <s v="Escala de 0 - 5"/>
    <s v="Escala de 0 - 5"/>
    <s v="4,3"/>
    <s v="4,2"/>
    <m/>
    <s v="4,3"/>
    <s v="4,3"/>
    <m/>
    <n v="3.7"/>
    <n v="4.2"/>
    <m/>
    <n v="4.4000000000000004"/>
    <n v="4.5"/>
    <m/>
    <s v="4,5"/>
    <s v="4,6"/>
    <m/>
    <s v="4,7"/>
    <s v="4,7"/>
    <m/>
    <s v="4,5"/>
    <s v="4,4"/>
    <m/>
    <s v="De 9 y 10"/>
    <n v="4.2"/>
    <s v="NO"/>
    <s v="NA"/>
    <n v="0"/>
    <n v="0"/>
    <s v="No"/>
    <n v="40"/>
    <m/>
    <n v="45"/>
    <m/>
    <n v="50"/>
    <m/>
    <s v="vive en Entrerrios y estudia en el colegio Monseñor COLMEJE, le gusta EAFIT Por recomendaciones de familia, quiere mas adelante tener su emprendimiento y siente que administración le da varias opciones en campos de acción"/>
    <n v="45"/>
    <s v="Con detalle por componente"/>
    <s v="Espacios de liderazgo o representación social"/>
    <s v="Me visualizo con mi propia empresa,brindando nuevas oportunidades de trabajo a los locales,generando riquezas e impulsando la economía del municipio, familiar y personal._x000a_Además generando nuevas alternativas y ampliando el ámbito económico de la región, aprovechando lo que esta nos ofrece."/>
    <s v="EAFIT es una experiencia"/>
    <s v="Por la calidad académica."/>
    <s v="Alta proyección de ingresos."/>
    <n v="4"/>
    <s v="2"/>
    <s v="SI"/>
    <s v="NO"/>
    <s v="Entre 3 y 4 millones"/>
    <s v="Si"/>
    <s v="SI"/>
    <s v="NO"/>
    <m/>
    <s v="NO"/>
    <m/>
    <s v="NO"/>
    <s v=""/>
    <s v=""/>
    <s v="Si"/>
    <s v="Alejandro Giraldo Tobón"/>
    <s v="Casado"/>
    <s v="UNIVERSITARIOS"/>
    <s v="52"/>
    <s v="Ganadero"/>
    <s v="Independiente (trabaja por cuenta propia)"/>
    <s v="Ganadería"/>
    <s v="Independiente"/>
    <n v="70000000"/>
    <s v="Si"/>
    <s v="SI"/>
    <s v="NO"/>
    <s v=""/>
    <s v="Si"/>
    <s v="Claudia Milena Vasquez Palacio"/>
    <s v="Otro"/>
    <s v="TÉCNICA"/>
    <s v="48"/>
    <s v="ama de casa"/>
    <s v="Independiente (trabaja por cuenta propia)"/>
    <s v="Elaboración de comestibles"/>
    <s v="Independiente"/>
    <n v="2000000"/>
    <s v="Si"/>
    <s v="NO"/>
    <s v="NO"/>
    <m/>
    <n v="72000000"/>
    <s v="Si"/>
    <s v="Elías Giraldo Vasquez"/>
    <s v="Hermano / Hermana"/>
    <s v="15"/>
    <s v="Estudiante"/>
    <s v="Colegio  Monseñor Ernesto Gómez Echeverri"/>
    <n v="0"/>
    <s v="No"/>
    <s v="Diana Gabriela Giraldo Vasquez"/>
    <s v="Hermano / Hermana"/>
    <s v="4"/>
    <s v="Estudiante"/>
    <s v="Colegio Monseñor Ernesto Gómez Echeverri"/>
    <m/>
    <s v="No"/>
    <s v=""/>
    <s v=""/>
    <s v=""/>
    <s v=""/>
    <s v=""/>
    <m/>
    <s v=""/>
    <s v=""/>
    <n v="66000000"/>
    <n v="0"/>
    <n v="340000000"/>
    <n v="0"/>
    <n v="0"/>
    <s v="Si"/>
    <s v="Toyota"/>
    <s v="2007"/>
    <n v="75000000"/>
    <s v="No"/>
    <s v=""/>
    <s v=""/>
    <n v="0"/>
    <s v="Si"/>
    <s v="Moto"/>
    <s v="yamaha"/>
    <s v="2023"/>
    <n v="11000000"/>
    <m/>
    <n v="4"/>
    <n v="4"/>
    <n v="4"/>
    <n v="4"/>
    <n v="4"/>
    <n v="4"/>
    <n v="4"/>
    <n v="4"/>
    <n v="4"/>
    <n v="4"/>
    <n v="40"/>
    <s v="SI"/>
    <m/>
    <s v="SI, SON PRI"/>
    <s v="ok tienen todos los datos"/>
    <e v="#N/A"/>
    <e v="#N/A"/>
    <m/>
    <n v="3"/>
    <n v="10"/>
    <n v="8"/>
    <n v="5"/>
    <n v="15"/>
    <n v="15"/>
    <n v="15"/>
    <n v="7.5"/>
    <n v="7.5"/>
    <n v="67.5"/>
    <n v="0.4"/>
    <m/>
    <n v="2"/>
    <n v="2.5"/>
    <n v="0"/>
    <n v="3"/>
    <n v="2"/>
    <n v="2.5"/>
    <n v="0"/>
    <n v="3"/>
    <n v="65.5"/>
    <n v="0.4"/>
    <s v="Negado"/>
    <e v="#N/A"/>
    <m/>
    <m/>
    <n v="0"/>
    <m/>
    <m/>
    <s v="Administración de Negocios"/>
    <e v="#N/A"/>
    <m/>
    <e v="#N/A"/>
  </r>
  <r>
    <s v="TI"/>
    <n v="1018238300"/>
    <s v="1000407980"/>
    <s v="EMANUEL RESTREPO AGUDELO"/>
    <s v="Estudios por primera vez"/>
    <x v="5"/>
    <s v="Cumple Nutresa"/>
    <m/>
    <s v="En publico objetivo"/>
    <s v="2da Cohorte"/>
    <s v="Admitido"/>
    <s v="erestrepa4@eafit.edu.co"/>
    <e v="#N/A"/>
    <s v="emanuelrestrepo223@gmail.com"/>
    <s v="573054508800"/>
    <d v="2025-05-16T00:00:00"/>
    <s v="Activo en Programa"/>
    <s v="101-Ingeniería Matemática"/>
    <s v="E Ciencias Aplic e Ingeniería"/>
    <d v="2007-07-25T00:00:00"/>
    <n v="18"/>
    <s v="Antioquia"/>
    <s v="Medellín"/>
    <s v="Hombre"/>
    <s v="Soltero"/>
    <s v="NO"/>
    <s v="NO"/>
    <n v="0"/>
    <s v="NO"/>
    <s v="NA"/>
    <s v="NO"/>
    <s v="NA"/>
    <s v="NO"/>
    <s v="NA"/>
    <s v="No"/>
    <s v="305/450-8800"/>
    <s v="573054508800"/>
    <s v="Estrato 3"/>
    <s v="ÇR 15 #46 54"/>
    <s v="Antioquia"/>
    <s v="Medellín"/>
    <s v="No aplica, no soy foráneo"/>
    <s v="Arriendo"/>
    <s v="SI"/>
    <s v="2024"/>
    <s v="AC202433375540"/>
    <n v="371"/>
    <n v="73"/>
    <n v="69"/>
    <s v="Pública"/>
    <s v="MIRAFLORES LUIS EDUARDO V GARC"/>
    <n v="2024"/>
    <s v="Antioquia"/>
    <s v="Medellín"/>
    <s v="BACHILLER"/>
    <s v="TECN"/>
    <s v="TIPO: Pública, INSTITUCION: MIRAFLORES LUIS EDUARDO V GARC, AÑO: 2024, CIUDAD: Medellín, TITULO: BACHILLER"/>
    <s v="11"/>
    <s v="Escala de 0 - 5"/>
    <s v="Escala de 0 - 5"/>
    <s v="3,5"/>
    <s v="4"/>
    <m/>
    <s v="4"/>
    <s v="4"/>
    <m/>
    <n v="4.5"/>
    <n v="4.0999999999999996"/>
    <m/>
    <n v="4.3"/>
    <n v="4"/>
    <m/>
    <s v="4,8"/>
    <s v="4"/>
    <m/>
    <s v="3,5"/>
    <s v="3,4"/>
    <m/>
    <s v="4,5"/>
    <s v="3,4"/>
    <m/>
    <s v="De 9 y 10"/>
    <n v="4.2249999999999996"/>
    <s v="NO"/>
    <s v="NA"/>
    <n v="0"/>
    <n v="0"/>
    <s v="No"/>
    <n v="50"/>
    <m/>
    <n v="50"/>
    <m/>
    <n v="50"/>
    <m/>
    <s v="Persona admitida al programa."/>
    <n v="50"/>
    <s v="Con detalle por componente"/>
    <s v="Ninguna"/>
    <s v="En un ambiente profesional me veo con un amplio campo de acción en el cual puedo actuar de manera eficaz y versátil gracias al gran potencial que tendría para analizar y optimizar problemas complejos de diversas áreas de estudio. En mi región podría ver posible una mejora en distintos problemas que puedan llegar a presentarse relacionados con la optimización y la gestión de recursos, también me permitiría liderar en mi comunidad con un pensamiento crítico e innovador. En conclusión, la obtención de la beca me ayudaría a desarrollar una visión mas amplia frente a diversas problemáticas y a aportar activamente en la construcción de una mejor región o sociedad."/>
    <s v="Amigos"/>
    <s v="Por la calidad académica."/>
    <s v="Vocación."/>
    <n v="2"/>
    <s v="1"/>
    <s v="SI"/>
    <s v="NO"/>
    <s v="Entre 2 y 3 millones"/>
    <s v="No"/>
    <n v="0"/>
    <s v="NO"/>
    <m/>
    <s v="SI"/>
    <s v="Beca"/>
    <s v="NO"/>
    <s v=""/>
    <s v=""/>
    <s v="No, fallecido"/>
    <n v="0"/>
    <m/>
    <m/>
    <m/>
    <s v=""/>
    <s v=""/>
    <m/>
    <s v=""/>
    <m/>
    <s v=""/>
    <m/>
    <m/>
    <s v=""/>
    <s v="Si"/>
    <s v="Gladys Estella Agudelo López"/>
    <s v="Otro"/>
    <s v="BACHILLERATO"/>
    <s v="61"/>
    <s v="ama de casa"/>
    <s v="Pensionado"/>
    <s v="NA"/>
    <s v="NA"/>
    <n v="1200000"/>
    <s v="Si"/>
    <s v="SI"/>
    <s v="NO"/>
    <m/>
    <n v="1200000"/>
    <s v="Si"/>
    <s v="Santiago Carmona Agudelo"/>
    <s v="Hermano / Hermana"/>
    <s v="31"/>
    <s v="Tapicero"/>
    <s v="Gold RH S.A.S."/>
    <n v="1423000"/>
    <s v="Si"/>
    <s v=""/>
    <s v=""/>
    <s v=""/>
    <s v=""/>
    <s v=""/>
    <m/>
    <s v=""/>
    <s v=""/>
    <s v=""/>
    <s v=""/>
    <s v=""/>
    <s v=""/>
    <m/>
    <s v=""/>
    <s v=""/>
    <n v="0"/>
    <n v="0"/>
    <n v="0"/>
    <n v="0"/>
    <n v="0"/>
    <s v="No"/>
    <s v=""/>
    <s v=""/>
    <n v="0"/>
    <s v="No"/>
    <s v=""/>
    <s v=""/>
    <n v="0"/>
    <s v="No"/>
    <s v=""/>
    <s v=""/>
    <s v=""/>
    <n v="0"/>
    <m/>
    <n v="4"/>
    <n v="4"/>
    <n v="3"/>
    <n v="4"/>
    <n v="3"/>
    <n v="4"/>
    <n v="3"/>
    <n v="3"/>
    <n v="3"/>
    <n v="4"/>
    <n v="35"/>
    <s v="SI"/>
    <m/>
    <s v="SI, SON PRI"/>
    <s v="ok tienen todos los datos"/>
    <e v="#N/A"/>
    <e v="#N/A"/>
    <m/>
    <n v="3"/>
    <n v="10"/>
    <n v="8"/>
    <n v="15"/>
    <n v="15"/>
    <n v="15"/>
    <n v="20"/>
    <n v="20"/>
    <n v="20"/>
    <n v="95"/>
    <s v="80 - 100%"/>
    <m/>
    <n v="3.5"/>
    <n v="4.5"/>
    <n v="8"/>
    <n v="4"/>
    <n v="3.5"/>
    <n v="4"/>
    <n v="8"/>
    <n v="4.5"/>
    <n v="93"/>
    <s v="80 - 100%"/>
    <n v="1"/>
    <s v="EMANUEL RESTREPO AGUDELO"/>
    <m/>
    <m/>
    <n v="0"/>
    <s v="EN ORDEN"/>
    <n v="0"/>
    <s v="Ingeniería Matemática"/>
    <s v="Pres. para revision docs nutresa"/>
    <m/>
    <s v="NUTRESA"/>
  </r>
  <r>
    <s v="TI"/>
    <n v="1018239210"/>
    <s v="1000403971"/>
    <s v="PAULINA GUTIERREZ VANEGAS"/>
    <s v="Estudios por primera vez"/>
    <x v="1"/>
    <s v="Descartado por bajo icfes"/>
    <m/>
    <s v="En publico objetivo"/>
    <s v="1er Cohorte"/>
    <s v="Admitido"/>
    <s v="pgutierrev@eafit.edu.co"/>
    <e v="#N/A"/>
    <s v="paulinagutierrexv@gmail.com"/>
    <s v="573117964788"/>
    <d v="2025-04-25T00:00:00"/>
    <s v="Activo en Programa"/>
    <s v="240-Diseño Urbano y Gesti Hábitat"/>
    <s v="E Ciencias Aplic e Ingeniería"/>
    <d v="2007-10-22T00:00:00"/>
    <n v="18"/>
    <s v="Antioquia"/>
    <s v="Medellín"/>
    <s v="Mujer"/>
    <s v="Soltero"/>
    <s v="NO"/>
    <s v="NO"/>
    <n v="0"/>
    <s v="NO"/>
    <s v="NA"/>
    <s v="NO"/>
    <s v="NA"/>
    <s v="NO"/>
    <s v="NA"/>
    <s v="No"/>
    <s v="467-0211"/>
    <s v="573117964788"/>
    <s v="Estrato 1"/>
    <s v="CR 40 A #2168"/>
    <s v="Antioquia"/>
    <s v="Bello"/>
    <s v="No aplica, no soy foráneo"/>
    <s v="Propio"/>
    <s v="SI"/>
    <s v="2024"/>
    <s v="AC202434116653"/>
    <n v="310"/>
    <n v="64"/>
    <n v="64"/>
    <s v="Privada"/>
    <s v="COL BETHLEMITAS"/>
    <n v="2024"/>
    <s v="Antioquia"/>
    <s v="Bello"/>
    <s v="BACHILLER"/>
    <s v="ACAD"/>
    <s v="TIPO: Privada, INSTITUCION: COL BETHLEMITAS, AÑO: 2024, CIUDAD: Bello, TITULO: BACHILLER"/>
    <s v="11"/>
    <s v="Escala de 0 - 50"/>
    <s v="Escala de 0 - 50"/>
    <s v="45"/>
    <s v="50"/>
    <m/>
    <s v="40"/>
    <s v="50"/>
    <m/>
    <n v="43"/>
    <n v="48"/>
    <m/>
    <n v="45"/>
    <n v="43"/>
    <m/>
    <s v="50"/>
    <s v="50"/>
    <m/>
    <s v="45"/>
    <s v="50"/>
    <m/>
    <s v="45"/>
    <s v="45"/>
    <m/>
    <s v="De 9 y 10"/>
    <n v="44.75"/>
    <s v="NO"/>
    <s v="NA"/>
    <n v="0"/>
    <n v="0"/>
    <s v="No"/>
    <n v="50"/>
    <m/>
    <n v="45"/>
    <m/>
    <n v="45"/>
    <m/>
    <m/>
    <n v="46.666666666666664"/>
    <s v="Con detalle por componente"/>
    <s v="Artísticas o culturales,Trabajo social o comunitario,Espacios de liderazgo o representación social"/>
    <s v="Elegir una carrera universitaria es un paso crucial en la vida de cualquier persona, y para mí, estudiar el pregrado de Diseño Urbano y Gestión del Hábitat en la Universidad EAFIT de Medellín representa una oportunidad invaluable para contribuir al desarrollo sostenible de nuestras ciudades. Me imagino ejerciendo como diseñadora urbana, trabajando en proyectos que integren la naturaleza y la tecnología para crear ciudades más habitables colaborando con grupos interdisciplinarios, donde mi papel será contribuir a la creación de espacios públicos accesibles y sostenibles. Además, quiero involucrarme en iniciativas que promuevan la participación ciudadana en el proceso de diseño, asegurando que las voces de todos sean escuchadas. La co-creación con las comunidades es esencial para garantizar que los proyectos realmente respondan a sus necesidades y aspiraciones. Estoy decidida a implementar soluciones innovadoras que protejan el medio ambiente y mejoren la calidad de vida de las personas. Creo firmemente que el diseño urbano y la gestión del hábitat pueden ser herramientas poderosas para crear ciudades más inclusivas, sostenibles y resilientes. Mi objetivo es contribuir a la planificación de espacios públicos que fomenten la convivencia, la movilidad sostenible y la conservación de los recursos naturales. A través de mi trabajo, busco no solo transformar el entorno físico, sino también inspirar a otros a ser colaboradores de cambio en sus propias comunidades, construyendo un futuro más justo y equitativo para todos.  "/>
    <s v="Amigos"/>
    <s v="Proyección laboral."/>
    <s v="Alta proyección de ingresos."/>
    <n v="3"/>
    <s v="0"/>
    <s v="SI"/>
    <s v="NO"/>
    <s v="Entre 1 y 2 millones"/>
    <s v="Si"/>
    <n v="0"/>
    <n v="0"/>
    <m/>
    <s v="SI"/>
    <s v="Beca"/>
    <s v="NO"/>
    <s v=""/>
    <s v=""/>
    <s v="Si"/>
    <s v="Jorge Alberto Gutiérrez vanegas"/>
    <s v="Casado"/>
    <s v="BACHILLERATO"/>
    <s v="56"/>
    <s v="comerciante indeopendiente"/>
    <s v="Emprendedor (inicia un proyecto productivo o negocio propio)"/>
    <s v="Vendedor tienda"/>
    <s v="tienda escolar"/>
    <n v="3000000"/>
    <s v="Si"/>
    <s v="SI"/>
    <s v="NO"/>
    <s v="Mi padre es un hombre trabajador que se desempeña en el ámbito comercial específicamente en las tiendas escolares desarrolla su trabajo con empeño y dedicación para sacar adelante a mi familia y mis estudios"/>
    <s v="Si"/>
    <s v="Dora Elena vanegas vergara"/>
    <s v="Casado"/>
    <s v="UNIVERSITARIOS"/>
    <s v="56"/>
    <s v="ama de casa"/>
    <s v="Labores del hogar y cuidado"/>
    <s v="Ama de casa"/>
    <s v="casa"/>
    <n v="0"/>
    <s v="Si"/>
    <s v="NO"/>
    <s v="NO"/>
    <m/>
    <n v="3000000"/>
    <s v="No, solo vivo con mis padres"/>
    <s v=""/>
    <s v=""/>
    <s v=""/>
    <s v=""/>
    <s v=""/>
    <m/>
    <s v=""/>
    <s v=""/>
    <s v=""/>
    <s v=""/>
    <s v=""/>
    <s v=""/>
    <m/>
    <s v=""/>
    <s v=""/>
    <s v=""/>
    <s v=""/>
    <s v=""/>
    <s v=""/>
    <m/>
    <s v=""/>
    <m/>
    <n v="23313000"/>
    <n v="0"/>
    <n v="0"/>
    <n v="0"/>
    <n v="0"/>
    <s v="Si"/>
    <s v="Terios"/>
    <s v="2008"/>
    <n v="28000000"/>
    <s v="No"/>
    <s v=""/>
    <s v=""/>
    <n v="0"/>
    <s v="No"/>
    <s v=""/>
    <s v=""/>
    <s v=""/>
    <n v="0"/>
    <m/>
    <n v="4"/>
    <n v="4"/>
    <n v="4"/>
    <n v="4"/>
    <n v="4"/>
    <n v="4"/>
    <n v="4"/>
    <n v="4"/>
    <n v="4"/>
    <n v="4"/>
    <n v="40"/>
    <s v="SI"/>
    <m/>
    <s v="SI, SON PRI"/>
    <s v="ok tienen todos los datos"/>
    <e v="#N/A"/>
    <e v="#N/A"/>
    <m/>
    <n v="2"/>
    <n v="6"/>
    <n v="6"/>
    <n v="5"/>
    <n v="15"/>
    <n v="15"/>
    <n v="20"/>
    <n v="17"/>
    <n v="15.5"/>
    <n v="76.5"/>
    <n v="0.4"/>
    <m/>
    <n v="2"/>
    <n v="2.5"/>
    <n v="8"/>
    <n v="3"/>
    <n v="2"/>
    <n v="2.5"/>
    <n v="8"/>
    <n v="4.5"/>
    <n v="78"/>
    <n v="0.6"/>
    <n v="0.7"/>
    <e v="#N/A"/>
    <s v="se sube por pregrado"/>
    <m/>
    <n v="0"/>
    <m/>
    <m/>
    <s v="Diseño Urbano y Gesti Hábitat"/>
    <e v="#N/A"/>
    <m/>
    <e v="#N/A"/>
  </r>
  <r>
    <s v="TI"/>
    <n v="1018239697"/>
    <s v="1000393549"/>
    <s v="VALENTINA REYES CASTRO"/>
    <s v="Estudios por primera vez"/>
    <x v="1"/>
    <s v="Descartado por bajo icfes"/>
    <m/>
    <s v="En publico objetivo"/>
    <s v="2da Cohorte"/>
    <s v="Admitido"/>
    <s v="vreyesc3@eafit.edu.co"/>
    <s v="vreyesc3@eafit.edu.co"/>
    <s v="valenreyesc11@gmail.com"/>
    <s v="573001433304"/>
    <d v="2025-05-16T00:00:00"/>
    <s v="Activo en Programa"/>
    <s v="169-Mercadeo"/>
    <s v="Escuela de Administración"/>
    <d v="2007-11-30T00:00:00"/>
    <n v="18"/>
    <s v="Antioquia"/>
    <s v="Medellín"/>
    <s v="Mujer"/>
    <s v="Soltero"/>
    <s v="NO"/>
    <s v="NO"/>
    <n v="0"/>
    <s v="NO"/>
    <s v="NA"/>
    <s v="NO"/>
    <s v="NA"/>
    <s v="NO"/>
    <s v="NA"/>
    <s v="No"/>
    <s v="300/941-9066"/>
    <s v="573001433304"/>
    <s v="Estrato 3"/>
    <s v="CR 80 77 BB- 64"/>
    <s v="Antioquia"/>
    <s v="Medellín"/>
    <s v="No aplica, no soy foráneo"/>
    <s v="Arriendo"/>
    <s v="SI"/>
    <s v="2024"/>
    <s v="AC202434095709"/>
    <n v="319"/>
    <n v="64"/>
    <n v="63"/>
    <s v="Privada"/>
    <s v="COL. SANTA BERTILLA BOSCARDIN"/>
    <n v="2024"/>
    <s v="Antioquia"/>
    <s v="Medellín"/>
    <s v="BACHILLER"/>
    <s v="TECN"/>
    <s v="TIPO: Privada, INSTITUCION: COL. SANTA BERTILLA BOSCARDIN, AÑO: 2024, CIUDAD: Medellín, TITULO: BACHILLER"/>
    <s v="11"/>
    <s v="Escala de 0 - 5"/>
    <s v="Escala de 0 - 5"/>
    <s v="5"/>
    <s v="4,5"/>
    <m/>
    <s v="5"/>
    <s v="4"/>
    <m/>
    <n v="5"/>
    <n v="4.5"/>
    <m/>
    <n v="4.5"/>
    <n v="4"/>
    <m/>
    <s v="4,5"/>
    <s v="4"/>
    <m/>
    <s v="4,5"/>
    <s v="4,5"/>
    <m/>
    <s v="4,5"/>
    <s v="4,5"/>
    <m/>
    <s v="De 9 y 10"/>
    <n v="4.5"/>
    <s v="NO"/>
    <s v="NA"/>
    <n v="0"/>
    <n v="0"/>
    <s v="No"/>
    <n v="35"/>
    <m/>
    <n v="40"/>
    <m/>
    <n v="40"/>
    <m/>
    <m/>
    <n v="38.333333333333336"/>
    <s v="Con detalle por componente"/>
    <s v="Trabajo social o comunitario"/>
    <s v="Me visualizo como una profesional del Mercadeo que contribuye al crecimiento de marcas locales en Medellín. Desde pequeña he admirado el potencial creativo y emprendedor de mi ciudad, y por eso quiero enfocarme en ayudar a pequeñas y medianas empresas a posicionarse de manera estratégica en el mercado, destacando sus valores, historias y propuestas únicas._x000a__x000a_A través del Mercadeo, no solo quiero impulsar productos o servicios, sino también crear conexiones significativas entre las marcas y las personas. La obtención de esta beca representaría una oportunidad transformadora, no solo para mí a nivel personal y profesional, sino también para mi entorno. Me permitiría acceder a una formación de calidad sin que las barreras económicas , y así devolver ese conocimiento a mi ciudad._x000a__x000a_Con esta beca, no solo me formaría como una mercadóloga con visión estratégica, sino también cambio para Medellín, ayudando a construir un sector empresarial más sólido, visible y sostenible."/>
    <s v="Página WEB"/>
    <s v="Por la calidad académica."/>
    <s v="Recomendación."/>
    <n v="2"/>
    <s v="0"/>
    <s v="SI"/>
    <s v="NO"/>
    <s v="Entre 1 y 2 millones"/>
    <s v="No"/>
    <n v="0"/>
    <n v="0"/>
    <m/>
    <s v="SI"/>
    <s v="Beca"/>
    <s v="NO"/>
    <s v=""/>
    <s v=""/>
    <s v="Sin información"/>
    <s v="HECTOR   REYES CASTRO"/>
    <s v="Casado"/>
    <s v="UNIVERSITARIOS"/>
    <s v="77"/>
    <s v=""/>
    <s v=""/>
    <m/>
    <s v=""/>
    <m/>
    <s v=""/>
    <s v="NO"/>
    <s v="NO"/>
    <s v=""/>
    <s v="Si"/>
    <s v="Consuelo Castro Velásquez"/>
    <s v="Soltero"/>
    <s v="ESPECIALIZACIÓN"/>
    <s v="56"/>
    <s v="Psicologa"/>
    <s v="Desempleado (Se encuentra en la búsqueda activa de empleo)"/>
    <s v="Desempleada"/>
    <s v="N/A"/>
    <n v="500000"/>
    <s v="Si"/>
    <s v="SI"/>
    <s v="NO"/>
    <s v="Los ingresos actuales provienen del apoyo económico de los abuelos y el tío de la aspirante."/>
    <n v="500000"/>
    <s v="No, solo vivo con mis padres"/>
    <s v=""/>
    <s v=""/>
    <s v=""/>
    <s v=""/>
    <s v=""/>
    <m/>
    <s v=""/>
    <s v=""/>
    <s v=""/>
    <s v=""/>
    <s v=""/>
    <s v=""/>
    <m/>
    <s v=""/>
    <s v=""/>
    <s v=""/>
    <s v=""/>
    <s v=""/>
    <s v=""/>
    <m/>
    <s v=""/>
    <s v=""/>
    <n v="0"/>
    <n v="0"/>
    <n v="0"/>
    <n v="0"/>
    <n v="0"/>
    <s v="No"/>
    <s v=""/>
    <s v=""/>
    <n v="0"/>
    <s v="No"/>
    <s v=""/>
    <s v=""/>
    <n v="0"/>
    <s v="No"/>
    <s v=""/>
    <s v=""/>
    <s v=""/>
    <n v="0"/>
    <m/>
    <n v="4"/>
    <n v="4"/>
    <n v="3"/>
    <n v="4"/>
    <n v="4"/>
    <n v="4"/>
    <n v="4"/>
    <n v="4"/>
    <n v="4"/>
    <n v="4"/>
    <n v="39"/>
    <s v="SI"/>
    <m/>
    <s v="SI, SON PRI"/>
    <s v="ok tienen todos los datos"/>
    <s v="Negada"/>
    <n v="20251"/>
    <m/>
    <n v="3"/>
    <n v="10"/>
    <n v="8"/>
    <n v="5"/>
    <n v="20"/>
    <n v="15"/>
    <n v="10"/>
    <n v="18.5"/>
    <n v="18.5"/>
    <n v="78.5"/>
    <n v="0.6"/>
    <m/>
    <n v="2"/>
    <n v="4.5"/>
    <n v="8"/>
    <n v="4"/>
    <n v="2"/>
    <n v="4"/>
    <n v="8"/>
    <n v="4.5"/>
    <n v="76.5"/>
    <n v="0.7"/>
    <n v="0.6"/>
    <e v="#N/A"/>
    <s v="se baja x entrevista"/>
    <m/>
    <n v="0"/>
    <m/>
    <m/>
    <s v="Mercadeo"/>
    <e v="#N/A"/>
    <s v="169"/>
    <e v="#N/A"/>
  </r>
  <r>
    <s v="TI"/>
    <n v="1018240041"/>
    <s v="1000403472"/>
    <s v="LAURA ISABEL ISAZA LONDOÑO"/>
    <s v="Estudios por primera vez"/>
    <x v="5"/>
    <s v="Cumple Nutresa"/>
    <m/>
    <s v="En publico objetivo"/>
    <s v="3ra Cohorte"/>
    <s v="Admitido"/>
    <s v="liisazal@eafit.edu.co"/>
    <s v="liisazal@eafit.edu.co"/>
    <s v="lauraisabelisazal@gmail.com"/>
    <s v="301/206-7914"/>
    <d v="2025-05-30T00:00:00"/>
    <s v="Activo en Programa"/>
    <s v="010-Ingeniería de Sistemas"/>
    <s v="E Ciencias Aplic e Ingeniería"/>
    <d v="2008-01-05T00:00:00"/>
    <n v="17"/>
    <s v="Antioquia"/>
    <s v="Medellín"/>
    <s v="Mujer"/>
    <s v="Soltero"/>
    <s v="NO"/>
    <s v="NO"/>
    <n v="0"/>
    <s v="NO"/>
    <s v="NA"/>
    <s v="NO"/>
    <s v="NA"/>
    <s v="NO"/>
    <s v="NA"/>
    <s v="No"/>
    <s v="301/206-7914"/>
    <s v="301/206-7914"/>
    <s v="Estrato 3"/>
    <s v="Calle 38a 59cc19"/>
    <s v="Antioquia"/>
    <s v="Bello"/>
    <s v="No aplica, no soy foráneo"/>
    <s v="Propio"/>
    <s v="SI"/>
    <s v="2024"/>
    <s v="AC202435935606"/>
    <n v="344"/>
    <n v="74"/>
    <n v="64"/>
    <s v="Pública"/>
    <s v="IE LICEO ANTIOQUEÑO"/>
    <n v="2024"/>
    <s v="Antioquia"/>
    <s v="Bello"/>
    <s v="BACHILLER"/>
    <s v="ACAD"/>
    <s v="TIPO: Pública, INSTITUCION: IE LICEO ANTIOQUEÑO, AÑO: 2024, CIUDAD: Bello, TITULO: BACHILLER"/>
    <s v="11"/>
    <s v="Escala de 0 - 5"/>
    <s v="Escala de 0 - 5"/>
    <s v="4,5"/>
    <s v="4,5"/>
    <m/>
    <s v="4,5"/>
    <s v="5"/>
    <m/>
    <n v="4.5"/>
    <n v="4.5"/>
    <m/>
    <n v="4.5"/>
    <n v="4"/>
    <m/>
    <s v="4,5"/>
    <s v="5"/>
    <m/>
    <s v="4,5"/>
    <s v="4"/>
    <m/>
    <s v="5"/>
    <s v="5"/>
    <m/>
    <s v="De 9 y 10"/>
    <n v="4.375"/>
    <s v="NO"/>
    <s v="NA"/>
    <n v="0"/>
    <n v="0"/>
    <s v="No"/>
    <n v="45"/>
    <m/>
    <n v="45"/>
    <m/>
    <n v="45"/>
    <m/>
    <m/>
    <n v="45"/>
    <s v="Con detalle por componente"/>
    <s v="Ninguna"/>
    <s v="Como una futura Ingeniera en Sistemas, me visualizo liderando mi propia empresa de desarrollo de software, enfocándome en dar soluciones que optimicen y agilicen el trabajo de mis diferentes clientes, queriendo dar solución a problemas comunes pero muy importantes como nuestro sistema de salud y educativo. Me considero una persona muy capaz de utilizar aquellos conocimientos adquiridos para mejorar y plantear una efectividad para nuestra civilizacion futura. _x000a__x000a_El obtener una beca en una universidad prestigiosa y bien estudiada como EAFIT es un paso importante y diría yo que fundamental para el desarrollo de conocimientos y habilidades necesarias para innovar y crear nuevos comienzos, no solo en mi vida, pero en mi nación y ciudad de origen, Colombia, bello. Si bien la carrera de ingeniería en sistemas está en su mayor auge en este momento, creo que mi pasión e interés me impulsa a ser de aquellos jóvenes que buscan revolucionar el mundo, de lograr avances y proponer buenas ideas para mejorar la calidad de vida de aquellos que viven en condiciones de vulnerabilidad."/>
    <s v="Estudiantes de EAFIT"/>
    <s v="Internacionalización."/>
    <s v="Vocación."/>
    <n v="4"/>
    <s v="2"/>
    <s v="SI"/>
    <s v="NO"/>
    <s v="Entre 2 y 3 millones"/>
    <s v="No"/>
    <s v="SI"/>
    <n v="0"/>
    <m/>
    <s v="SI"/>
    <s v="Beca"/>
    <s v="NO"/>
    <s v=""/>
    <s v=""/>
    <s v="Si"/>
    <s v="Omar Alejandro Isaza Marin"/>
    <s v="Casado"/>
    <s v="TECNOLOGÍA"/>
    <s v="50"/>
    <s v="Electricista"/>
    <s v="Independiente (trabaja por cuenta propia)"/>
    <s v="Instalación de seguridad electrónica"/>
    <s v="No aplica"/>
    <n v="2000000"/>
    <s v="Si"/>
    <s v="SI"/>
    <s v="NO"/>
    <s v="Responsable y Hobre del hogar"/>
    <s v="Si"/>
    <s v="Marisol Londoño Arroyave"/>
    <s v="Casado"/>
    <s v="TECNOLOGÍA"/>
    <s v="52"/>
    <s v="ama de casa"/>
    <s v="Independiente (trabaja por cuenta propia)"/>
    <s v="Ama de casa"/>
    <s v="NO APLICA"/>
    <n v="0"/>
    <s v="Si"/>
    <s v="NO"/>
    <s v="NO"/>
    <s v="Honesta, responsable y amorosa"/>
    <n v="2000000"/>
    <s v="Si"/>
    <s v="Miguel Angel Isaza Londoño"/>
    <s v="Hermano / Hermana"/>
    <s v="19"/>
    <s v="Estudiante"/>
    <s v="SENA"/>
    <n v="0"/>
    <s v="No"/>
    <s v="Yara Alanis Isaza Barrera"/>
    <s v="Hermano / Hermana"/>
    <s v="6"/>
    <s v="Estudiante"/>
    <s v="Institucion Educativa Tomas Cadavid"/>
    <m/>
    <s v="No"/>
    <s v=""/>
    <s v=""/>
    <s v=""/>
    <s v=""/>
    <s v=""/>
    <m/>
    <s v=""/>
    <s v="Familia amigable y luchadora"/>
    <n v="130000000"/>
    <n v="0"/>
    <n v="0"/>
    <n v="0"/>
    <n v="0"/>
    <s v="No"/>
    <s v=""/>
    <s v=""/>
    <n v="0"/>
    <s v="No"/>
    <s v=""/>
    <s v=""/>
    <n v="0"/>
    <s v="Si"/>
    <s v="Moto"/>
    <s v="Xpulse hero"/>
    <s v="200"/>
    <n v="11000000"/>
    <m/>
    <n v="4"/>
    <n v="3"/>
    <n v="4"/>
    <n v="3"/>
    <n v="4"/>
    <n v="3"/>
    <n v="4"/>
    <n v="2"/>
    <n v="4"/>
    <n v="4"/>
    <n v="35"/>
    <s v="SI"/>
    <m/>
    <s v="SI, SON PRI"/>
    <s v="ok tienen todos los datos"/>
    <e v="#N/A"/>
    <e v="#N/A"/>
    <m/>
    <n v="3"/>
    <n v="10"/>
    <n v="8"/>
    <n v="10"/>
    <n v="15"/>
    <n v="15"/>
    <n v="15"/>
    <n v="16"/>
    <n v="16"/>
    <n v="81"/>
    <n v="0.5"/>
    <m/>
    <n v="3.5"/>
    <n v="2.5"/>
    <n v="8"/>
    <n v="2"/>
    <n v="3.5"/>
    <n v="2.5"/>
    <n v="8"/>
    <n v="2"/>
    <n v="79"/>
    <n v="0.5"/>
    <n v="0.5"/>
    <s v="LAURA ISABEL ISAZA LONDOÑO"/>
    <m/>
    <m/>
    <n v="0"/>
    <s v="EN ORDEN"/>
    <s v="Impuesto predial del 2024"/>
    <s v="Ingeniería de Sistemas"/>
    <s v="Pres. para revision docs nutresa"/>
    <m/>
    <s v="NUTRESA"/>
  </r>
  <r>
    <s v="TI"/>
    <n v="1019993892"/>
    <s v="1000403587"/>
    <s v="ROGER RODRIGUEZ AGUIRRE"/>
    <s v="Estudios por primera vez"/>
    <x v="1"/>
    <s v="Descartado por ingresos altos"/>
    <m/>
    <s v="En publico objetivo"/>
    <s v="2da Cohorte"/>
    <s v="Admitido"/>
    <s v="rrodriguea@eafit.edu.co"/>
    <s v="rrodriguea@eafit.edu.co"/>
    <s v="royerjunior22@gmail.com"/>
    <s v="313/531-3827"/>
    <d v="2025-05-16T00:00:00"/>
    <s v="Activo en Programa"/>
    <s v="014-Ingeniería Mecánica"/>
    <s v="E Ciencias Aplic e Ingeniería"/>
    <d v="2008-02-15T00:00:00"/>
    <n v="17"/>
    <s v="Bogotá"/>
    <s v="Bogotá D.C."/>
    <s v="Hombre"/>
    <s v="Soltero"/>
    <s v="NO"/>
    <s v="NO"/>
    <n v="0"/>
    <s v="NO"/>
    <s v="NA"/>
    <s v="SI"/>
    <s v="Zenú / senú"/>
    <s v="SI"/>
    <s v="Indígenas"/>
    <s v="No"/>
    <s v="313/531-3827"/>
    <s v="NA"/>
    <s v="Estrato 1"/>
    <s v="CL 22 TV 12 B 33"/>
    <s v="Córdoba"/>
    <s v="Pueblo Nuevo"/>
    <s v="No aplica, no soy foráneo"/>
    <s v="Arriendo"/>
    <s v="SI"/>
    <s v="2024"/>
    <s v="AC202437578172"/>
    <n v="326"/>
    <n v="72"/>
    <n v="63"/>
    <s v="Privada"/>
    <s v="COLEGIO DIOCESANO JUAN PABLO I"/>
    <n v="2024"/>
    <s v="Córdoba"/>
    <s v="Planeta Rica"/>
    <s v="BACHILLER"/>
    <s v="ACAD"/>
    <s v="TIPO: Privada, INSTITUCION: COLEGIO DIOCESANO JUAN PABLO I, AÑO: 2024, CIUDAD: Planeta Rica, TITULO: BACHILLER"/>
    <s v="11"/>
    <s v="Escala Desempeño"/>
    <s v="Escala de 0 - 5"/>
    <s v="4,5"/>
    <s v="4,5"/>
    <m/>
    <s v="4,5"/>
    <s v="4,5"/>
    <m/>
    <n v="4.5"/>
    <n v="4.5"/>
    <m/>
    <n v="4.5"/>
    <n v="4.5"/>
    <m/>
    <s v="4,5"/>
    <s v="4,5"/>
    <m/>
    <s v="4,5"/>
    <s v="4,5"/>
    <m/>
    <s v="4,5"/>
    <s v="4,5"/>
    <m/>
    <s v="De 9 y 10"/>
    <n v="4.5"/>
    <s v="NO"/>
    <s v="NA"/>
    <n v="0"/>
    <n v="0"/>
    <s v="No"/>
    <n v="50"/>
    <m/>
    <n v="50"/>
    <m/>
    <n v="50"/>
    <m/>
    <m/>
    <n v="50"/>
    <s v="Con detalle por componente"/>
    <s v="Trabajo social o comunitario"/>
    <s v="Me visualizo como un profesional con una formación integral y un fuerte compromiso social, consciente de las condiciones en las que viven muchas de las comunidades más marginadas del país. Por eso, me proyecto desarrollando soluciones desde la ingeniería que respondan a estas necesidades, especialmente en contextos rurales donde problemáticas como la falta de acceso al agua potable. Obtener esta beca sería un paso fundamental para alcanzar ese sueño, ya que me brindaría el apoyo económico necesario para seguir formándome y, a través de la educación, contribuir al bienestar de la sociedad."/>
    <s v="Amigos"/>
    <s v="Por la calidad académica."/>
    <s v="Vocación."/>
    <n v="3"/>
    <s v="1"/>
    <s v="NO"/>
    <s v="NO"/>
    <s v="Entre 3 y 4 millones"/>
    <s v="No"/>
    <n v="0"/>
    <s v="SI"/>
    <s v="Crédito ICETEX"/>
    <n v="0"/>
    <m/>
    <s v="NO"/>
    <s v=""/>
    <s v=""/>
    <s v="Si"/>
    <s v="Roger Tulio Rodríguez Galvis"/>
    <s v="Casado"/>
    <s v="BACHILLERATO"/>
    <s v="49"/>
    <s v="Pensionado"/>
    <s v="Pensionado"/>
    <s v="Intendente de la policía nacional"/>
    <s v="Policía Nacional"/>
    <n v="3631018"/>
    <s v="No"/>
    <s v="SI"/>
    <s v="NO"/>
    <s v=""/>
    <s v="Si"/>
    <s v="Ana Elvira Aguirre Narváez"/>
    <s v="Casado"/>
    <s v="BACHILLERATO"/>
    <s v="44"/>
    <s v="Asistente administrativa"/>
    <s v="Empleado (con contrato laboral)"/>
    <s v="Asistente administrativa"/>
    <s v="Construcciónes metal civiles J"/>
    <n v="1623500"/>
    <s v="No"/>
    <s v="NO"/>
    <s v="NO"/>
    <m/>
    <n v="5254518"/>
    <s v="Si"/>
    <s v="Valentina Rodríguez Aguirre"/>
    <s v="Hermano / Hermana"/>
    <s v="23"/>
    <s v="Ingeniería fisica"/>
    <s v="bancolombia"/>
    <n v="3500000"/>
    <s v="Si"/>
    <s v=""/>
    <s v=""/>
    <s v=""/>
    <s v=""/>
    <s v=""/>
    <m/>
    <s v=""/>
    <s v=""/>
    <s v=""/>
    <s v=""/>
    <s v=""/>
    <s v=""/>
    <m/>
    <s v=""/>
    <s v=""/>
    <n v="130000000"/>
    <n v="0"/>
    <n v="0"/>
    <n v="0"/>
    <n v="0"/>
    <s v="Si"/>
    <s v="Mazda"/>
    <s v="2013"/>
    <n v="35000000"/>
    <s v="No"/>
    <s v=""/>
    <s v=""/>
    <n v="0"/>
    <s v="No"/>
    <s v=""/>
    <s v=""/>
    <s v=""/>
    <n v="0"/>
    <m/>
    <n v="4"/>
    <n v="4"/>
    <n v="4"/>
    <n v="4"/>
    <n v="4"/>
    <n v="3"/>
    <n v="4"/>
    <n v="4"/>
    <n v="4"/>
    <n v="4"/>
    <n v="39"/>
    <s v="SI"/>
    <m/>
    <s v="SI, SON PRI"/>
    <s v="ok tienen todos los datos"/>
    <e v="#N/A"/>
    <e v="#N/A"/>
    <m/>
    <n v="3"/>
    <n v="6"/>
    <n v="6"/>
    <n v="5"/>
    <n v="20"/>
    <n v="15"/>
    <n v="20"/>
    <n v="13"/>
    <n v="10.5"/>
    <n v="76.5"/>
    <n v="0.4"/>
    <m/>
    <n v="2"/>
    <n v="3.5"/>
    <n v="3"/>
    <n v="2"/>
    <n v="2"/>
    <n v="3"/>
    <n v="6"/>
    <n v="2"/>
    <n v="79"/>
    <n v="0.4"/>
    <n v="0.4"/>
    <e v="#N/A"/>
    <m/>
    <m/>
    <n v="0"/>
    <m/>
    <m/>
    <s v="Ingeniería Mecánica"/>
    <e v="#N/A"/>
    <s v="014"/>
    <e v="#N/A"/>
  </r>
  <r>
    <s v="CC"/>
    <n v="1020109789"/>
    <s v="1000407494"/>
    <s v="JUAN JOSE AGUDELO ARANGO"/>
    <s v="Estudios por primera vez"/>
    <x v="1"/>
    <s v="No cumple, puntaje ICFES menor a 300"/>
    <m/>
    <s v="En publico objetivo"/>
    <s v="2da Cohorte"/>
    <s v="Admitido"/>
    <s v="jjagudela2@eafit.edu.co"/>
    <e v="#N/A"/>
    <s v="juanjoagudelo527@gmail.com"/>
    <s v="573128590548, 3128590548"/>
    <d v="2025-05-16T00:00:00"/>
    <s v="Matrícula"/>
    <s v="169-Mercadeo"/>
    <s v="Escuela de Administración"/>
    <s v="27/03/2006"/>
    <n v="19"/>
    <s v="Antioquia"/>
    <s v="Medellín"/>
    <s v="Hombre"/>
    <s v="Soltero"/>
    <s v="NO"/>
    <s v="NO"/>
    <s v="NA"/>
    <s v="NO"/>
    <s v="NA"/>
    <s v="NO"/>
    <s v="NA"/>
    <s v="NO"/>
    <s v="NA"/>
    <s v="No"/>
    <s v="NA"/>
    <s v="NA"/>
    <s v="Estrato 3"/>
    <s v="cll 53c sur #40b 160"/>
    <s v="Antioquia"/>
    <s v="Envigado"/>
    <s v="No aplica, no soy foráneo"/>
    <s v="Arriendo"/>
    <s v="SI"/>
    <s v="2025"/>
    <s v="AC202510263475"/>
    <n v="294"/>
    <n v="67"/>
    <n v="57"/>
    <s v="Pública"/>
    <s v="I.E. INEM JOSE FELIX DE RESTRE"/>
    <n v="2024"/>
    <s v="Antioquia"/>
    <s v="Medellín"/>
    <s v="Bachillerato"/>
    <s v="Académico"/>
    <m/>
    <s v="Once"/>
    <s v="0-5"/>
    <s v="Escala de 0 - 5"/>
    <m/>
    <m/>
    <m/>
    <m/>
    <m/>
    <m/>
    <n v="4"/>
    <n v="4"/>
    <m/>
    <n v="4"/>
    <n v="4.5"/>
    <m/>
    <m/>
    <m/>
    <m/>
    <m/>
    <m/>
    <m/>
    <m/>
    <m/>
    <m/>
    <s v="De 9 y 10"/>
    <n v="4.125"/>
    <s v="SI"/>
    <s v="Tecnica Barberia- Celebrity- Cursando"/>
    <s v="TECNICA"/>
    <s v="BARBERIA"/>
    <s v="No"/>
    <s v="Sin informacion"/>
    <s v="Sin informacion"/>
    <s v="Sin informacion"/>
    <s v="Sin informacion"/>
    <s v="Sin informacion"/>
    <s v="Sin informacion"/>
    <s v="Sin informacion"/>
    <n v="50"/>
    <s v="Sin detalle por componente"/>
    <s v="Ninguna"/>
    <s v="Me visualizo creando estrategias de mercado para impulsar mi marca personal ya que soy barbero y crear mi cadena de barberías teniendo el conocimiento de la carrera de mercadeo, esto hará que pueda profesionalizar el sector de la Barberia en mi lugar de origen y motivar a personas que al igual que yo buscan superarse personal, profesional y académicamente"/>
    <s v="Redes sociales"/>
    <s v="Por la oferta académica."/>
    <s v="Vocación."/>
    <n v="2"/>
    <s v="0"/>
    <s v="SI"/>
    <s v="NO"/>
    <s v="Entre 2 y 3 millones"/>
    <s v="No"/>
    <n v="0"/>
    <s v="N"/>
    <m/>
    <s v="Y"/>
    <m/>
    <s v="NO"/>
    <s v="NA"/>
    <s v="NA"/>
    <s v="No, fallecido"/>
    <n v="0"/>
    <m/>
    <m/>
    <m/>
    <s v=""/>
    <s v=""/>
    <m/>
    <s v=""/>
    <m/>
    <s v=""/>
    <m/>
    <m/>
    <s v="Vivo con mi padrastro, Marwan Darwish trabaja en third way health y sus ingresos son de 3000000"/>
    <s v="Si"/>
    <s v="Johana Andrea Arango Vega"/>
    <m/>
    <m/>
    <m/>
    <s v="Independiente"/>
    <s v="Independiente (trabaja por cuenta propia)"/>
    <s v="Asesora comercial"/>
    <s v="PARCHEESCUELA"/>
    <n v="1400000"/>
    <s v="Si"/>
    <m/>
    <m/>
    <m/>
    <n v="1400000"/>
    <s v="No, solo vivo con mis padres"/>
    <s v=""/>
    <s v=""/>
    <s v=""/>
    <s v=""/>
    <s v=""/>
    <m/>
    <s v=""/>
    <s v=""/>
    <s v=""/>
    <s v=""/>
    <s v=""/>
    <s v=""/>
    <m/>
    <s v=""/>
    <s v=""/>
    <s v=""/>
    <s v=""/>
    <s v=""/>
    <s v=""/>
    <m/>
    <s v=""/>
    <s v=""/>
    <n v="0"/>
    <n v="0"/>
    <n v="0"/>
    <n v="0"/>
    <n v="0"/>
    <s v="Si"/>
    <s v="Mazda"/>
    <s v="2008"/>
    <n v="25000000"/>
    <s v="No"/>
    <s v=""/>
    <s v=""/>
    <n v="0"/>
    <s v="No"/>
    <s v=""/>
    <s v=""/>
    <s v=""/>
    <n v="0"/>
    <m/>
    <n v="4"/>
    <n v="3"/>
    <n v="4"/>
    <n v="3"/>
    <n v="4"/>
    <n v="4"/>
    <n v="3"/>
    <n v="4"/>
    <n v="3"/>
    <n v="4"/>
    <n v="36"/>
    <s v="SI"/>
    <s v="SI, ICFES"/>
    <s v="PRI SIN PUNTAJE ICFES Y GRADUACION ANTES DE 2025, NI TIPO IE"/>
    <s v="ok puntaje icfes de informe estrategia y se llama para otros estudios"/>
    <e v="#N/A"/>
    <e v="#N/A"/>
    <m/>
    <n v="3"/>
    <n v="10"/>
    <n v="8"/>
    <n v="0"/>
    <n v="15"/>
    <n v="15"/>
    <n v="20"/>
    <n v="20"/>
    <n v="20"/>
    <n v="80"/>
    <s v="80 - 100%"/>
    <m/>
    <n v="3.5"/>
    <n v="4.5"/>
    <n v="8"/>
    <n v="4"/>
    <n v="3.5"/>
    <n v="4"/>
    <n v="8"/>
    <n v="4.5"/>
    <n v="78"/>
    <s v="80 - 100%"/>
    <n v="0.7"/>
    <e v="#N/A"/>
    <s v="se baja por icfes inferior a 300"/>
    <m/>
    <s v="SI, ICFES"/>
    <m/>
    <m/>
    <s v="Mercadeo"/>
    <e v="#N/A"/>
    <s v="169"/>
    <e v="#N/A"/>
  </r>
  <r>
    <s v="TI"/>
    <n v="1020113971"/>
    <s v="1000407835"/>
    <s v="ELIZABE BEDOYA GUZMAN"/>
    <s v="Estudios por primera vez"/>
    <x v="1"/>
    <s v="No cumple, puntaje ICFES menor a 300"/>
    <m/>
    <s v="En publico objetivo"/>
    <s v="3ra Cohorte"/>
    <s v="Admitido"/>
    <s v="ebedoyag4@eafit.edu.co"/>
    <e v="#N/A"/>
    <s v="monita5824@gmail.com"/>
    <s v="573007669251"/>
    <d v="2025-05-30T00:00:00"/>
    <s v="Activo en Programa"/>
    <s v="084-Derecho"/>
    <s v="Escuela de Derecho"/>
    <d v="2007-08-24T00:00:00"/>
    <n v="18"/>
    <s v="Antioquia"/>
    <s v="Medellín"/>
    <s v="Mujer"/>
    <s v="Soltero"/>
    <s v="NO"/>
    <s v="NO"/>
    <n v="0"/>
    <s v="NO"/>
    <s v="NA"/>
    <s v="NO"/>
    <s v="NA"/>
    <s v="NO"/>
    <s v="NA"/>
    <s v="No"/>
    <s v="314/858-4010"/>
    <s v="573007669251"/>
    <s v="Estrato 3"/>
    <s v="CL 78#44 16 IN 201"/>
    <s v="Antioquia"/>
    <s v="Medellín"/>
    <s v="No aplica, no soy foráneo"/>
    <s v="Propio"/>
    <s v="SI"/>
    <s v="2024"/>
    <s v="AC202433614278"/>
    <n v="298"/>
    <n v="49"/>
    <n v="70"/>
    <s v="Privada"/>
    <s v="COL SALESIANO EL SUFRAGIO"/>
    <n v="2023"/>
    <m/>
    <s v="Medellín"/>
    <s v="Bachillerato"/>
    <s v="BACHILLER"/>
    <s v="TIPO: Privada, INSTITUCION: COL SALESIANO EL SUFRAGIO, AÑO: 2023, CIUDAD: Medellín, TITULO: BACHILLER"/>
    <s v="11"/>
    <s v="Escala de 0 - 5"/>
    <s v="Escala de 0 - 5"/>
    <s v="4,5"/>
    <s v="5"/>
    <m/>
    <s v="4"/>
    <s v="4,5"/>
    <m/>
    <n v="4"/>
    <n v="4"/>
    <m/>
    <n v="5"/>
    <n v="5"/>
    <m/>
    <s v="4,5"/>
    <s v="4,5"/>
    <m/>
    <s v="5"/>
    <s v="5"/>
    <m/>
    <s v="5"/>
    <s v="5"/>
    <m/>
    <s v="De 9 y 10"/>
    <n v="4.5"/>
    <s v="NO"/>
    <s v="NA"/>
    <n v="0"/>
    <n v="0"/>
    <s v="No"/>
    <n v="50"/>
    <m/>
    <n v="50"/>
    <m/>
    <n v="50"/>
    <m/>
    <m/>
    <n v="50"/>
    <s v="Con detalle por componente"/>
    <s v="Espacios de liderazgo o representación social,Artísticas o culturales"/>
    <s v="En mi proyección como profesional me visualizo como una abogada especializada en derecho ambiental, siendo una defensora y promotora de la justicia en todos los ámbitos, promoviendo los derechos humanos y la sostenibilidad, siendo una notable líder para todas las personas que formen mi vida laboral y personal, que se interesa por las necesidades de su comunidad, estando comprometida con el cambio social, ambiental a través del desarrollo sostenible y protección de las comunidades vulnerables. Al permitirme tener esta oportunidad, no solo formarán una excelente abogada, sino una profesional integral, comprometida con su región y país, alguien que desea aportar a la sociedad colombiana al progreso, transformando y protegiendo nuestra biodiversidad mediante la aplicación de la legislación vigente y brindando un acompañamiento adecuado a las organizaciones que requieran de mis servicios para que el desarrollo de su actividad económica no tenga impactos negativos en nuestro medio ambiente a través de la prevención, planificación y desarrollo de gestores normativos internos que prioricen el cuidado del medio ambiente, estableciendo así una sociedad equitativa y en constante progreso."/>
    <s v="A través del Colegio"/>
    <s v="Por la calidad académica."/>
    <s v="Vocación."/>
    <n v="1"/>
    <s v="0"/>
    <s v="SI"/>
    <s v="NO"/>
    <s v="Entre 6 y 7 millones"/>
    <s v="No"/>
    <s v="SI"/>
    <n v="0"/>
    <m/>
    <s v="SI"/>
    <s v="Beca"/>
    <s v="NO"/>
    <s v=""/>
    <s v=""/>
    <s v="Sin información"/>
    <n v="0"/>
    <m/>
    <m/>
    <m/>
    <s v=""/>
    <s v=""/>
    <m/>
    <s v=""/>
    <m/>
    <s v=""/>
    <m/>
    <m/>
    <s v="Hace 8 años que no tengo contacto con mi papá, él decidió cortar el vínculo conmigo."/>
    <s v="Si"/>
    <s v="Luisa Fernanda Guzman Rios"/>
    <s v="Soltero"/>
    <s v="UNIVERSITARIOS"/>
    <s v="33"/>
    <s v="Ingeniera Financiera y de Negocios"/>
    <s v="Empleado (con contrato laboral)"/>
    <s v="Tecnóloga Atención Operación Comercial"/>
    <s v="EPM"/>
    <n v="6312859"/>
    <s v="Si"/>
    <s v="SI"/>
    <s v="NO"/>
    <s v="Mi madre me tuvo a los 15 años, es una madre soltera que ha pasado toda su vida en poder darme un mejor futuro, es fuerte, inteligente y la persona que mas admiro en este mundo, la amo inmensamente y es una excelente madre, quiero hacerla sentir orgullosa siendo una persona exitosa que pueda cambiar la sociedad y dando lo mejor de mi."/>
    <n v="6312859"/>
    <s v="No, solo vivo con mis padres"/>
    <s v=""/>
    <s v=""/>
    <s v=""/>
    <s v=""/>
    <s v=""/>
    <m/>
    <s v=""/>
    <s v=""/>
    <s v=""/>
    <s v=""/>
    <s v=""/>
    <s v=""/>
    <m/>
    <s v=""/>
    <s v=""/>
    <s v=""/>
    <s v=""/>
    <s v=""/>
    <s v=""/>
    <m/>
    <s v=""/>
    <s v=""/>
    <n v="0"/>
    <n v="172861000"/>
    <n v="0"/>
    <n v="0"/>
    <n v="0"/>
    <s v="No"/>
    <s v=""/>
    <s v=""/>
    <n v="0"/>
    <s v="No"/>
    <s v=""/>
    <s v=""/>
    <n v="0"/>
    <s v="Si"/>
    <s v="Moto"/>
    <s v="yamaha"/>
    <s v="2020"/>
    <n v="12000000"/>
    <s v="La vivienda que poseemos fue adquirido con crédito hipotecario otorgado por la empresa para la que labora mi mamá."/>
    <n v="4"/>
    <n v="4"/>
    <n v="4"/>
    <n v="3"/>
    <n v="3"/>
    <n v="4"/>
    <n v="3"/>
    <n v="3"/>
    <n v="3"/>
    <n v="4"/>
    <n v="35"/>
    <s v="SI"/>
    <m/>
    <s v="SI, SON PRI"/>
    <s v="ok tienen todos los datos"/>
    <e v="#N/A"/>
    <e v="#N/A"/>
    <m/>
    <n v="2"/>
    <n v="10"/>
    <n v="8"/>
    <n v="0"/>
    <n v="20"/>
    <n v="15"/>
    <n v="20"/>
    <n v="9.5"/>
    <n v="9.5"/>
    <n v="74.5"/>
    <n v="0.4"/>
    <m/>
    <n v="2"/>
    <n v="2.5"/>
    <n v="3"/>
    <n v="2"/>
    <n v="2"/>
    <n v="2.5"/>
    <n v="3"/>
    <n v="2"/>
    <n v="72.5"/>
    <n v="0.4"/>
    <n v="0.4"/>
    <e v="#N/A"/>
    <m/>
    <m/>
    <n v="0"/>
    <m/>
    <m/>
    <s v="Derecho"/>
    <e v="#N/A"/>
    <s v="084"/>
    <e v="#N/A"/>
  </r>
  <r>
    <s v="TI"/>
    <n v="1020114216"/>
    <s v="1000383937"/>
    <s v="JULIETA NIETO PATIÑO"/>
    <s v="Estudios por primera vez"/>
    <x v="1"/>
    <s v="Descartado por notas"/>
    <m/>
    <s v="En publico objetivo"/>
    <s v="2da Cohorte"/>
    <s v="Admitido"/>
    <s v="jnietop@eafit.edu.co"/>
    <s v="jnietop@eafit.edu.co"/>
    <s v="julietanietopatino@iesantaelena.edu.co"/>
    <s v="321/581-0077"/>
    <d v="2025-05-16T00:00:00"/>
    <s v="Activo en Programa"/>
    <s v="112-Comunicación Social"/>
    <s v="Escuela de Artes y Humanidades"/>
    <d v="2007-10-02T00:00:00"/>
    <n v="18"/>
    <s v="Antioquia"/>
    <s v="Medellín"/>
    <s v="Mujer"/>
    <s v="Soltero"/>
    <s v="NO"/>
    <s v="NO"/>
    <n v="0"/>
    <s v="NO"/>
    <s v="NA"/>
    <s v="NO"/>
    <s v="NA"/>
    <s v="NO"/>
    <s v="NA"/>
    <s v="No"/>
    <s v="408-8566"/>
    <s v="321/581-0077"/>
    <s v="Estrato 2"/>
    <s v="CL 56 #53 ESTE 244 0130"/>
    <s v="Antioquia"/>
    <s v="Medellín"/>
    <s v="No aplica, no soy foráneo"/>
    <s v="Familiar"/>
    <s v="SI"/>
    <s v="2024"/>
    <s v="AC202433351079"/>
    <n v="346"/>
    <n v="62"/>
    <n v="73"/>
    <s v="Pública"/>
    <s v="INST EDUC SANTA ELENA"/>
    <n v="2024"/>
    <s v="Antioquia"/>
    <s v="Medellín"/>
    <s v="BACHILLER"/>
    <s v="TECN"/>
    <s v="TIPO: Pública, INSTITUCION: INST EDUC SANTA ELENA, AÑO: 2024, CIUDAD: Medellín, TITULO: BACHILLER | TIPO: Pública, INSTITUCION: INST EDUC SANTA ELENA, AÑO: 2024, CIUDAD: Medellín, TITULO: NO"/>
    <s v="11"/>
    <s v="Escala Desempeño"/>
    <s v="Escala de 0 - 5"/>
    <s v="4"/>
    <s v="4,5"/>
    <m/>
    <s v="4"/>
    <s v="3"/>
    <m/>
    <n v="4"/>
    <n v="3"/>
    <m/>
    <n v="4"/>
    <n v="3"/>
    <m/>
    <s v="4"/>
    <s v="4"/>
    <m/>
    <s v="4,5"/>
    <s v="4,5"/>
    <m/>
    <s v="4,5"/>
    <s v="4,5"/>
    <m/>
    <s v="De 9 y 10"/>
    <n v="3.5"/>
    <s v="NO"/>
    <s v="NA"/>
    <n v="0"/>
    <n v="0"/>
    <s v="No"/>
    <n v="50"/>
    <m/>
    <n v="50"/>
    <m/>
    <n v="50"/>
    <m/>
    <m/>
    <n v="50"/>
    <s v="Con detalle por componente"/>
    <s v="Artísticas o culturales,Espacios de liderazgo o representación social,Trabajo social o comunitario"/>
    <s v="Soy Julieta Nieto Patiño, tengo 17 años y desde pequeña he sentido que la comunicación me ha elegido a mí. En cada etapa de mi vida, algo me ha acercado a ella: Ver las noticias con mis padres, escribir cuentos en el colegio, apasionarme por la lectura, hablar sin parar, cuestionar lo que me rodea, y más recientemente, crear contenido para mi emprendimiento. Hoy, quiero estudiar Comunicación Social porque siento que este programa es el espacio donde todas mis pasiones se encuentran._x000a_Hago parte de la cultura silletera, una tradición que llevo con profundo orgullo. Quiero contar nuestras historias desde adentro, mostrarle al mundo que no somos solo flores, sino patrimonio, lucha, memoria y comunidad viva. Este propósito también es una forma de honrar a mi padre, quien en vida fue un defensor porfiado de la tradición silletera. De él heredé muchas de mis habilidades comunicativas, y su ausencia me impulsa a seguir construyendo el legado que él inició._x000a_También quiero enorgullecer a mi familia, quienes no han dejado que me rinda, incluso en los momentos más difíciles. Esta beca no es solo una oportunidad académica, sino una forma de retribuirles todo su amor, apoyo y confianza, y demostrarles que cada sacrificio ha valido la pena._x000a_EAFIT, al recibir jóvenes de todo el país, es el lugar ideal para un intercambio cultural. Con el enfoque interdisciplinario y humano del programa, fortaleceré mis habilidades comunicativas y podré aportar una visión única a mi comunidad. Mi objetivo es desarrollar campañas de comunicación que impulsen los emprendimientos locales, promover la cultura silletera de manera auténtica y contribuir con contenido audiovisual que impulse el desarrollo cultural y empresarial en mi región. Estoy lista para inspirar, crear e innovar, dejando huella en el mundo."/>
    <s v="Referencias familiares"/>
    <s v="Por la calidad académica."/>
    <s v="Vocación."/>
    <n v="1"/>
    <s v="0"/>
    <s v="SI"/>
    <s v="NO"/>
    <s v="Entre 1 y 2 millones"/>
    <s v="No"/>
    <n v="0"/>
    <n v="0"/>
    <m/>
    <s v="SI"/>
    <s v="Beca"/>
    <s v="NO"/>
    <s v=""/>
    <s v=""/>
    <s v="No, fallecido"/>
    <n v="0"/>
    <m/>
    <m/>
    <m/>
    <s v=""/>
    <s v=""/>
    <m/>
    <s v=""/>
    <m/>
    <s v=""/>
    <m/>
    <m/>
    <s v="Fallecido en marzo de 2024, debido al cancér"/>
    <s v="Si"/>
    <s v="Ana Isabel Patiño Grisales"/>
    <s v="Casado"/>
    <s v="TECNOLOGÍA"/>
    <s v="43"/>
    <s v="Guía de turismo local"/>
    <s v="Empleado (con contrato laboral)"/>
    <s v="Facilitadora de servicios en reacreación"/>
    <s v="Comfama"/>
    <n v="2402233"/>
    <s v="Si"/>
    <s v="SI"/>
    <s v="NO"/>
    <s v="Mujer campesina, madre cabeza de hogar, con estudios técnicos y muy presente."/>
    <n v="2402233"/>
    <s v="No, solo vivo con mis padres"/>
    <s v=""/>
    <s v=""/>
    <s v=""/>
    <s v=""/>
    <s v=""/>
    <m/>
    <s v=""/>
    <s v=""/>
    <s v=""/>
    <s v=""/>
    <s v=""/>
    <s v=""/>
    <m/>
    <s v=""/>
    <s v=""/>
    <s v=""/>
    <s v=""/>
    <s v=""/>
    <s v=""/>
    <m/>
    <s v=""/>
    <s v=""/>
    <n v="26102000"/>
    <n v="0"/>
    <n v="0"/>
    <n v="0"/>
    <n v="0"/>
    <s v="No"/>
    <s v=""/>
    <s v=""/>
    <n v="0"/>
    <s v="No"/>
    <s v=""/>
    <s v=""/>
    <n v="0"/>
    <s v="No"/>
    <s v=""/>
    <s v=""/>
    <s v=""/>
    <n v="0"/>
    <m/>
    <n v="4"/>
    <n v="4"/>
    <n v="4"/>
    <n v="4"/>
    <n v="4"/>
    <n v="4"/>
    <n v="4"/>
    <n v="4"/>
    <n v="3"/>
    <n v="4"/>
    <n v="39"/>
    <s v="SI"/>
    <m/>
    <s v="SI, SON PRI"/>
    <s v="ok tienen todos los datos"/>
    <s v="Negada"/>
    <n v="20251"/>
    <m/>
    <n v="2"/>
    <n v="10"/>
    <n v="10"/>
    <n v="10"/>
    <n v="10"/>
    <n v="15"/>
    <n v="20"/>
    <n v="19.5"/>
    <n v="18"/>
    <n v="83"/>
    <n v="0.5"/>
    <m/>
    <n v="3.5"/>
    <n v="3.5"/>
    <n v="8"/>
    <n v="3"/>
    <n v="3.5"/>
    <n v="3.5"/>
    <n v="8"/>
    <n v="4.5"/>
    <n v="84.5"/>
    <s v="80 - 100%"/>
    <n v="0.8"/>
    <e v="#N/A"/>
    <s v="se baja x notas"/>
    <m/>
    <n v="0"/>
    <m/>
    <m/>
    <s v="Comunicación Social"/>
    <e v="#N/A"/>
    <s v="112"/>
    <e v="#N/A"/>
  </r>
  <r>
    <s v="TI"/>
    <n v="1020114812"/>
    <s v="1000404822"/>
    <s v="SAMUEL GIRALDO ARCILA"/>
    <s v="Estudios por primera vez"/>
    <x v="1"/>
    <s v="Descartado por notas"/>
    <m/>
    <s v="En publico objetivo"/>
    <s v="1er Cohorte"/>
    <s v="Admitido"/>
    <s v="sgiralda15@eafit.edu.co"/>
    <e v="#N/A"/>
    <s v="giraldosamu3@gmail.com"/>
    <s v="573135430214"/>
    <d v="2025-04-25T00:00:00"/>
    <s v="Activo en Programa"/>
    <s v="010-Ingeniería de Sistemas"/>
    <s v="E Ciencias Aplic e Ingeniería"/>
    <d v="2007-12-27T00:00:00"/>
    <n v="17"/>
    <s v="Antioquia"/>
    <s v="Medellín"/>
    <s v="Hombre"/>
    <s v="Soltero"/>
    <s v="NO"/>
    <s v="NO"/>
    <n v="0"/>
    <s v="SI"/>
    <s v="Médica"/>
    <s v="NO"/>
    <s v="NA"/>
    <s v="NO"/>
    <s v="NA"/>
    <s v="No"/>
    <s v="316/721-0613"/>
    <s v="573135430214"/>
    <s v="Estrato 1"/>
    <s v="CL 52 #18 30"/>
    <s v="Antioquia"/>
    <s v="Medellín"/>
    <s v="No aplica, no soy foráneo"/>
    <s v="Propio"/>
    <s v="SI"/>
    <s v="2024"/>
    <s v="AC202433426251"/>
    <n v="345"/>
    <n v="64"/>
    <n v="68"/>
    <s v="Pública"/>
    <s v="INST EDUC HECTOR ABAD GOMEZ"/>
    <n v="2024"/>
    <s v="Antioquia"/>
    <s v="Medellín"/>
    <s v="BACHILLER"/>
    <s v="TECN"/>
    <s v="TIPO: Pública, INSTITUCION: INST EDUC HECTOR ABAD GOMEZ, AÑO: 2024, CIUDAD: Medellín, TITULO: BACHILLER"/>
    <s v="11"/>
    <s v="Escala de 0 - 5"/>
    <s v="Escala de 0 - 5"/>
    <s v="4"/>
    <s v="3,6"/>
    <m/>
    <s v="4,4"/>
    <s v="3,8"/>
    <m/>
    <n v="4.5"/>
    <n v="3.9"/>
    <m/>
    <n v="4.9000000000000004"/>
    <n v="3.8"/>
    <m/>
    <s v="3,8"/>
    <s v="4,1"/>
    <m/>
    <s v="5"/>
    <s v="4,6"/>
    <m/>
    <s v="4,7"/>
    <s v="5"/>
    <m/>
    <s v="De 9 y 10"/>
    <n v="4.2750000000000004"/>
    <s v="NO"/>
    <s v="NA"/>
    <n v="0"/>
    <n v="0"/>
    <s v="No"/>
    <n v="50"/>
    <m/>
    <n v="50"/>
    <m/>
    <n v="50"/>
    <m/>
    <m/>
    <n v="50"/>
    <s v="Con detalle por componente"/>
    <s v="Artísticas o culturales,Deportistas de alto rendimiento o representativo,Espacios de liderazgo o representación social"/>
    <s v="Fui aceptado a la carrera de ingeniería de sistemas, en el futuro, me visualizo de maneras muy polifacéticas, esto es debido a la gran oportunidad y variedad laboral que proporciona la profesión, ya que no solo se limita a un campo, esta se puede expandir a muchos otros siendo así el uso de la inteligencia artificial, ciberseguridad, análisis de datos, desarrollo de software, actividades o acciones básicas que se pueden programar y dirigir a un tercero (Circuitos eléctricos accionados a través de un código, sean lámparas, semáforos, etc.) e incluso desarrollando nueva tecnología a través de gadgets y creaciones innovadoras para beneficiar a la población, o un grupo en específico. Siendo esta última y el desarrollo de inteligencia artificial en las cuales me veo apoyando a la población de manera más activa, debido a que, gran parte de la población posee un teléfono móvil, un computador, etc. Esto hace mas sencillo presentar y aplicar estas ideas de formas funcionales, y no solo eso, también este tipo de tecnología se puede aplicar a otros objetos de la cotidianidad, un ejemplo de esto son las gafas que tienen la capacidad de traducir idiomas, todo esto pasa por procesos de programación y testeo para su correcto funcionamiento, debido a esto puede tener un impacto global y permite abrir muchas puertas culturales que pueden ayudar a gran parte de la población, a través de esta carrera, y teniendo en cuenta que nos depara un futuro enriquecido por la tecnología, estoy abierto a ejercer mis conocimientos y capacidades en favor a la población y su desarrollo. Por estas razones me considero una persona que tiene mucha ambición, con nuevas ideas, decisión, ganas de aprender y ayudar a los demás por esto y más, quiero estudiar esta carrera y espero su apoyo, gracias."/>
    <s v="Empleados o profesores EAFIT"/>
    <s v="Por estar acreditada."/>
    <s v="Vocación."/>
    <n v="4"/>
    <s v="1"/>
    <s v="SI"/>
    <s v="NO"/>
    <s v="Entre 1 y 2 millones"/>
    <s v="Si"/>
    <n v="0"/>
    <n v="0"/>
    <m/>
    <s v="SI"/>
    <s v="Beca"/>
    <s v="NO"/>
    <s v=""/>
    <s v=""/>
    <s v="Si"/>
    <s v="James Weymar Giraldo Saldarriaga"/>
    <s v="Soltero"/>
    <s v="TÉCNICA"/>
    <s v="39"/>
    <s v="Guarda de seguridad (Vigilante)"/>
    <s v="Otra"/>
    <s v="Vigilante"/>
    <s v="N/A"/>
    <n v="1700000"/>
    <s v="No"/>
    <s v="NO"/>
    <s v="NO"/>
    <s v="ÉL no se encuentra en el país, por ello la información que tengo acerca de lo que hace es muy limitada y su ingreso mensual es un aproximado."/>
    <s v="Si"/>
    <s v="Katherin Arcila López"/>
    <s v="Otro"/>
    <s v="BACHILLERATO"/>
    <s v="36"/>
    <s v="Asesora Comercial"/>
    <s v="Empleado (con contrato laboral)"/>
    <s v="Promotora de ventas y mercadeo"/>
    <s v="Technology S.A.S"/>
    <n v="1423500"/>
    <s v="Si"/>
    <s v="SI"/>
    <s v="NO"/>
    <s v="Va a cambiar de empresa en los próximos días asi que la carta laboral probable ya no sea efectiva cuando revisen esto (trabajara en Whirlpool)."/>
    <n v="3123500"/>
    <s v="Si"/>
    <s v="María Elena López Muñoz"/>
    <s v="Abuelo / Abuela"/>
    <s v="64"/>
    <s v="Ama de casa"/>
    <s v="N/A"/>
    <n v="300000"/>
    <s v="Si"/>
    <s v="Alejandro Ramírez Arcila"/>
    <s v="Hermano / Hermana"/>
    <s v="7"/>
    <s v="Estudiante"/>
    <s v="Colegio Miguel de Aguinaga"/>
    <n v="0"/>
    <s v="No"/>
    <s v="Maria Camila Correa Areiza"/>
    <s v="Pareja de mi madre"/>
    <s v="26"/>
    <s v="Promotora de ventas y mercadeo"/>
    <s v="Grupo empresarial Technology S.A.S"/>
    <n v="1423500"/>
    <s v="Si"/>
    <s v=""/>
    <n v="131000000"/>
    <n v="0"/>
    <n v="0"/>
    <n v="0"/>
    <n v="8000000"/>
    <s v="Si"/>
    <s v="Renault"/>
    <s v="2007"/>
    <n v="22000000"/>
    <s v="No"/>
    <s v=""/>
    <s v=""/>
    <n v="0"/>
    <s v="No"/>
    <s v=""/>
    <s v=""/>
    <s v=""/>
    <n v="0"/>
    <s v="Próximamente yo tendré moto, el lote es una casa que se esta construyendo y ahora mismo una de mis abuelas vive en el (es propiedad de mi papá)."/>
    <n v="4"/>
    <n v="4"/>
    <n v="4"/>
    <n v="4"/>
    <n v="3"/>
    <n v="4"/>
    <n v="3"/>
    <n v="4"/>
    <n v="4"/>
    <n v="3"/>
    <n v="37"/>
    <s v="SI"/>
    <m/>
    <s v="SI, SON PRI"/>
    <s v="ok tienen todos los datos"/>
    <s v="Negada"/>
    <n v="20251"/>
    <m/>
    <n v="3"/>
    <n v="6"/>
    <n v="6"/>
    <n v="10"/>
    <n v="15"/>
    <n v="15"/>
    <n v="20"/>
    <n v="16"/>
    <n v="16"/>
    <n v="82"/>
    <n v="0.5"/>
    <m/>
    <n v="3.5"/>
    <n v="2.5"/>
    <n v="8"/>
    <n v="2"/>
    <n v="3.5"/>
    <n v="2.5"/>
    <n v="8"/>
    <n v="2"/>
    <n v="82"/>
    <n v="0.5"/>
    <n v="0.5"/>
    <e v="#N/A"/>
    <m/>
    <m/>
    <n v="0"/>
    <m/>
    <m/>
    <s v="Ingeniería de Sistemas"/>
    <e v="#N/A"/>
    <s v="010"/>
    <e v="#N/A"/>
  </r>
  <r>
    <s v="TI"/>
    <n v="1020115002"/>
    <s v="1000057045"/>
    <s v="SAMUEL PULGARIN GIRALDO"/>
    <s v="Pasa de estudios gener a pregr"/>
    <x v="7"/>
    <s v="Descartado por ingresos altos"/>
    <s v="Se esta revisando ingresos contra doc"/>
    <s v="En publico objetivo"/>
    <s v="3ra Cohorte"/>
    <s v="Admitido"/>
    <s v="spulgaring@eafit.edu.co"/>
    <s v="spulgaring@eafit.edu.co"/>
    <s v="spulgaring@eafit.edu.co"/>
    <s v="305/395-7657"/>
    <d v="2025-05-30T00:00:00"/>
    <s v="Activo en Programa"/>
    <s v="010-Ingeniería de Sistemas"/>
    <s v="E Ciencias Aplic e Ingeniería"/>
    <d v="2008-01-22T00:00:00"/>
    <n v="17"/>
    <s v="Antioquia"/>
    <s v="Medellín"/>
    <s v="Hombre"/>
    <s v="Soltero"/>
    <s v="NO"/>
    <s v="NO"/>
    <n v="0"/>
    <s v="NO"/>
    <s v="NA"/>
    <s v="NO"/>
    <s v="NA"/>
    <s v="NO"/>
    <s v="NA"/>
    <s v="No"/>
    <s v="604/298-3472"/>
    <s v="305/395-7657"/>
    <s v="Estrato 3"/>
    <s v="CL 47 SUR 39 D 8"/>
    <s v="Antioquia"/>
    <s v="Envigado"/>
    <s v="No aplica, no soy foráneo"/>
    <s v="Arriendo"/>
    <s v="SI"/>
    <s v="2024"/>
    <s v="AC202433290319"/>
    <n v="345"/>
    <n v="73"/>
    <n v="67"/>
    <s v="Privada"/>
    <s v="COLEGIO LA SALLE ENVIGADO"/>
    <n v="2024"/>
    <s v="Antioquia"/>
    <s v="Envigado"/>
    <s v="BACHILLER"/>
    <s v="ACAD"/>
    <s v="TIPO: Privada, INSTITUCION: COLEGIO LA SALLE ENVIGADO, AÑO: 2024, CIUDAD: Envigado, TITULO: BACHILLER"/>
    <s v="11"/>
    <s v="Escala de 0 - 5"/>
    <s v="Escala de 0 - 5"/>
    <s v="4,1"/>
    <s v="4,5"/>
    <m/>
    <s v="3,6"/>
    <s v="5"/>
    <m/>
    <n v="4.5"/>
    <n v="5"/>
    <m/>
    <n v="4.0999999999999996"/>
    <n v="3.9"/>
    <m/>
    <s v="4,3"/>
    <s v="5"/>
    <m/>
    <s v="4,5"/>
    <s v="3,7"/>
    <m/>
    <s v="4,5"/>
    <s v="4,5"/>
    <m/>
    <s v="De 9 y 10"/>
    <n v="4.375"/>
    <s v="NO"/>
    <s v="NA"/>
    <n v="0"/>
    <n v="0"/>
    <s v="No"/>
    <n v="50"/>
    <m/>
    <n v="50"/>
    <m/>
    <n v="50"/>
    <m/>
    <m/>
    <n v="50"/>
    <s v="Con detalle por componente"/>
    <s v="Trabajo social o comunitario,Espacios de liderazgo o representación social"/>
    <s v="Mi nombre es Samuel Pulgarín, soy de Medellín y estoy muy emocionado en estudiar Ingeniería en Sistemas en EAFIT, una universidad que siempre he soñado. Para mí, esta carrera no es solo una elección profesional, sino una herramienta con la que quiero ayudar a transformar la sociedad._x000a_Vengo de una familia que me ha enseñado el valor del esfuerzo y de nunca rendirme. He desarrollado habilidades como la lógica, la creatividad y la resolución de problemas, y sé que con una buena formación puedo lograr grandes cosas. Gracias a esta beca, podría dedicarme de lleno a mis estudios, sin preocuparme por los recursos económicos, y aprovechar al máximo todo lo que la universidad tiene para ofrecerme._x000a_Con mis conocimientos, quiero desarrollar soluciones que realmente hagan la vida más fácil; me gustaría crear aplicaciones accesibles que ayuden a estudiantes a organizarse mejor, a trabajadores a optimizar su tiempo o a personas mayores a conectarse con servicios básicos sin dificultad. También me interesa mucho apoyar a pequeños emprendedores con herramientas tecnológicas que les permitan crecer, automatizar tareas o mejorar su situación y futuro._x000a_Creo que la tecnología cuando se usa con propósito tiene el poder de mejorar la sociedad y brindar oportunidades. Me emociona pensar que lo que aprenda en la universidad pueda convertirse en soluciones reales para personas que hoy no tienen acceso a ellas._x000a_Esta beca sería la llave para empezar ese camino. Me comprometo a aprovecharla con todo el compromiso y corazón, y a devolver todo ese aprendizaje en forma de acciones, ideas y proyectos que aporten a mi ciudad y a quienes me rodean."/>
    <s v="EAFIT es una experiencia"/>
    <s v="Por la calidad académica."/>
    <s v="Vocación."/>
    <n v="3"/>
    <s v="1"/>
    <s v="NO"/>
    <s v="SI"/>
    <s v="Más de 16 millones"/>
    <s v="No"/>
    <s v="SI"/>
    <n v="0"/>
    <m/>
    <n v="0"/>
    <m/>
    <s v="NO"/>
    <s v=""/>
    <s v=""/>
    <s v="Si"/>
    <s v="LUIS FERNANDO PULGARIN"/>
    <s v="Soltero"/>
    <s v="UNIVERSITARIOS"/>
    <s v="50"/>
    <s v="INGENIERO AGROPECUARIO"/>
    <s v="Desempleado (Se encuentra en la búsqueda activa de empleo)"/>
    <s v="Labores del campo"/>
    <s v="N/A"/>
    <n v="0"/>
    <s v="No"/>
    <s v="NO"/>
    <s v="NO"/>
    <s v=""/>
    <s v="Si"/>
    <s v="MARYLUZ GIRALDO LOPEZ"/>
    <s v="Unión marital"/>
    <s v="ESPECIALIZACIÓN"/>
    <s v="46"/>
    <s v="Ingeniera de Sistemas"/>
    <s v="Empleado (con contrato laboral)"/>
    <s v="VP TECNOLOGIA Y OPERACIONES"/>
    <s v="FGA FONDO DE GARANTIAS"/>
    <n v="36415746"/>
    <s v="Si"/>
    <s v="SI"/>
    <s v="SI"/>
    <m/>
    <n v="36415746"/>
    <s v="Si"/>
    <s v="JACOBO PULGARIN"/>
    <s v="Hermano / Hermana"/>
    <s v="19"/>
    <s v="Estudiante"/>
    <s v="Eafit"/>
    <n v="0"/>
    <s v="No"/>
    <s v=""/>
    <s v=""/>
    <s v=""/>
    <s v=""/>
    <s v=""/>
    <m/>
    <s v=""/>
    <s v=""/>
    <s v=""/>
    <s v=""/>
    <s v=""/>
    <s v=""/>
    <m/>
    <s v=""/>
    <s v=""/>
    <n v="0"/>
    <n v="0"/>
    <n v="0"/>
    <n v="0"/>
    <n v="0"/>
    <s v="Si"/>
    <s v="FORD"/>
    <s v="2017"/>
    <n v="40000000"/>
    <s v="No"/>
    <s v=""/>
    <s v=""/>
    <n v="0"/>
    <s v="No"/>
    <s v=""/>
    <s v=""/>
    <s v=""/>
    <n v="0"/>
    <m/>
    <n v="4"/>
    <n v="4"/>
    <n v="4"/>
    <n v="4"/>
    <n v="4"/>
    <n v="4"/>
    <n v="4"/>
    <n v="4"/>
    <n v="4"/>
    <n v="4"/>
    <n v="40"/>
    <s v="SI"/>
    <m/>
    <s v="SI, SON PRI"/>
    <s v="ok tienen todos los datos"/>
    <e v="#N/A"/>
    <e v="#N/A"/>
    <m/>
    <n v="3"/>
    <n v="10"/>
    <n v="8"/>
    <n v="10"/>
    <n v="15"/>
    <n v="15"/>
    <n v="20"/>
    <n v="10.5"/>
    <n v="10.5"/>
    <n v="80.5"/>
    <n v="0.4"/>
    <m/>
    <n v="2"/>
    <n v="4.5"/>
    <n v="0"/>
    <n v="4"/>
    <n v="2"/>
    <n v="4"/>
    <n v="0"/>
    <n v="4.5"/>
    <n v="78.5"/>
    <n v="0.4"/>
    <s v="Negado"/>
    <e v="#N/A"/>
    <m/>
    <m/>
    <n v="0"/>
    <m/>
    <m/>
    <s v="Ingeniería de Sistemas"/>
    <e v="#N/A"/>
    <m/>
    <e v="#N/A"/>
  </r>
  <r>
    <s v="TI"/>
    <n v="1020115434"/>
    <s v="1000031283"/>
    <s v="LAURA MORENO CHICA"/>
    <s v="Estudios por primera vez"/>
    <x v="6"/>
    <s v="Descartado por ingresos altos"/>
    <m/>
    <s v="En publico objetivo"/>
    <s v="3ra Cohorte"/>
    <s v="Admitido"/>
    <s v="lmorenoc1@eafit.edu.co"/>
    <s v="lmorenoc1@eafit.edu.co"/>
    <s v="lmorenoc1@eafit.edu.co"/>
    <s v="317/707-0748"/>
    <d v="2025-05-30T00:00:00"/>
    <s v="Activo en Programa"/>
    <s v="169-Mercadeo"/>
    <s v="Escuela de Administración"/>
    <d v="2008-03-17T00:00:00"/>
    <n v="17"/>
    <s v="Antioquia"/>
    <s v="Medellín"/>
    <s v="Mujer"/>
    <s v="Soltero"/>
    <s v="NO"/>
    <s v="NO"/>
    <n v="0"/>
    <s v="NO"/>
    <s v="NA"/>
    <s v="NO"/>
    <s v="NA"/>
    <s v="NO"/>
    <s v="NA"/>
    <s v="No"/>
    <s v="316/696-0779"/>
    <s v="317/707-0748"/>
    <s v="Estrato 3"/>
    <s v="CR 33#50 64"/>
    <s v="Antioquia"/>
    <s v="Medellín"/>
    <s v="No aplica, no soy foráneo"/>
    <s v="Propio"/>
    <s v="SI"/>
    <s v="2024"/>
    <s v="AC202433190048"/>
    <n v="352"/>
    <n v="70"/>
    <n v="69"/>
    <s v="Privada"/>
    <s v="COLEGIO SAN JOSÉ DE LA SALLE"/>
    <n v="2024"/>
    <s v="Antioquia"/>
    <s v="Medellín"/>
    <s v="BACHILLER"/>
    <n v="0"/>
    <s v="TIPO: Privada, INSTITUCION: COLEGIO SAN JOSÉ DE LA SALLE, AÑO: 2024, CIUDAD: Medellín, TITULO: BACHILLER"/>
    <s v="11"/>
    <s v="Escala de 0 - 5"/>
    <s v="Escala de 0 - 5"/>
    <s v="3,9"/>
    <s v="4"/>
    <s v="3"/>
    <s v="3,9"/>
    <s v="3,8"/>
    <s v="3"/>
    <n v="3.5"/>
    <n v="3.6"/>
    <n v="3"/>
    <n v="4.5"/>
    <n v="3.9"/>
    <n v="3"/>
    <s v="4,1"/>
    <s v="3,9"/>
    <s v="3"/>
    <s v="4"/>
    <s v="4,5"/>
    <s v="4"/>
    <s v="3,9"/>
    <s v="4"/>
    <s v="4"/>
    <s v="De 9, 10 y 11"/>
    <n v="3.5833333333333335"/>
    <s v="NO"/>
    <s v="NA"/>
    <n v="0"/>
    <n v="0"/>
    <s v="No"/>
    <n v="45"/>
    <m/>
    <n v="45"/>
    <m/>
    <n v="45"/>
    <m/>
    <m/>
    <n v="45"/>
    <s v="Con detalle por componente"/>
    <s v="Deportistas de alto rendimiento o representativo"/>
    <s v="Mi pasión y habilidad por diseñar estrategias con creatividad y generar ideas prácticas e innovadoras para solucionar problemas me llevaron a descubrir que el mercadeo es la carrera perfecta para desarrollar mi potencial y cumplir grandes metas en mi vida._x000a_Como profesional de mercadeo me visualizo trabajando en empresas internacionales, para tener la oportunidad de conocer diferentes culturas y relacionarme con personas de varios lugares del mundo que aporten valor a mi vida personal y profesional. Quiero impulsar mis sueños sin desistir de ellos, pero también quiero ayudar a impulsar los sueños de muchas más personas, aportando mis conocimientos para que muchas empresas crezcan. Quiero entender las necesidades de las personas y crear soluciones que realmente mejoren sus vidas. Por último, aspiro a tener la capacidad de crear propuestas inolvidables dejando una huella positiva en los demás._x000a_Además, me visualizo enfocando mi pasión por el emprendimiento y el deporte, mi deseo de ayudar a las personas y mi sentido ambiental para crear mi propia empresa de ropa deportiva, con telas sostenibles y que genere empleo a personas que tienen pocas oportunidades de salir adelante y ven lejos cumplir sus sueños, generando gran impacto social y ambiental en Medellín._x000a_Con la obtención de esta beca cumpliría mi deseo de estudiar en EAFIT, la universidad que inspira, crea y transforma sueños. Desde que empecé la búsqueda de mi carrera, conecté profundamente con esta universidad, porque me encanta su visión de emprendimiento, innovación y transformación, ya que está alineada con lo que quiero vivir durante mi paso por la universidad, y con las oportunidades y habilidades que quiero desarrollar como profesional."/>
    <s v="Página WEB"/>
    <s v="Por la calidad académica."/>
    <s v="Vocación."/>
    <n v="3"/>
    <s v="1"/>
    <s v="NO"/>
    <s v="NO"/>
    <s v="Entre 11 y 12 millones"/>
    <s v="No"/>
    <s v="SI"/>
    <s v="SI"/>
    <m/>
    <s v="SI"/>
    <m/>
    <s v="NO"/>
    <s v=""/>
    <s v=""/>
    <s v="Si"/>
    <s v="Fidoll David Moreno Monsalve"/>
    <s v="Casado"/>
    <s v="UNIVERSITARIOS"/>
    <s v="45"/>
    <s v="Ingeniero Electrónico"/>
    <s v="Empleado (con contrato laboral)"/>
    <s v="Ejecutivo de ventas"/>
    <s v="Broadband international"/>
    <n v="13000000"/>
    <s v="Si"/>
    <s v="SI"/>
    <s v="SI"/>
    <s v=""/>
    <s v="Si"/>
    <s v="Carolina Chica Agudelo"/>
    <s v="Casado"/>
    <s v="UNIVERSITARIOS"/>
    <s v="43"/>
    <s v="Enfermera"/>
    <s v="Labores del hogar y cuidado"/>
    <s v="Ama de casa"/>
    <s v="No tiene"/>
    <n v="0"/>
    <s v="Si"/>
    <s v="NO"/>
    <s v="SI"/>
    <m/>
    <n v="13000000"/>
    <s v="Si"/>
    <s v="Simón Moreno Chica"/>
    <s v="Hermano / Hermana"/>
    <s v="22"/>
    <s v="Estudiante"/>
    <s v="Universidad Pontificia Bolivariana"/>
    <n v="0"/>
    <s v="No"/>
    <s v=""/>
    <s v=""/>
    <s v=""/>
    <s v=""/>
    <s v=""/>
    <m/>
    <s v=""/>
    <s v=""/>
    <s v=""/>
    <s v=""/>
    <s v=""/>
    <s v=""/>
    <m/>
    <s v=""/>
    <s v=""/>
    <n v="200000000"/>
    <n v="0"/>
    <n v="0"/>
    <n v="0"/>
    <n v="0"/>
    <s v="Si"/>
    <s v="KIA"/>
    <s v="2013"/>
    <n v="33000000"/>
    <s v="No"/>
    <s v=""/>
    <s v=""/>
    <n v="0"/>
    <s v="No"/>
    <s v=""/>
    <s v=""/>
    <s v=""/>
    <n v="0"/>
    <m/>
    <n v="4"/>
    <n v="4"/>
    <n v="4"/>
    <n v="4"/>
    <n v="4"/>
    <n v="4"/>
    <n v="4"/>
    <n v="4"/>
    <n v="4"/>
    <n v="4"/>
    <n v="40"/>
    <s v="SI"/>
    <m/>
    <s v="SI, SON PRI"/>
    <s v="ok tienen todos los datos"/>
    <e v="#N/A"/>
    <e v="#N/A"/>
    <m/>
    <n v="3"/>
    <n v="10"/>
    <n v="8"/>
    <n v="10"/>
    <n v="10"/>
    <n v="15"/>
    <n v="15"/>
    <n v="6.5"/>
    <n v="6.5"/>
    <n v="66.5"/>
    <n v="0.4"/>
    <m/>
    <n v="2"/>
    <n v="2.5"/>
    <n v="0"/>
    <n v="2"/>
    <n v="2"/>
    <n v="2.5"/>
    <n v="0"/>
    <n v="2"/>
    <n v="64.5"/>
    <n v="0.4"/>
    <s v="Negado"/>
    <e v="#N/A"/>
    <m/>
    <m/>
    <n v="0"/>
    <m/>
    <m/>
    <s v="Mercadeo"/>
    <e v="#N/A"/>
    <m/>
    <e v="#N/A"/>
  </r>
  <r>
    <s v="TI"/>
    <n v="1020115623"/>
    <s v="1000409703"/>
    <s v="ISABELLA BUITRAGO USUGA"/>
    <s v="Estudios por primera vez"/>
    <x v="1"/>
    <s v="Descartado por notas"/>
    <m/>
    <s v="En publico objetivo"/>
    <s v="3ra Cohorte"/>
    <s v="Admitido"/>
    <s v="ibuitragou@eafit.edu.co"/>
    <e v="#N/A"/>
    <s v="bellabuiusu@gmail.com"/>
    <s v="573018706001"/>
    <d v="2025-06-06T00:00:00"/>
    <s v="Activo en Programa"/>
    <s v="010-Ingeniería de Sistemas"/>
    <s v="E Ciencias Aplic e Ingeniería"/>
    <d v="2008-05-16T00:00:00"/>
    <n v="17"/>
    <s v="Antioquia"/>
    <s v="Medellín"/>
    <s v="Mujer"/>
    <s v="Soltero"/>
    <s v="SI"/>
    <s v="SI"/>
    <s v="Granada"/>
    <s v="NO"/>
    <s v="NA"/>
    <s v="NO"/>
    <s v="NA"/>
    <s v="NO"/>
    <s v="NA"/>
    <s v="No"/>
    <s v="417-7011"/>
    <s v="573018706001"/>
    <s v="Estrato 1"/>
    <s v="CL 65 CR 18 C 40 IN 217"/>
    <s v="Antioquia"/>
    <s v="Medellín"/>
    <s v="No aplica, no soy foráneo"/>
    <s v="Propio"/>
    <s v="SI"/>
    <s v="2024"/>
    <s v="AC202433468717"/>
    <n v="325"/>
    <n v="66"/>
    <n v="64"/>
    <s v="Pública"/>
    <s v="I.E. LUIS CARLOS GALAN S."/>
    <n v="2024"/>
    <s v="Antioquia"/>
    <s v="Medellín"/>
    <s v="BACHILLER"/>
    <s v="ACAD"/>
    <s v="TIPO: Pública, INSTITUCION: I.E. LUIS CARLOS GALAN S., AÑO: 2024, CIUDAD: Medellín, TITULO: BACHILLER"/>
    <s v="11"/>
    <s v="Escala de 0 - 5"/>
    <s v="Escala de 0 - 5"/>
    <s v="4"/>
    <s v="4"/>
    <m/>
    <s v="4"/>
    <s v="4"/>
    <m/>
    <n v="3.5"/>
    <n v="4"/>
    <m/>
    <n v="3.4"/>
    <n v="3.8"/>
    <m/>
    <s v="3,4"/>
    <s v="4"/>
    <m/>
    <s v="4"/>
    <s v="3,7"/>
    <m/>
    <s v="3,5"/>
    <s v="4,3"/>
    <m/>
    <s v="De 9 y 10"/>
    <n v="3.6749999999999998"/>
    <s v="NO"/>
    <s v="NA"/>
    <n v="0"/>
    <n v="0"/>
    <s v="No"/>
    <s v="Sin informacion"/>
    <s v="Sin informacion"/>
    <s v="Sin informacion"/>
    <s v="Sin informacion"/>
    <s v="Sin informacion"/>
    <s v="Sin informacion"/>
    <s v="Sin informacion"/>
    <n v="50"/>
    <s v="Sin detalle por componente"/>
    <s v="Artísticas o culturales,Trabajo social o comunitario"/>
    <s v="Ingeniería de Sistemas es una disciplina en constante evolución, la tecnología nos ayuda a resolver problemas reales y mejorar la calidad de vida de las personas constantemente. Al graduarme, quiero hacer parte de la transformación digital de mi país, quiero desarrollar procesos en áreas claves de la sociedad, como la educación y la salud, el sector publico en general. Por ejemplo, crear plataformas o ayudar a que se facilite el acceso a estos servicios. _x000a_Teniendo la posibilidad de esta beca, me podría permitir adquirir las habilidades necesarias en programación, en redes, bases de datos, etc. Todo lo necesario para ampliar mis oportunidades laborales, sin embargo, deseo emprender proyectos propios que generen empleo y promuevan el desarrollo, sin mencionar que quiero contribuir a motivar a otros jóvenes a interesarse por estudiar, si bien no vengo de un barrio donde se encuentre mucho dinero, hay muchos jóvenes que se limitan respecto a las universidades, a pesar de ser capaces con ello. _x000a_Quiero que este sea un primer paso para convertirme en un profesional que utilice la ingeniería de sistemas como una herramienta para crear soluciones, donde se beneficie a la sociedad e impulsar el progreso de mi región."/>
    <s v="Página WEB"/>
    <s v="Por la calidad académica."/>
    <s v="Vocación."/>
    <n v="2"/>
    <s v="1"/>
    <s v="SI"/>
    <s v="NO"/>
    <s v="Entre 1 y 2 millones"/>
    <s v="No"/>
    <n v="0"/>
    <n v="0"/>
    <m/>
    <s v="SI"/>
    <s v="Beca"/>
    <s v="NO"/>
    <s v=""/>
    <s v=""/>
    <s v="Si"/>
    <s v="Victor Alfonso Buitrago Franco"/>
    <s v="Unión marital"/>
    <s v="BACHILLERATO"/>
    <s v="37"/>
    <s v="Asesor comercial"/>
    <s v="Empleado (con contrato laboral)"/>
    <s v="Se encarga de distribuir mercancía a la ciudad."/>
    <s v="Rosa María Espinosa"/>
    <n v="1623500"/>
    <s v="No"/>
    <s v="SI"/>
    <s v="NO"/>
    <s v=""/>
    <s v="Si"/>
    <s v="Gloria Isabel Usuga Tuberquia"/>
    <s v="Soltero"/>
    <s v="TÉCNICA"/>
    <s v="38"/>
    <s v="Operaria de confección."/>
    <s v="Trabajador informal"/>
    <s v="Confecciona guantes deportivos."/>
    <s v="GUCO - Guantes Colombia"/>
    <n v="1200000"/>
    <s v="Si"/>
    <s v="NO"/>
    <s v="NO"/>
    <m/>
    <n v="2823500"/>
    <s v="Si"/>
    <s v="Martinelias Buitrago Usuga"/>
    <s v="Hermano / Hermana"/>
    <s v="4"/>
    <s v="no aplica"/>
    <s v="No aplica"/>
    <n v="0"/>
    <s v="No"/>
    <s v=""/>
    <s v=""/>
    <s v=""/>
    <s v=""/>
    <s v=""/>
    <m/>
    <s v=""/>
    <s v=""/>
    <s v=""/>
    <s v=""/>
    <s v=""/>
    <s v=""/>
    <m/>
    <s v=""/>
    <s v=""/>
    <n v="0"/>
    <n v="43000000"/>
    <n v="0"/>
    <n v="0"/>
    <n v="0"/>
    <s v="No"/>
    <s v=""/>
    <s v=""/>
    <n v="0"/>
    <s v="No"/>
    <s v=""/>
    <s v=""/>
    <n v="0"/>
    <s v="Si"/>
    <s v="Moto"/>
    <s v="Hunk"/>
    <s v="2023"/>
    <n v="5000000"/>
    <m/>
    <n v="4"/>
    <n v="3"/>
    <n v="3"/>
    <n v="4"/>
    <n v="4"/>
    <n v="3"/>
    <n v="4"/>
    <n v="3"/>
    <n v="3"/>
    <n v="4"/>
    <n v="35"/>
    <s v="SI"/>
    <m/>
    <s v="PRI SOLO CON PROMEDIO ENTREVISTA"/>
    <s v="ok se ajusta matriz con promedio entrevista"/>
    <e v="#N/A"/>
    <e v="#N/A"/>
    <m/>
    <n v="3"/>
    <n v="6"/>
    <n v="6"/>
    <n v="5"/>
    <n v="10"/>
    <n v="15"/>
    <n v="20"/>
    <n v="17"/>
    <n v="17"/>
    <n v="73"/>
    <n v="0.5"/>
    <m/>
    <n v="3.5"/>
    <n v="2.5"/>
    <n v="8"/>
    <n v="3"/>
    <n v="3.5"/>
    <n v="2.5"/>
    <n v="8"/>
    <n v="3"/>
    <n v="73"/>
    <n v="0.6"/>
    <n v="0.6"/>
    <e v="#N/A"/>
    <m/>
    <m/>
    <n v="0"/>
    <m/>
    <m/>
    <s v="Ingeniería de Sistemas"/>
    <e v="#N/A"/>
    <s v="010"/>
    <e v="#N/A"/>
  </r>
  <r>
    <s v="CC"/>
    <n v="1020223072"/>
    <s v="1000407010"/>
    <s v="DAHIANA MUÑOZ CANO"/>
    <s v="Estudios por primera vez"/>
    <x v="1"/>
    <s v="No cumple, puntaje ICFES menor a 300"/>
    <m/>
    <s v="En publico objetivo"/>
    <s v="2da Cohorte"/>
    <s v="Admitido"/>
    <s v="dmunozc5@eafit.edu.co"/>
    <e v="#N/A"/>
    <s v="dahiananoz13@gmail.com"/>
    <s v="573007157178"/>
    <d v="2025-05-16T00:00:00"/>
    <s v="Activo en Programa"/>
    <s v="084-Derecho"/>
    <s v="Escuela de Derecho"/>
    <d v="2005-05-13T00:00:00"/>
    <n v="20"/>
    <s v="Antioquia"/>
    <s v="Medellín"/>
    <s v="Mujer"/>
    <s v="Soltero"/>
    <s v="SI"/>
    <s v="NO"/>
    <n v="0"/>
    <s v="NO"/>
    <s v="NA"/>
    <s v="NO"/>
    <s v="NA"/>
    <s v="NO"/>
    <s v="NA"/>
    <s v="No"/>
    <s v="57 300 7157178"/>
    <s v="573007157178"/>
    <s v="Estrato 1"/>
    <s v="CL 48 BB 108 37 IN 104"/>
    <s v="Antioquia"/>
    <s v="Medellín"/>
    <s v="No aplica, no soy foráneo"/>
    <s v="Familiar"/>
    <s v="SI"/>
    <s v="2023"/>
    <s v="AC202344419537"/>
    <n v="267"/>
    <n v="48"/>
    <n v="60"/>
    <s v="Pública"/>
    <s v="INST EDUC CARLOS VIECO ORTIZ"/>
    <n v="2023"/>
    <s v="Antioquia"/>
    <s v="Medellín"/>
    <s v="BACHILLER"/>
    <s v="ACAD"/>
    <s v="TIPO: Pública, INSTITUCION: INST EDUC CARLOS VIECO ORTIZ, AÑO: 2023, CIUDAD: Medellín, TITULO: BACHILLER"/>
    <s v="12"/>
    <s v="Escala de 0 - 5"/>
    <s v="Escala de 0 - 5"/>
    <s v="3"/>
    <s v="4"/>
    <s v="4"/>
    <s v="3"/>
    <s v="4"/>
    <s v="3,4"/>
    <n v="3.4"/>
    <n v="4"/>
    <n v="4"/>
    <n v="3"/>
    <n v="4"/>
    <n v="3.4"/>
    <s v="3,1"/>
    <s v="3,4"/>
    <s v="3,4"/>
    <s v="3,2"/>
    <s v="4"/>
    <s v="4"/>
    <s v="3"/>
    <s v="4"/>
    <s v="4"/>
    <s v="De 9, 10 y 11"/>
    <n v="3.6333333333333329"/>
    <s v="NO"/>
    <s v="NA"/>
    <n v="0"/>
    <n v="0"/>
    <s v="No"/>
    <n v="45"/>
    <m/>
    <n v="50"/>
    <m/>
    <n v="45"/>
    <m/>
    <m/>
    <n v="46.666666666666664"/>
    <s v="Con detalle por componente"/>
    <s v="Espacios de liderazgo o representación social,Artísticas o culturales"/>
    <s v="Me imagino ejerciendo el Derecho como alguien que no solo resuelve conflictos, sino que también ayuda a prevenirlos. Quiero ser una abogada que entienda la realidad de la gente, que sepa conectar lo jurídico con temas como la economía, la política o la tecnología, y que use ese conocimiento para proponer soluciones reales. Justamente por eso elegí EAFIT: porque su enfoque va mucho más allá de aprender normas. Me emociona saber que allí podré estudiar con una mirada amplia, interdisciplinaria y muy conectada con el mundo actual._x000a__x000a_El programa me llamó mucho la atención por su flexibilidad: poder elegir materias de diferentes áreas, participar en semilleros e investigaciones desde temprano, y tener docentes abiertos a nuevas ideas me motiva muchísimo. Siento que es un espacio donde podré crecer de manera integral, no solo como abogada, sino también como persona comprometida con su entorno._x000a__x000a_Ganar esta beca significaría muchísimo para mí, no solo en lo personal, sino también en lo que quiero aportar a mi región. Vengo de un lugar con muchas desigualdades, y mi sueño es volver con herramientas para transformar realidades: promover el acceso a la justicia, crear proyectos que eviten problemas legales antes de que ocurran, y ayudar a fortalecer las instituciones. Con el apoyo de esta beca, podría aprovechar al máximo todo lo que EAFIT ofrece y formarme con la calidad que necesito para lograr ese propósito."/>
    <s v="Estudiantes de EAFIT"/>
    <s v="Por la calidad académica."/>
    <s v="Vocación."/>
    <n v="4"/>
    <s v="4"/>
    <s v="SI"/>
    <s v="NO"/>
    <s v="Entre 1 y 2 millones"/>
    <s v="No"/>
    <n v="0"/>
    <n v="0"/>
    <m/>
    <s v="SI"/>
    <s v="Beca"/>
    <s v="NO"/>
    <s v=""/>
    <s v=""/>
    <s v="Si"/>
    <s v="John Fredy Muñoz Figueroa"/>
    <s v="Soltero"/>
    <s v="BACHILLERATO"/>
    <s v="47"/>
    <s v="Empleado"/>
    <s v="Empleado (con contrato laboral)"/>
    <s v="Ayudante de sellado"/>
    <s v="Microplas-Coldeplast"/>
    <n v="1423000"/>
    <s v="No"/>
    <s v="NO"/>
    <s v="NO"/>
    <s v="Mi padre es una persona muy amable, servicial, paciente y amorosa, no vive conmigo me ha brindado su apoyo en la medida que ha podido pero no tiene la capacidad para apoyarme con mis estudios."/>
    <s v="Si"/>
    <s v="Luz Amparo Cano Sierra"/>
    <s v="Soltero"/>
    <s v="BACHILLERATO"/>
    <s v="46"/>
    <s v="ama de casa"/>
    <s v="Labores del hogar y cuidado"/>
    <s v="Ama de casa"/>
    <s v="NO APLICA"/>
    <n v="800000"/>
    <s v="Si"/>
    <s v="NO"/>
    <s v="NO"/>
    <s v="Mi madre es una mujer guerrera que ha podido sacar a sus hijos adelante lo mejor que ha podido un gran ejemplo para seguir  y aunque por su situación económica no nos ha podido brindar muchas cosas, nos ha sacado a delante."/>
    <n v="2223000"/>
    <s v="Si"/>
    <s v="Juan Felipe Muñoz Cano"/>
    <s v="Hermano / Hermana"/>
    <s v="25"/>
    <s v="Desempleado"/>
    <s v="No aplica"/>
    <n v="0"/>
    <s v="No"/>
    <s v="Ismael Muñoz Cano"/>
    <s v="Hermano / Hermana"/>
    <s v="17"/>
    <s v="Labores del hogar"/>
    <s v="No aplica"/>
    <n v="0"/>
    <s v="No"/>
    <s v="Isabella Soto Cano"/>
    <s v="Hermano / Hermana"/>
    <s v="12"/>
    <s v="Estudiante"/>
    <s v="Institución Educativa Carlos Vieco Ortiz"/>
    <n v="0"/>
    <s v="No"/>
    <s v="Mi hermano mayor  Juan Felipe es una persona muy responsable y orientada en busca de trabajo actualmente ya que se encuentra desempleadomi hermano menor Ismael tiene una discapacidad cognitiva y mi madre esta en búsqueda de un colegio especial para el ya que no se cuenta con los recursos para una institución privada.Mi hermana menor Isabella se encuentra cursando el grado sexto en la  institución educativa Carlos Vieco Ortiz."/>
    <n v="250000000"/>
    <n v="0"/>
    <n v="0"/>
    <n v="0"/>
    <n v="0"/>
    <s v="No"/>
    <s v=""/>
    <s v=""/>
    <n v="0"/>
    <s v="No"/>
    <s v=""/>
    <s v=""/>
    <n v="0"/>
    <s v="No"/>
    <s v=""/>
    <s v=""/>
    <s v=""/>
    <n v="0"/>
    <s v="Es una casa compartida que cuenta de tres pisos los cuales están divididos ya que se comparten con tíos (as)   y primos."/>
    <n v="3"/>
    <n v="4"/>
    <n v="3"/>
    <n v="4"/>
    <n v="3"/>
    <n v="4"/>
    <n v="3"/>
    <n v="4"/>
    <n v="4"/>
    <n v="3"/>
    <n v="35"/>
    <s v="SI"/>
    <m/>
    <s v="SI, SON PRI"/>
    <s v="ok tienen todos los datos"/>
    <e v="#N/A"/>
    <e v="#N/A"/>
    <m/>
    <n v="2"/>
    <n v="6"/>
    <n v="6"/>
    <n v="0"/>
    <n v="10"/>
    <n v="15"/>
    <n v="20"/>
    <n v="16"/>
    <n v="16"/>
    <n v="67"/>
    <n v="0.5"/>
    <m/>
    <n v="3.5"/>
    <n v="3.5"/>
    <n v="8"/>
    <n v="1"/>
    <n v="3.5"/>
    <n v="3.5"/>
    <n v="8"/>
    <n v="1"/>
    <n v="67"/>
    <n v="0.5"/>
    <n v="0.4"/>
    <e v="#N/A"/>
    <m/>
    <m/>
    <n v="0"/>
    <m/>
    <m/>
    <s v="Derecho"/>
    <e v="#N/A"/>
    <s v="084"/>
    <e v="#N/A"/>
  </r>
  <r>
    <s v="TI"/>
    <n v="1020224265"/>
    <s v="1000402958"/>
    <s v="EMANUEL CASTRO GIRALDO"/>
    <s v="Estudios por primera vez"/>
    <x v="1"/>
    <s v="Descartado por baja prioridad pregrado"/>
    <m/>
    <s v="En publico objetivo"/>
    <s v="1er Cohorte"/>
    <s v="Admitido"/>
    <s v="ecastrog1@eafit.edu.co"/>
    <s v="ecastrog1@eafit.edu.co"/>
    <s v="emanuelcastro427@gmail.com"/>
    <s v="573188355797"/>
    <d v="2025-04-28T00:00:00"/>
    <s v="Activo en Programa"/>
    <s v="011-Contaduría Pública"/>
    <s v="Escuela de Administración"/>
    <d v="2007-09-09T00:00:00"/>
    <n v="18"/>
    <s v="Antioquia"/>
    <s v="Medellín"/>
    <s v="Hombre"/>
    <s v="Soltero"/>
    <s v="SI"/>
    <s v="SI"/>
    <s v="Granada"/>
    <s v="NO"/>
    <s v="NA"/>
    <s v="NO"/>
    <s v="NA"/>
    <s v="NO"/>
    <s v="NA"/>
    <s v="No"/>
    <s v="350/576-0038"/>
    <s v="573188355797"/>
    <s v="Estrato 2"/>
    <s v="calle 118#46-17"/>
    <s v="Antioquia"/>
    <s v="Medellín"/>
    <s v="Si"/>
    <s v="Propio"/>
    <s v="SI"/>
    <s v="2024"/>
    <s v="AC202434372314"/>
    <n v="308"/>
    <n v="62"/>
    <n v="57"/>
    <s v="Pública"/>
    <s v="I.E.  LICEO DEPARTAMENTAL"/>
    <n v="2024"/>
    <s v="Valle del Cauca"/>
    <s v="Cali"/>
    <s v="BACHILLER"/>
    <s v="ACAD"/>
    <s v="TIPO: Pública, INSTITUCION: I.E.  LICEO DEPARTAMENTAL, AÑO: 2024, CIUDAD: Cali, TITULO: BACHILLER"/>
    <s v="11"/>
    <s v="Escala de 0 - 5"/>
    <s v="Escala de 0 - 5"/>
    <s v="3,6"/>
    <s v="3,6"/>
    <m/>
    <s v="3,3"/>
    <s v="3,3"/>
    <m/>
    <n v="3.8"/>
    <n v="3.5"/>
    <m/>
    <n v="3.5"/>
    <n v="3.2"/>
    <m/>
    <s v="3,4"/>
    <s v="3,4"/>
    <m/>
    <s v="3,6"/>
    <s v="3,6"/>
    <m/>
    <s v="3,8"/>
    <s v="3,9"/>
    <m/>
    <s v="De 9 y 10"/>
    <n v="3.5"/>
    <s v="NO"/>
    <s v="NA"/>
    <n v="0"/>
    <n v="0"/>
    <s v="No"/>
    <n v="50"/>
    <m/>
    <n v="50"/>
    <m/>
    <n v="45"/>
    <m/>
    <s v="Tiene 17 años, fue personero en el colegio, se vino a vivir de cali, le gustan las matemática y las áreas sociales. No vive con los papas, son separados. Él vive con un primo"/>
    <n v="48.333333333333336"/>
    <s v="Con detalle por componente"/>
    <s v="Espacios de liderazgo o representación social"/>
    <s v="Me visualizo generando muchos empleos en varias empresas, Aspiro a contribuir con el desarrollo económico no solo desde la transparencia, sino también desde las ideas innovadoras que impulsen las ventas y crecimiento económico. _x000a__x000a_Mi principal objetivo es reducir el desempleo tanto a nivel nacional como a nivel regional, ofreciendo múltiples oportunidades. Viví 7 años en Cali, en un barrio con muchas carencias, y esa vivencia me permitió ver la otra cara de la moneda: comprendí lo difícil que es encontrar un trabajo con un salario digno. En ese entorno, muchas personas trabajaban por menos de un salario mínimo. Esta vivencia marco mi visión profesional y me motiva constantemente para poder cambiar dicha realidad._x000a__x000a_Mi visión es apoyar a empresas de diversos sectores como la ganadería, la ferretería y la tecnología para que asi se puedan expandir y generar mas empleos. A largo plazo me gustaria especializarme en contabilidad fiscal y a su vez trabajar con empresas internacionales garantizando así un crecimiento económico a nivel nacional y que Colombia se vuelva el ojo para los grandes inversionistas del mundo. Tengo un gran compromiso social y ético, mi plan con las diferentes empresas es optimizar y crecer su capital de manera sostenible."/>
    <s v="Amigos"/>
    <s v="Por la calidad académica."/>
    <s v="Alta empleabilidad."/>
    <n v="1"/>
    <s v="1"/>
    <s v="SI"/>
    <s v="NO"/>
    <s v="Entre 1 y 2 millones"/>
    <s v="No"/>
    <n v="0"/>
    <s v="SI"/>
    <m/>
    <s v="SI"/>
    <s v="Beca"/>
    <s v="NO"/>
    <s v=""/>
    <s v=""/>
    <s v="Si"/>
    <s v="Ramiro Ignacio Castro Jaramillo"/>
    <s v="Soltero"/>
    <s v="BACHILLERATO"/>
    <s v="57"/>
    <s v="Taxista"/>
    <s v="Desempleado (Se encuentra en la búsqueda activa de empleo)"/>
    <s v="cuidador de anciana"/>
    <s v="Ninguna"/>
    <n v="0"/>
    <s v="No"/>
    <s v="NO"/>
    <s v="NO"/>
    <s v="no vive conmigo desde hace mas de 8 años, no trabaja ya que tiene que cuidar a mi abuela que ya es anciana y necesita de un cuidado de casi todo el día, casi no hablo ni me veo con el porque la relación de padre a hijo quedo algo fracturada. No tiene pensión y no tiene ingresos fijos solo lo que a veces le dan debes en cuando."/>
    <s v="Si"/>
    <s v="Yorlady Andrea Giraldo Giraldo"/>
    <s v="Soltero"/>
    <s v="PRIMARIA"/>
    <s v="38"/>
    <s v="Vendedora"/>
    <s v="Empleado (con contrato laboral)"/>
    <s v="Vendedora"/>
    <s v="Chaguitools Ferreteria"/>
    <n v="1623500"/>
    <s v="No"/>
    <s v="NO"/>
    <s v="NO"/>
    <s v="No vive conmigo hace unos meses, me apoya económicamente con los gastos mensuales míos, hablamos constantemente, trabaja de lunes a sábado en semana de 8 a 5 y los sábados de 8 a 2, es victima del conflicto armado (desplazada) de Granada-Antioquia, tiene antecedente de cáncer y ahorita otro posible cáncer. Esta soltera"/>
    <n v="1623500"/>
    <s v="Si"/>
    <s v="Nicolas De Jesus Giraldo Aristizabal"/>
    <s v="Primo Tercero"/>
    <s v="60"/>
    <s v="independiente"/>
    <s v="Ninguna"/>
    <n v="1623500"/>
    <s v="No"/>
    <s v=""/>
    <s v=""/>
    <s v=""/>
    <s v=""/>
    <s v=""/>
    <m/>
    <s v=""/>
    <s v=""/>
    <s v=""/>
    <s v=""/>
    <s v=""/>
    <s v=""/>
    <m/>
    <s v=""/>
    <s v="mi primo tercero (primo de mi abuelo) es la única persona con la que vivo en estos momentos en la ciudad de Medellín, el solo me da la vivienda, mis gastos los cubre mi mama y mi hermano que están anexados en el documento de aportes para el hogar es decir mis gastos.  Quiero recalcar que tanto mi mama como mi hermano viven en Cali-Colombia."/>
    <n v="0"/>
    <n v="0"/>
    <n v="0"/>
    <n v="0"/>
    <n v="0"/>
    <s v="No"/>
    <s v=""/>
    <s v=""/>
    <n v="0"/>
    <s v="No"/>
    <s v=""/>
    <s v=""/>
    <n v="0"/>
    <s v="Si"/>
    <s v="Moto"/>
    <s v="Agility 125"/>
    <s v="2019"/>
    <n v="5400000"/>
    <s v="Ahora mismo no cuentan con ningun bien raiz solo con la moto Agility modelo 2019  que pertenece a mi madre Yorlady Andrea Giraldo"/>
    <n v="3"/>
    <n v="4"/>
    <n v="3"/>
    <n v="4"/>
    <n v="2"/>
    <n v="4"/>
    <n v="3"/>
    <n v="3"/>
    <n v="2"/>
    <n v="3"/>
    <n v="31"/>
    <s v="SI"/>
    <m/>
    <s v="SI, SON PRI"/>
    <s v="ok tienen todos los datos"/>
    <e v="#N/A"/>
    <e v="#N/A"/>
    <m/>
    <n v="1"/>
    <n v="10"/>
    <n v="10"/>
    <n v="5"/>
    <n v="10"/>
    <n v="10"/>
    <n v="20"/>
    <n v="17.5"/>
    <n v="17"/>
    <n v="72"/>
    <n v="0.5"/>
    <m/>
    <n v="3.5"/>
    <n v="2.5"/>
    <n v="8"/>
    <n v="3"/>
    <n v="3.5"/>
    <n v="2.5"/>
    <n v="8"/>
    <n v="3.5"/>
    <n v="72.5"/>
    <n v="0.6"/>
    <n v="0.6"/>
    <e v="#N/A"/>
    <m/>
    <m/>
    <n v="0"/>
    <m/>
    <m/>
    <s v="Contaduría Pública"/>
    <e v="#N/A"/>
    <s v="011"/>
    <e v="#N/A"/>
  </r>
  <r>
    <s v="TI"/>
    <n v="1020224485"/>
    <s v="1000403739"/>
    <s v="MARÍA CLARA RAMÍREZ BEDOYA"/>
    <s v="Estudios por primera vez"/>
    <x v="1"/>
    <s v="No cumple, estrato 4"/>
    <m/>
    <s v="En publico objetivo"/>
    <s v="1er Cohorte"/>
    <s v="Admitido"/>
    <s v="mcramireb1@eafit.edu.co"/>
    <s v="mcramireb1@eafit.edu.co"/>
    <s v="clara.ramirez0328@gmail.com"/>
    <s v="573147188470"/>
    <d v="2025-04-25T00:00:00"/>
    <s v="Activo en Programa"/>
    <s v="199-Finanzas"/>
    <s v="E.Finanzas, Economía, Gobierno"/>
    <d v="2008-03-28T00:00:00"/>
    <n v="17"/>
    <s v="Antioquia"/>
    <s v="Medellín"/>
    <s v="Mujer"/>
    <s v="Soltero"/>
    <s v="NO"/>
    <s v="NO"/>
    <n v="0"/>
    <s v="NO"/>
    <s v="NA"/>
    <s v="NO"/>
    <s v="NA"/>
    <s v="NO"/>
    <s v="NA"/>
    <s v="No"/>
    <s v="502-8344"/>
    <s v="573147188470"/>
    <s v="Estrato 4"/>
    <s v="Cra 28 #29-190"/>
    <s v="Antioquia"/>
    <s v="Medellín"/>
    <s v="No aplica, no soy foráneo"/>
    <s v="Propio"/>
    <s v="SI"/>
    <s v="2024"/>
    <s v="AC202433553468"/>
    <n v="303"/>
    <n v="66"/>
    <n v="61"/>
    <s v="Privada"/>
    <s v="N.S DEL ROSARIO DE CHIQUINQUIR"/>
    <n v="2024"/>
    <s v="Antioquia"/>
    <s v="Medellín"/>
    <s v="BACHILLER"/>
    <s v="ACAD"/>
    <s v="TIPO: Privada, INSTITUCION: N.S DEL ROSARIO DE CHIQUINQUIR, AÑO: 2024, CIUDAD: Medellín, TITULO: BACHILLER"/>
    <s v="11"/>
    <s v="Escala Cualitativa"/>
    <s v="Escala de 0 - 5"/>
    <s v="5"/>
    <s v="4,5"/>
    <m/>
    <s v="5"/>
    <s v="4,5"/>
    <m/>
    <n v="5"/>
    <n v="4.5"/>
    <m/>
    <n v="4.5"/>
    <n v="5"/>
    <m/>
    <s v="4,5"/>
    <s v="5"/>
    <m/>
    <s v="5"/>
    <s v="5"/>
    <m/>
    <s v="4,5"/>
    <s v="5"/>
    <m/>
    <s v="De 9 y 10"/>
    <n v="4.75"/>
    <s v="NO"/>
    <s v="NA"/>
    <n v="0"/>
    <n v="0"/>
    <s v="No"/>
    <n v="45"/>
    <m/>
    <n v="50"/>
    <m/>
    <n v="50"/>
    <m/>
    <s v="Se graduó en el 2024 para poder definir su vocación profesional_x000a_Su interés nace del conversatorio que hizo el colegio con las universidades"/>
    <n v="48.333333333333336"/>
    <s v="Con detalle por componente"/>
    <s v="Artísticas o culturales"/>
    <s v="Me visualizo como una gran financista, siendo una analista financiera ayudando a empresas a tomar mejores decisiones sobre inversiones, gastos y crecimiento, asesorando a las personas sobre como hacer crecer su dinero de forma inteligente y convirtiéndome en una emprendedora donde pueda iniciar proyectos que fortalezcan la economía local._x000a__x000a_Medellín es una ciudad resiliente, creativa, emprendedora. Pero también enfrenta desafíos como la desigualdad económica, falta de educación financiera en barrios populares, acceso desigual al crédito, entre otros. Puedo transformar a mi región educando en finanzas, ofreciendo talleres gratuitos para enseñar conceptos básicos de ahorro, inversión y finanzas personales ya que con esto genero valor compartido algo que es sumamente importante para la sociedad, tomando análisis de riesgos, ayudando a instituciones a tomar decisiones más seguras en préstamos, seguros, o inversiones de alto impacto, también impulsando a proyectos locales, asesorando microempresas y negocios familiares para que crezcan de manera sostenible, participando en proyectos para mejorar la educación financiera en colegios y universidades, ayudando a conectar a Medellín con inversores nacionales e internacionales que crean empleo y desarrollo al igual que a ser más sólidas, formales y competitivas."/>
    <s v="Estudiantes de EAFIT"/>
    <s v="Por la calidad académica."/>
    <s v="Recomendación."/>
    <n v="2"/>
    <s v="1"/>
    <s v="NO"/>
    <s v="NO"/>
    <s v="Entre 4 y 5 millones"/>
    <s v="Si"/>
    <s v="SI"/>
    <n v="0"/>
    <m/>
    <s v="SI"/>
    <s v="Beca"/>
    <s v="NO"/>
    <s v=""/>
    <s v=""/>
    <s v="Si"/>
    <s v="Widman Ramírez"/>
    <m/>
    <m/>
    <m/>
    <s v="Desconocida"/>
    <s v="Otra"/>
    <s v="Desconocida"/>
    <s v="Desconocida"/>
    <n v="0"/>
    <s v="No"/>
    <m/>
    <m/>
    <s v="Sin información"/>
    <s v="Si"/>
    <s v="Luz Dianey bedoya Gómez"/>
    <s v="Soltero"/>
    <s v="UNIVERSITARIOS"/>
    <s v="57"/>
    <s v="Contadora Pública"/>
    <s v="Independiente (trabaja por cuenta propia)"/>
    <s v="Dueña de su propio negocio"/>
    <s v="Sublistore"/>
    <n v="3000000"/>
    <s v="Si"/>
    <s v="SI"/>
    <s v="NO"/>
    <s v="Madre cabeza de familia"/>
    <n v="3000000"/>
    <s v="Si"/>
    <s v="Juan Sebastian Ramírez Bedoya"/>
    <s v="Hermano / Hermana"/>
    <s v="22"/>
    <s v="Estudiante"/>
    <s v="Universidad EIA"/>
    <n v="0"/>
    <s v="No"/>
    <s v=""/>
    <s v=""/>
    <s v=""/>
    <s v=""/>
    <s v=""/>
    <m/>
    <s v=""/>
    <s v=""/>
    <s v=""/>
    <s v=""/>
    <s v=""/>
    <s v=""/>
    <m/>
    <s v=""/>
    <m/>
    <n v="0"/>
    <n v="220000000"/>
    <n v="0"/>
    <n v="0"/>
    <n v="0"/>
    <s v="Si"/>
    <s v="Toyota"/>
    <s v="2022"/>
    <n v="80000000"/>
    <s v="No"/>
    <s v=""/>
    <s v=""/>
    <n v="0"/>
    <s v="No"/>
    <s v=""/>
    <s v=""/>
    <s v=""/>
    <n v="0"/>
    <m/>
    <n v="4"/>
    <n v="4"/>
    <n v="4"/>
    <n v="4"/>
    <n v="4"/>
    <n v="4"/>
    <n v="4"/>
    <n v="4"/>
    <n v="4"/>
    <n v="4"/>
    <n v="40"/>
    <s v="SI"/>
    <m/>
    <s v="SI, SON PRI"/>
    <s v="ok tienen todos los datos"/>
    <s v="Negada"/>
    <n v="20251"/>
    <m/>
    <n v="2"/>
    <n v="4"/>
    <n v="4"/>
    <n v="5"/>
    <n v="20"/>
    <n v="15"/>
    <n v="20"/>
    <n v="13.5"/>
    <n v="13.5"/>
    <n v="77.5"/>
    <n v="0.4"/>
    <m/>
    <n v="2"/>
    <n v="2.5"/>
    <n v="8"/>
    <n v="1"/>
    <n v="2"/>
    <n v="2.5"/>
    <n v="8"/>
    <n v="1"/>
    <n v="77.5"/>
    <n v="0.4"/>
    <n v="0.4"/>
    <e v="#N/A"/>
    <m/>
    <m/>
    <n v="0"/>
    <m/>
    <m/>
    <s v="Finanzas"/>
    <e v="#N/A"/>
    <s v="199"/>
    <e v="#N/A"/>
  </r>
  <r>
    <s v="TI"/>
    <n v="1020302693"/>
    <s v="1000385503"/>
    <s v="EMILIANA CORREA CARDENAS"/>
    <s v="Estudios por primera vez"/>
    <x v="1"/>
    <s v="Descartado por ingresos altos"/>
    <m/>
    <s v="En publico objetivo"/>
    <s v="2da Cohorte"/>
    <s v="Admitido"/>
    <s v="ecorreac@eafit.edu.co"/>
    <s v="ecorreac@eafit.edu.co"/>
    <s v="emilianacorreacardenas@gmail.com"/>
    <s v="573108342457"/>
    <d v="2025-05-16T00:00:00"/>
    <s v="Activo en Programa"/>
    <s v="002-Negocios Internacionales"/>
    <s v="Escuela de Administración"/>
    <d v="2007-08-21T00:00:00"/>
    <n v="18"/>
    <s v="Antioquia"/>
    <s v="Medellín"/>
    <s v="Mujer"/>
    <s v="Soltero"/>
    <s v="NO"/>
    <s v="NO"/>
    <n v="0"/>
    <s v="NO"/>
    <s v="NA"/>
    <s v="NO"/>
    <s v="NA"/>
    <s v="NO"/>
    <s v="NA"/>
    <s v="No"/>
    <s v="604/206-6011"/>
    <s v="573108342457"/>
    <s v="Estrato 3"/>
    <s v="CL 25#62 A- 33"/>
    <s v="Antioquia"/>
    <s v="Itagui"/>
    <s v="No aplica, no soy foráneo"/>
    <s v="Familiar"/>
    <s v="SI"/>
    <s v="2024"/>
    <s v="AC202431978550"/>
    <n v="340"/>
    <n v="70"/>
    <n v="73"/>
    <s v="Privada"/>
    <s v="Colegio Corporativo Lizardy Montoya"/>
    <n v="2024"/>
    <m/>
    <s v="La Estrella"/>
    <s v="Bachillerato"/>
    <s v="Académico"/>
    <m/>
    <s v="11"/>
    <s v="Escala de 0 - 5"/>
    <s v="Escala de 0 - 5"/>
    <s v="4,5"/>
    <s v="4,5"/>
    <m/>
    <s v="4,5"/>
    <s v="4,5"/>
    <m/>
    <n v="4.5"/>
    <n v="4.5"/>
    <m/>
    <n v="4.5"/>
    <n v="5"/>
    <m/>
    <s v="5"/>
    <s v="5"/>
    <m/>
    <s v="4,5"/>
    <s v="5"/>
    <m/>
    <s v="5"/>
    <s v="5"/>
    <m/>
    <s v="De 9 y 10"/>
    <n v="4.625"/>
    <s v="NO"/>
    <s v="NA"/>
    <n v="0"/>
    <n v="0"/>
    <s v="No"/>
    <n v="45"/>
    <m/>
    <n v="45"/>
    <m/>
    <n v="45"/>
    <m/>
    <m/>
    <n v="45"/>
    <s v="Con detalle por componente"/>
    <s v="Otras (por ejemplo, un talento extraordinario)"/>
    <s v="Me visualizo ejerciendo la profesión de Negocios Internacionales no solo como una estratega global, sino como una catalizadora de oportunidades y una formadora de talento. Mi pasión por interactuar con diversas culturas y formas de pensar me permitirá construir puentes culturales, comprendiendo a fondo las dinámicas de mercados internacionales. Mi adaptabilidad y escucha activa serán claves para facilitar la incursión de jóvenes colombianos en el ecosistema emprendedor global y expandir empresas, fomentando el intercambio de ideas y el crecimiento compartido. Además, este conocimiento me permitirá desarrollar mi propio negocio de arte y diseño, fusionando el aprendizaje cultural con la expresión creativa._x000a__x000a_La obtención de esta beca en EAFIT es el cimiento para transformar mi región a través del conocimiento compartido. Adquiriré las herramientas necesarias para potenciar el desarrollo económico, cultural y social de mi lugar de origen. Me enfocaré en identificar oportunidades de internacionalización para productos y servicios locales con potencial de impacto social, conectando talentos y emprendimientos con mercados globales. Esto atraerá inversión y generará empleo digno. Mi objetivo es multiplicar el impacto al transferir activamente estas estrategias a mi comunidad, diseñando espacios de formación o mentoría para jóvenes y emprendedores. Esta beca me habilitará para generar un efecto dominó de prosperidad, impulsando la evolución colectiva y el impacto social duradero que tanto valoro."/>
    <s v="Estudiantes de EAFIT"/>
    <s v="Por la calidad académica."/>
    <s v="Vocación."/>
    <n v="1"/>
    <s v="2"/>
    <s v="SI"/>
    <s v="NO"/>
    <s v="Entre 1 y 2 millones"/>
    <s v="No"/>
    <n v="0"/>
    <n v="0"/>
    <m/>
    <s v="SI"/>
    <s v="Beca"/>
    <s v="NO"/>
    <s v=""/>
    <s v=""/>
    <s v="Si"/>
    <s v="David Correa Puerta"/>
    <s v="Unión marital"/>
    <s v="UNIVERSITARIOS"/>
    <s v="40"/>
    <s v="Administración de Empresas"/>
    <s v="Empleado (con contrato laboral)"/>
    <s v="Gestor de negocios"/>
    <s v="Encofrados Inde-k S.A."/>
    <n v="4000000"/>
    <s v="No"/>
    <s v="NO"/>
    <s v="NO"/>
    <s v="Mi padre vive con su pareja y aunque tenemos comunicación y una muy buena relación, no aporta economicamente a mi manutención."/>
    <s v="Si"/>
    <s v="Fanyarith Cárdenas Metaute"/>
    <s v="Unión marital"/>
    <s v="TÉCNICA"/>
    <s v="38"/>
    <s v="Asesora de Seguros"/>
    <s v="Empleado (con contrato laboral)"/>
    <s v="Asesora comercial"/>
    <s v="SURA"/>
    <n v="4000000"/>
    <s v="No"/>
    <s v="NO"/>
    <s v="NO"/>
    <s v="Mi madre vive con su pareja, es cabeza de familia y  aunque tenemos comunicación y una muy buena relación, no aporta económicamente a mi manutención."/>
    <n v="8000000"/>
    <s v="Si"/>
    <s v="Luz miryam"/>
    <s v="Abuelo / Abuela"/>
    <s v="70"/>
    <s v="Ama de casa"/>
    <s v="NA"/>
    <n v="1366500"/>
    <s v="Si"/>
    <s v=""/>
    <s v=""/>
    <s v=""/>
    <s v=""/>
    <s v=""/>
    <m/>
    <s v=""/>
    <s v=""/>
    <s v=""/>
    <s v=""/>
    <s v=""/>
    <s v=""/>
    <m/>
    <s v=""/>
    <s v=""/>
    <n v="0"/>
    <n v="0"/>
    <n v="0"/>
    <n v="0"/>
    <n v="50000000"/>
    <s v="Si"/>
    <s v="Nissan March"/>
    <s v="2019"/>
    <n v="41000000"/>
    <s v="No"/>
    <s v=""/>
    <s v=""/>
    <n v="0"/>
    <s v="Si"/>
    <s v="Moto"/>
    <s v="Yamaha bwz"/>
    <s v="2019"/>
    <n v="8000000"/>
    <m/>
    <n v="4"/>
    <n v="4"/>
    <n v="4"/>
    <n v="4"/>
    <n v="4"/>
    <n v="4"/>
    <n v="4"/>
    <n v="4"/>
    <n v="4"/>
    <n v="4"/>
    <n v="40"/>
    <s v="SI"/>
    <s v="SI, TIPO IE"/>
    <s v="PRI SIN TIPO IE"/>
    <s v="ok se subsana datos contra doc"/>
    <e v="#N/A"/>
    <e v="#N/A"/>
    <m/>
    <n v="3"/>
    <n v="10"/>
    <n v="8"/>
    <n v="10"/>
    <n v="20"/>
    <n v="15"/>
    <n v="15"/>
    <n v="11"/>
    <n v="9.5"/>
    <n v="79.5"/>
    <n v="0.4"/>
    <m/>
    <n v="2"/>
    <n v="3.5"/>
    <n v="1"/>
    <n v="3"/>
    <n v="2"/>
    <n v="3.5"/>
    <n v="1"/>
    <n v="4.5"/>
    <n v="79"/>
    <n v="0.4"/>
    <n v="0.4"/>
    <e v="#N/A"/>
    <m/>
    <m/>
    <s v="SI, TIPO IE"/>
    <m/>
    <m/>
    <s v="Negocios Internacionales"/>
    <e v="#N/A"/>
    <s v="002"/>
    <e v="#N/A"/>
  </r>
  <r>
    <s v="TI"/>
    <n v="1020302740"/>
    <s v="1000404774"/>
    <s v="ISABELLA CARDONA AGUIRRE"/>
    <s v="Estudios por primera vez"/>
    <x v="1"/>
    <s v="Descartado por notas"/>
    <m/>
    <s v="En publico objetivo"/>
    <s v="2da Cohorte"/>
    <s v="Admitido"/>
    <s v="icardonaa2@eafit.edu.co"/>
    <e v="#N/A"/>
    <s v="monik69ven@gmail.com"/>
    <s v="573002825180"/>
    <d v="2025-05-16T00:00:00"/>
    <s v="Activo en Programa"/>
    <s v="002-Negocios Internacionales"/>
    <s v="Escuela de Administración"/>
    <d v="2007-09-23T00:00:00"/>
    <n v="18"/>
    <s v="Antioquia"/>
    <s v="Medellín"/>
    <s v="Mujer"/>
    <s v="Soltero"/>
    <s v="NO"/>
    <s v="NO"/>
    <n v="0"/>
    <s v="NO"/>
    <s v="NA"/>
    <s v="NO"/>
    <s v="NA"/>
    <s v="NO"/>
    <s v="NA"/>
    <s v="No"/>
    <s v="604/338-5865"/>
    <s v="573002825180"/>
    <s v="Estrato 2"/>
    <s v="CL 31 69 33 201"/>
    <s v="Antioquia"/>
    <s v="Itagui"/>
    <s v="No aplica, no soy foráneo"/>
    <s v="Propio"/>
    <s v="SI"/>
    <s v="2024"/>
    <s v="AC202437044332"/>
    <n v="348"/>
    <n v="65"/>
    <n v="71"/>
    <s v="Pública"/>
    <s v="INSTITUCION EDUCATIVA LETICIA"/>
    <n v="2024"/>
    <s v="Antioquia"/>
    <s v="Envigado"/>
    <s v="BACHILLER"/>
    <s v="ACAD"/>
    <s v="TIPO: Pública, INSTITUCION: INSTITUCION EDUCATIVA LETICIA, AÑO: 2024, CIUDAD: Envigado, TITULO: BACHILLER"/>
    <s v="11"/>
    <s v="Escala de 0 - 5"/>
    <s v="Escala de 0 - 5"/>
    <s v="3"/>
    <s v="3,9"/>
    <m/>
    <s v="3,4"/>
    <s v="3,4"/>
    <m/>
    <n v="3.9"/>
    <n v="3.8"/>
    <m/>
    <n v="3.1"/>
    <n v="3.9"/>
    <m/>
    <s v="3,4"/>
    <s v="3,4"/>
    <m/>
    <s v="3"/>
    <s v="3"/>
    <m/>
    <s v="3,4"/>
    <s v="3,8"/>
    <m/>
    <s v="De 9 y 10"/>
    <n v="3.6749999999999998"/>
    <s v="NO"/>
    <s v="NA"/>
    <n v="0"/>
    <n v="0"/>
    <s v="No"/>
    <n v="45"/>
    <m/>
    <n v="45"/>
    <m/>
    <n v="45"/>
    <m/>
    <m/>
    <n v="45"/>
    <s v="Con detalle por componente"/>
    <s v="Artísticas o culturales"/>
    <s v="Me visualizo ejerciendo en Negocios Internacionales generando un puente entre Colombia y el mundo. Mi objetivo es transformar e impulsar la economía de nuestra región, explorando e identificando las mejores oportunidades para conseguir alianzas estratégicas y acuerdos beneficiosos para todos los miembros de la organización a la que pertenezca, para el medio ambiente y la sociedad en general, generando resultados sostenibles y también fortaleciendo pequeñas y medianas empresas. _x000a__x000a_Quiero generar un cambio que permita promover nuestro talento local en mercados internacionales y que posicione al país no solo como innovador, sino también como referente de un comercio justo, sostenible y competitivo. Me visualizo liderando equipos de diversas disciplinas y culturas, logrando resultados exitosos en un contexto internacional. _x000a__x000a_Recibir esta beca sería un paso clave para hacer de esta visión una realidad. Me permitiría tener una educación de alta calidad, expandir mi perspectiva a nivel global y me proporcionaría las herramientas para emplear todos los conocimientos que vaya adquiriendo, especialmente en mi comunidad. Con estos conocimientos, deseo crear proyectos que establezcan un vínculo entre los emprendedores locales y los inversores extranjeros, generar empleo digno y desarrollar una cultura de negocios responsables y éticos._x000a__x000a_Además, espero poder ayudar a los demás jóvenes de mi región, orientarlos y ayudarlos a introducirse y desenvolverse en el mundo de los negocios y puedan aprovechar su potencial al máximo. Creo firmemente que transformar Colombia, mi país, no es un objetivo individual, sino un desafío colectivo que comienza con el acceso a la educación de calidad y al conocimiento global. Con esta beca, no solo me capacito yo: también se capacita mi entorno."/>
    <s v="Página WEB"/>
    <s v="Por la calidad académica."/>
    <s v="Vocación."/>
    <n v="2"/>
    <s v="1"/>
    <s v="SI"/>
    <s v="NO"/>
    <s v="Entre 2 y 3 millones"/>
    <s v="No"/>
    <n v="0"/>
    <n v="0"/>
    <m/>
    <s v="SI"/>
    <s v="Beca"/>
    <s v="NO"/>
    <s v=""/>
    <s v=""/>
    <s v="Si"/>
    <s v="ALEJANDRO CARDONA VILLA"/>
    <m/>
    <m/>
    <m/>
    <s v="Independiente"/>
    <s v="Independiente (trabaja por cuenta propia)"/>
    <s v="SIN INFORMACION"/>
    <s v="SIN INFORMACION"/>
    <n v="0"/>
    <s v="No"/>
    <m/>
    <m/>
    <s v="NO HE VIVIDO CON MI PADRE, ÉL VIVE EN OTRO PAIS Y TENEMOS POCO CONTACTO."/>
    <s v="Si"/>
    <s v="MONICA AGUIRRE QUINTERO"/>
    <s v="Soltero"/>
    <s v="ESPECIALIZACIÓN"/>
    <s v="38"/>
    <s v="Enfermera"/>
    <s v="Empleado (con contrato laboral)"/>
    <s v="Enfermera"/>
    <s v="E.S.E. METROSALUD"/>
    <n v="3000000"/>
    <s v="Si"/>
    <s v="SI"/>
    <s v="NO"/>
    <s v="MI MADRE ES ENFERMERA PROFESIONAL, ES EL SOSTÉN ECONÓMICO DEL HOGAR, ELLA CUENTA CON UN SALARIO BASICO PROFESIONAL, DEL CUAL PRESENTA EN EL MOMENTO GRANDES DEDUCCIONES DE 2 PRESTAMOS EN ENTIDADES BANCARIAS QUE SE REALIZARON PARA PODER PAGAR NUESTRA CASA PROPIA."/>
    <n v="3000000"/>
    <s v="Si"/>
    <s v="SOFÍA LONDOÑO AGUIRRE"/>
    <s v="Hermano / Hermana"/>
    <s v="6"/>
    <s v="Estudiante"/>
    <s v="COLEGIO LUIS AMIGÓ"/>
    <n v="0"/>
    <s v="No"/>
    <s v=""/>
    <s v=""/>
    <s v=""/>
    <s v=""/>
    <s v=""/>
    <m/>
    <s v=""/>
    <s v=""/>
    <s v=""/>
    <s v=""/>
    <s v=""/>
    <s v=""/>
    <m/>
    <s v=""/>
    <s v="VIVO CON MI MADRE Y MI HERMANA DE 6 AÑOS DE EDAD."/>
    <n v="43919000"/>
    <n v="0"/>
    <n v="0"/>
    <n v="0"/>
    <n v="0"/>
    <s v="Si"/>
    <s v="KIA"/>
    <s v="2015"/>
    <n v="34885000"/>
    <s v="No"/>
    <s v=""/>
    <s v=""/>
    <n v="0"/>
    <s v="No"/>
    <s v=""/>
    <s v=""/>
    <s v=""/>
    <n v="0"/>
    <s v="LOS PRESTAMOS EN ENTIDADES BANCARIAS PARA LA COMPRA DE LA CASA, SON 2 Y ESTAN A NOMBRE DE MI MADRE, UNO DE ELLOS SE ACABA DE PAGAR ESTE AÑO Y EL MAS ALTO SE TERMINA DE PAGAR EN 7 AÑOS."/>
    <n v="4"/>
    <n v="4"/>
    <n v="4"/>
    <n v="4"/>
    <n v="4"/>
    <n v="4"/>
    <n v="4"/>
    <n v="4"/>
    <n v="4"/>
    <n v="4"/>
    <n v="40"/>
    <s v="SI"/>
    <m/>
    <s v="SI, SON PRI"/>
    <s v="ok tienen todos los datos"/>
    <e v="#N/A"/>
    <e v="#N/A"/>
    <m/>
    <n v="3"/>
    <n v="10"/>
    <n v="10"/>
    <n v="10"/>
    <n v="10"/>
    <n v="15"/>
    <n v="15"/>
    <n v="17"/>
    <n v="17"/>
    <n v="77"/>
    <n v="0.5"/>
    <m/>
    <n v="3.5"/>
    <n v="2.5"/>
    <n v="8"/>
    <n v="3"/>
    <n v="3.5"/>
    <n v="2.5"/>
    <n v="8"/>
    <n v="3"/>
    <n v="77"/>
    <n v="0.6"/>
    <n v="0.6"/>
    <e v="#N/A"/>
    <m/>
    <m/>
    <n v="0"/>
    <m/>
    <m/>
    <s v="Negocios Internacionales"/>
    <e v="#N/A"/>
    <s v="002"/>
    <e v="#N/A"/>
  </r>
  <r>
    <s v="TI"/>
    <n v="1020425177"/>
    <s v="1000408698"/>
    <s v="MARIANA ZABALA GIRALDO"/>
    <s v="Estudios por primera vez"/>
    <x v="1"/>
    <s v="Descartado por est 1 e ingresos bajos"/>
    <m/>
    <s v="En publico objetivo"/>
    <s v="3ra Cohorte"/>
    <s v="Admitido"/>
    <s v="mzabalag@eafit.edu.co"/>
    <e v="#N/A"/>
    <s v="zabalagiraldo8@gmail.com"/>
    <s v="573005077546"/>
    <d v="2025-05-30T00:00:00"/>
    <s v="Activo en Programa"/>
    <s v="084-Derecho"/>
    <s v="Escuela de Derecho"/>
    <d v="2007-05-31T00:00:00"/>
    <n v="18"/>
    <s v="Antioquia"/>
    <s v="Bello"/>
    <s v="Mujer"/>
    <s v="Soltero"/>
    <s v="NO"/>
    <s v="NO"/>
    <n v="0"/>
    <s v="NO"/>
    <s v="NA"/>
    <s v="NO"/>
    <s v="NA"/>
    <s v="NO"/>
    <s v="NA"/>
    <s v="No"/>
    <s v="300/507-7545"/>
    <s v="573005077546"/>
    <s v="Estrato 1"/>
    <s v="MEDELLÍN"/>
    <s v="Antioquia"/>
    <s v="Medellín"/>
    <s v="No aplica, no soy foráneo"/>
    <s v="Arriendo"/>
    <s v="SI"/>
    <s v="2024"/>
    <s v="AC202433269289"/>
    <n v="302"/>
    <n v="65"/>
    <n v="66"/>
    <s v="Pública"/>
    <s v="INST EDUC CEFA"/>
    <n v="2024"/>
    <s v="Antioquia"/>
    <s v="Medellín"/>
    <s v="BACHILLER"/>
    <s v="TECN"/>
    <s v="TIPO: Pública, INSTITUCION: INST EDUC CEFA, AÑO: 2024, CIUDAD: Medellín, TITULO: BACHILLER"/>
    <s v="11"/>
    <s v="Escala de 0 - 5"/>
    <s v="Escala de 0 - 5"/>
    <s v="4"/>
    <s v="4,5"/>
    <m/>
    <s v="4,3"/>
    <s v="4,2"/>
    <m/>
    <n v="4.0999999999999996"/>
    <n v="4"/>
    <m/>
    <n v="4"/>
    <n v="3.9"/>
    <m/>
    <s v="4,5"/>
    <s v="4,5"/>
    <m/>
    <s v="4,1"/>
    <s v="4,5"/>
    <m/>
    <s v="4,5"/>
    <s v="4,5"/>
    <m/>
    <s v="De 9 y 10"/>
    <n v="4"/>
    <s v="NO"/>
    <s v="NA"/>
    <n v="0"/>
    <n v="0"/>
    <s v="No"/>
    <n v="45"/>
    <m/>
    <n v="40"/>
    <m/>
    <n v="40"/>
    <m/>
    <m/>
    <n v="41.666666666666664"/>
    <s v="Con detalle por componente"/>
    <s v="Ninguna"/>
    <s v="Estoy convencida de que el derecho, mas allá de ser una disciplina, es una herramienta para transformar realidades, especialmente en mi ciudad: Medellín, conocido como distrito especial de ciencia, tecnología e innovación. Mi deseo de estudiar derecho es para generar justicia, porque no puede haber un verdadero progreso sin equidad y sin verdad._x000a__x000a_una verdadera transformación solo será sostenible si también se acompaña de justicia, acceso equitativo y respeto por los derechos fundamentales de los ciudadanos. Quiero ser una profesional que no solo conozca de las leyes, sino que las lleve a cabo para quienes le están vulnerando sus derechos._x000a__x000a_Desde el derecho, aspiro trabajar en la prevención del delito, llevar a cabo la justicia, respeto y protección a las victimas. Como futura abogada quiero colaborar con una justicia mas humana, donde se garantice el debido proceso y se fomente una cultura de legalidad y reconciliación. Me visualizo no solo en los estrados judiciales, sino también en comunidades vulnerables acompañando los procesos legales que devuelvan su esperanza._x000a__x000a_Obtener la beca para estudiar derecho no solo representa una gran oportunidad académica, sino también un acto de coherencia con mi proyecto de vida. Quiero formarme con excelencia para ser una abogada comprometida con el presente y el futuro de Medellín, capaz de incidir en políticas publicas y  promover el acceso a la justicia como derecho fundamental y no como un privilegio. Me visualizo como una profesional integra, empática y valiente; Quiero asumir el reto de formarme en una gran universidad, con disciplina porque cuando nos educamos con disciplina y propósitos, también se va a tener la capacidad de educar su entorno y su historia."/>
    <s v="Referencias familiares"/>
    <s v="Por la calidad académica."/>
    <s v="Alta proyección de ingresos."/>
    <n v="2"/>
    <s v="1"/>
    <s v="SI"/>
    <s v="NO"/>
    <s v="Entre 1 y 2 millones"/>
    <s v="No"/>
    <n v="0"/>
    <n v="0"/>
    <m/>
    <s v="SI"/>
    <s v="Beca"/>
    <s v="NO"/>
    <s v=""/>
    <s v=""/>
    <s v="Sin información"/>
    <n v="0"/>
    <m/>
    <m/>
    <m/>
    <s v=""/>
    <s v=""/>
    <m/>
    <s v=""/>
    <m/>
    <s v=""/>
    <m/>
    <m/>
    <s v="Realmente no se información de mi padre ya que no tenemos un buen vinculo paternal ni comunicación"/>
    <s v="Si"/>
    <s v="NANCY LILIANA GIRALDO CANTILLO"/>
    <m/>
    <s v="UNIVERSITARIOS"/>
    <m/>
    <s v="Psicologa"/>
    <s v="Empleado (con contrato laboral)"/>
    <s v="PROMOTORA DE APOYO"/>
    <s v="FUNDACION PASCUAL BRAVO"/>
    <n v="1679752"/>
    <s v="Si"/>
    <s v="SI"/>
    <s v="NO"/>
    <m/>
    <n v="1679752"/>
    <s v="Si"/>
    <s v="JERONIMO VELASQUEZ GIRALDO"/>
    <s v="Hermano / Hermana"/>
    <s v="10"/>
    <s v="Estudiante"/>
    <s v="COLEGIO SAGRADA FAMILIA ALDEA PABLO VI"/>
    <n v="0"/>
    <s v="No"/>
    <s v=""/>
    <s v=""/>
    <s v=""/>
    <s v=""/>
    <s v=""/>
    <m/>
    <s v=""/>
    <s v=""/>
    <s v=""/>
    <s v=""/>
    <s v=""/>
    <s v=""/>
    <m/>
    <s v=""/>
    <s v=""/>
    <n v="0"/>
    <n v="0"/>
    <n v="0"/>
    <n v="0"/>
    <n v="0"/>
    <s v="No"/>
    <s v=""/>
    <s v=""/>
    <n v="0"/>
    <s v="No"/>
    <s v=""/>
    <s v=""/>
    <n v="0"/>
    <s v="No"/>
    <s v=""/>
    <s v=""/>
    <s v=""/>
    <n v="0"/>
    <m/>
    <n v="4"/>
    <n v="4"/>
    <n v="3"/>
    <n v="4"/>
    <n v="4"/>
    <n v="3"/>
    <n v="4"/>
    <n v="4"/>
    <n v="3"/>
    <n v="4"/>
    <n v="37"/>
    <s v="SI"/>
    <m/>
    <s v="SI, SON PRI"/>
    <s v="ok tienen todos los datos"/>
    <e v="#N/A"/>
    <e v="#N/A"/>
    <m/>
    <n v="2"/>
    <n v="6"/>
    <n v="6"/>
    <n v="5"/>
    <n v="15"/>
    <n v="15"/>
    <n v="10"/>
    <n v="20"/>
    <n v="20"/>
    <n v="71"/>
    <s v="80 - 100%"/>
    <m/>
    <n v="3.5"/>
    <n v="4.5"/>
    <n v="8"/>
    <n v="4"/>
    <n v="3.5"/>
    <n v="4"/>
    <n v="8"/>
    <n v="4.5"/>
    <n v="71"/>
    <s v="80 - 100%"/>
    <n v="0.8"/>
    <e v="#N/A"/>
    <m/>
    <m/>
    <n v="0"/>
    <m/>
    <m/>
    <s v="Derecho"/>
    <e v="#N/A"/>
    <s v="084"/>
    <e v="#N/A"/>
  </r>
  <r>
    <s v="TI"/>
    <n v="1020425925"/>
    <s v="1000405185"/>
    <s v="SIMON ALEJANDRO VASQUEZ MEDINA"/>
    <s v="Estudios por primera vez"/>
    <x v="1"/>
    <s v="Descartado por propiedades"/>
    <m/>
    <s v="En publico objetivo"/>
    <s v="2da Cohorte"/>
    <s v="Admitido"/>
    <s v="savasquem1@eafit.edu.co"/>
    <e v="#N/A"/>
    <s v="simonvasquezmedina2709@gmail.com"/>
    <s v="573155592517"/>
    <d v="2025-05-16T00:00:00"/>
    <s v="Activo en Programa"/>
    <s v="010-Ingeniería de Sistemas"/>
    <s v="E Ciencias Aplic e Ingeniería"/>
    <d v="2007-09-27T00:00:00"/>
    <n v="18"/>
    <s v="Antioquia"/>
    <s v="Medellín"/>
    <s v="Hombre"/>
    <s v="Soltero"/>
    <s v="NO"/>
    <s v="NO"/>
    <n v="0"/>
    <s v="NO"/>
    <s v="NA"/>
    <s v="NO"/>
    <s v="NA"/>
    <s v="NO"/>
    <s v="NA"/>
    <s v="No"/>
    <s v="302/251-4476"/>
    <s v="573155592517"/>
    <s v="Estrato 2"/>
    <s v="Av34f  #43 B60"/>
    <s v="Antioquia"/>
    <s v="Bello"/>
    <s v="No aplica, no soy foráneo"/>
    <s v="Propio"/>
    <s v="SI"/>
    <s v="2024"/>
    <s v="AC202437822422"/>
    <n v="380"/>
    <n v="81"/>
    <n v="75"/>
    <s v="Privada"/>
    <s v="COL NAZARET"/>
    <n v="2024"/>
    <s v="Antioquia"/>
    <s v="Bello"/>
    <s v="BACHILLER"/>
    <s v="ACAD"/>
    <s v="TIPO: Privada, INSTITUCION: COL NAZARET, AÑO: 2024, CIUDAD: Bello, TITULO: BACHILLER"/>
    <s v="11"/>
    <s v="Escala de 0 - 5"/>
    <s v="Escala de 0 - 5"/>
    <s v="4,5"/>
    <s v="4,5"/>
    <m/>
    <s v="4,5"/>
    <s v="4,5"/>
    <m/>
    <n v="4.5"/>
    <n v="4.4000000000000004"/>
    <m/>
    <n v="4.3"/>
    <n v="4.4000000000000004"/>
    <m/>
    <s v="4,2"/>
    <s v="4,5"/>
    <m/>
    <s v="5"/>
    <s v="4,3"/>
    <m/>
    <s v="4,6"/>
    <s v="4,3"/>
    <m/>
    <s v="De 9 y 10"/>
    <n v="4.4000000000000004"/>
    <s v="NO"/>
    <s v="NA"/>
    <n v="0"/>
    <n v="0"/>
    <s v="No"/>
    <n v="45"/>
    <m/>
    <n v="50"/>
    <m/>
    <n v="50"/>
    <m/>
    <s v="Muy buen desempeño en la entrevista, demuestra capacidades de liderazgo, muestra mucho interés y convencimiento en la ingeniería que desea estudiar"/>
    <n v="48.333333333333336"/>
    <s v="Con detalle por componente"/>
    <s v="Otras (por ejemplo, un talento extraordinario)"/>
    <s v="Como futuro ingeniero, no solo quiero dominar códigos y algoritmos, sino también convertirme en un líder que sea capaz de transformar su entorno y a la sociedad. Mi experiencia como representante de grupo y voluntario me enseñó el valor de escuchar las diferentes ideas y propuestas que me hacen para luego comunicarlas de forma clara y efectiva, estas habilidades las considero fundamentales para liderar proyectos tecnológicos con impacto real._x000a__x000a__x000a_Sueño con poder dar solución a los problemas que tiene la sociedad mediante la tecnología y la innovación. Quiero que la tecnología sea una herramienta que llegue a todas las personas del mundo, especialmente las comunidades vulnerables y vean en ella una forma de acceder a educación, información, comercio y todo tipo de plataformas que estén a su disposición y les puedan brindar apoyo. _x000a__x000a__x000a_Para mi acceder a esta beca representa un paso muy importante para alcanzar estos objetivos ya que me permitirá estudiar en una excelente universidad donde puedo crecer tanto académica como personalmente sin que lo económico sea un impedimento y reforzaría mi compromiso para devolverle a la sociedad, mediante mis acciones,  la oportunidad que me esta brindando."/>
    <s v="Estudiantes de EAFIT"/>
    <s v="Por la calidad académica."/>
    <s v="Alta proyección de ingresos."/>
    <n v="4"/>
    <s v="2"/>
    <s v="NO"/>
    <s v="NO"/>
    <s v="Entre 3 y 4 millones"/>
    <s v="No"/>
    <n v="0"/>
    <n v="0"/>
    <m/>
    <s v="SI"/>
    <s v="Beca"/>
    <s v="NO"/>
    <s v=""/>
    <s v=""/>
    <s v="No, fallecido"/>
    <n v="0"/>
    <m/>
    <m/>
    <m/>
    <s v=""/>
    <s v=""/>
    <m/>
    <s v=""/>
    <m/>
    <s v=""/>
    <m/>
    <m/>
    <s v=""/>
    <s v="Si"/>
    <s v="Diana Marcela Medina Bustamante"/>
    <s v="Unión marital"/>
    <s v="BACHILLERATO"/>
    <s v="41"/>
    <s v="Comerciante independiente"/>
    <s v="Independiente (trabaja por cuenta propia)"/>
    <s v="Vendedora"/>
    <s v="Independiente"/>
    <n v="600000"/>
    <s v="Si"/>
    <s v="SI"/>
    <s v="NO"/>
    <m/>
    <n v="600000"/>
    <s v="Si"/>
    <s v="Guillermo David Vasquez Medina"/>
    <s v="Hermano / Hermana"/>
    <s v="23"/>
    <s v="Instructor"/>
    <s v="Alma equina"/>
    <n v="1423500"/>
    <s v="Si"/>
    <s v="Juan Guillermo Molina Aldana"/>
    <s v="Padrastro"/>
    <s v="48"/>
    <s v="Conductor"/>
    <s v="JYE transportes"/>
    <n v="1423500"/>
    <s v="No"/>
    <s v="Isabela Molina Medina"/>
    <s v="Hermano / Hermana"/>
    <s v="11"/>
    <s v="Estudiante"/>
    <s v="Institución Educativa La Trinidad"/>
    <n v="0"/>
    <s v="No"/>
    <s v=""/>
    <n v="278061000"/>
    <n v="0"/>
    <n v="0"/>
    <n v="0"/>
    <n v="0"/>
    <s v="No"/>
    <s v=""/>
    <s v=""/>
    <n v="0"/>
    <s v="No"/>
    <s v=""/>
    <s v=""/>
    <n v="0"/>
    <s v="No"/>
    <s v=""/>
    <s v=""/>
    <s v=""/>
    <n v="0"/>
    <m/>
    <n v="4"/>
    <n v="4"/>
    <n v="3"/>
    <n v="4"/>
    <n v="4"/>
    <n v="4"/>
    <n v="4"/>
    <n v="4"/>
    <n v="4"/>
    <n v="4"/>
    <n v="39"/>
    <s v="SI"/>
    <m/>
    <s v="SI, SON PRI"/>
    <s v="ok tienen todos los datos"/>
    <e v="#N/A"/>
    <e v="#N/A"/>
    <m/>
    <n v="3"/>
    <n v="10"/>
    <n v="10"/>
    <n v="15"/>
    <n v="15"/>
    <n v="15"/>
    <n v="20"/>
    <n v="13.5"/>
    <n v="13.5"/>
    <n v="88.5"/>
    <n v="0.4"/>
    <m/>
    <n v="2"/>
    <n v="2.5"/>
    <n v="8"/>
    <n v="1"/>
    <n v="2"/>
    <n v="2.5"/>
    <n v="8"/>
    <n v="1"/>
    <n v="88.5"/>
    <n v="0.4"/>
    <n v="0.5"/>
    <e v="#N/A"/>
    <m/>
    <m/>
    <n v="0"/>
    <m/>
    <m/>
    <s v="Ingeniería de Sistemas"/>
    <e v="#N/A"/>
    <s v="010"/>
    <e v="#N/A"/>
  </r>
  <r>
    <s v="CC"/>
    <n v="1021923313"/>
    <s v="1000348133"/>
    <s v="ANGEL BURGOS VALENCIA"/>
    <s v="Transferencia Externa"/>
    <x v="1"/>
    <s v="No cumple, otros estudios de pregrado"/>
    <s v="Rescatado"/>
    <s v="En publico objetivo"/>
    <s v="2da Cohorte"/>
    <s v="Admitido"/>
    <s v="aburgosv@eafit.edu.co"/>
    <s v="aburgosv@eafit.edu.co"/>
    <s v="angelburgos167@gmail.com"/>
    <s v="573104295671"/>
    <d v="2025-05-16T00:00:00"/>
    <s v="Activo en Programa"/>
    <s v="001-Administración de Negocios"/>
    <s v="Escuela de Administración"/>
    <d v="2006-04-23T00:00:00"/>
    <n v="19"/>
    <s v="Antioquia"/>
    <s v="Medellín"/>
    <s v="Hombre"/>
    <s v="Soltero"/>
    <s v="NO"/>
    <s v="NO"/>
    <n v="0"/>
    <s v="NO"/>
    <s v="NA"/>
    <s v="NO"/>
    <s v="NA"/>
    <s v="NO"/>
    <s v="NA"/>
    <s v="No"/>
    <s v="310/429-5671"/>
    <s v="573104295671"/>
    <s v="Estrato 3"/>
    <s v="VEREDA VILACHUAGA CA 29 RIONEGRO ANTIOQUIA"/>
    <s v="Antioquia"/>
    <s v="Medellín"/>
    <s v="No aplica, no soy foráneo"/>
    <s v="Familiar"/>
    <s v="SI"/>
    <s v="2023"/>
    <s v="AC202341676006"/>
    <n v="374"/>
    <n v="78"/>
    <n v="73"/>
    <s v="Privada"/>
    <s v="Colegio Calasanz Medellín"/>
    <n v="2023"/>
    <m/>
    <s v="Medellín"/>
    <s v="Bachillerato"/>
    <s v="Académico"/>
    <m/>
    <n v="0"/>
    <n v="0"/>
    <s v="PCA TEX"/>
    <m/>
    <m/>
    <m/>
    <m/>
    <m/>
    <m/>
    <m/>
    <m/>
    <m/>
    <m/>
    <m/>
    <m/>
    <m/>
    <m/>
    <m/>
    <m/>
    <m/>
    <m/>
    <m/>
    <m/>
    <m/>
    <s v="Ver PCA TEX"/>
    <n v="3.1"/>
    <s v="SI"/>
    <s v="Ingenieria Administrativa-Universidad la Nacional- En curso"/>
    <s v="PREGRADO"/>
    <s v="Ingenieria Administrativa"/>
    <s v="No"/>
    <n v="40"/>
    <m/>
    <n v="45"/>
    <m/>
    <n v="40"/>
    <m/>
    <s v="es timido y estudia administración en la Universidad Nacional pero prefiere EAFIT  porque no tiene tantas materias de ciencias básicas, le gusta ver peliculas, salir con amigos y jugar futbol. es sin reconocimiento de materias y quiere estudiar en EAFIT por recomendaciones de familiares y amigos."/>
    <n v="41.666666666666664"/>
    <s v="Con detalle por componente"/>
    <s v="Artísticas o culturales,Trabajo social o comunitario"/>
    <s v="Me visualizo creando soluciones que resuelvan problemas reales. Desde hace años tengo claro que quiero estudiar Administración de Negocios no solo para entender cómo funciona una empresa, sino para romper esquemas y proponer ideas diferentes, algo con impacto. A mi siempre me ha inquietado cómo hacer las cosas de forma más inteligente, más útil, más humana. No quiero repetir modelos viejos solo porque “así se ha hecho siempre”. Quiero usar lo que aprenda en esta universidad para emprender o liderar proyectos donde la innovación no sea un lujo, sino una necesidad. Y no hablo solo de tecnología, hablo de pensar distinto incluso desde la forma en que vendemos hasta cómo tratamos al equipo o cómo usamos los recursos. La beca sería mi oportunidad de poder dedicarme por completo a esa búsqueda. No se trata solo de estudiar, se trata de vivir la universidad al cien por ciento, de rodearme de personas que también quieren proponer y transformar. Mi meta no es tener una empresa, es tener ideas que valgan la pena y que puedan mejorar, aunque sea un poquito, el entorno donde vivo."/>
    <s v="Estudiantes de EAFIT"/>
    <s v="Proyección laboral."/>
    <s v="Vocación."/>
    <n v="3"/>
    <s v="0"/>
    <s v="SI"/>
    <s v="NO"/>
    <s v="Entre 1 y 2 millones"/>
    <s v="Si"/>
    <s v="NO"/>
    <n v="0"/>
    <m/>
    <s v="SI"/>
    <s v="Beca"/>
    <s v="NO"/>
    <s v=""/>
    <s v=""/>
    <s v="Si"/>
    <s v="Javier Enrique Burgos Montes"/>
    <s v="Soltero"/>
    <s v="UNIVERSITARIOS"/>
    <s v="49"/>
    <s v="Artista Plastico"/>
    <s v="Empleado (con contrato laboral)"/>
    <s v="Gestor Cultural"/>
    <s v="Secretaria de Cultura - Alcaldía de Medellín"/>
    <n v="4200000"/>
    <s v="Si"/>
    <s v="SI"/>
    <s v="NO"/>
    <s v="Contrato a término definido. Lo contratan cada año, vive en una vereda de Rionegro. Separado de mi mamá"/>
    <s v="Si"/>
    <s v="Diana María Valencia Hurtado"/>
    <s v="Soltero"/>
    <s v="MAESTRÍA"/>
    <s v="47"/>
    <s v="Docente de Lengua Castellana en Colegio Publico"/>
    <s v="Empleado (con contrato laboral)"/>
    <s v="Docente en el magisterio"/>
    <s v="Magisterio"/>
    <n v="3500000"/>
    <s v="No"/>
    <s v="NO"/>
    <s v="NO"/>
    <m/>
    <n v="7700000"/>
    <s v="No, solo vivo con mis padres"/>
    <s v=""/>
    <s v=""/>
    <s v=""/>
    <s v=""/>
    <s v=""/>
    <m/>
    <s v=""/>
    <s v=""/>
    <s v=""/>
    <s v=""/>
    <s v=""/>
    <s v=""/>
    <m/>
    <s v=""/>
    <s v=""/>
    <s v=""/>
    <s v=""/>
    <s v=""/>
    <s v=""/>
    <m/>
    <s v=""/>
    <s v=""/>
    <n v="0"/>
    <n v="0"/>
    <n v="0"/>
    <n v="0"/>
    <n v="0"/>
    <s v="No"/>
    <s v=""/>
    <s v=""/>
    <n v="0"/>
    <s v="No"/>
    <s v=""/>
    <s v=""/>
    <n v="0"/>
    <s v="Si"/>
    <s v="Moto"/>
    <s v="Hero"/>
    <s v="2022"/>
    <n v="8000000"/>
    <m/>
    <n v="3"/>
    <n v="4"/>
    <n v="3"/>
    <n v="4"/>
    <n v="2"/>
    <n v="4"/>
    <n v="2"/>
    <n v="4"/>
    <n v="2"/>
    <n v="3"/>
    <n v="31"/>
    <s v="SI"/>
    <s v="SI, TIPO IE"/>
    <s v="TEX SIN TIPO DE IE NI DETALLE DE OTROS ESTUDIOS"/>
    <s v="ok se agrega info de otros estudios por llamada"/>
    <e v="#N/A"/>
    <e v="#N/A"/>
    <m/>
    <n v="3"/>
    <n v="10"/>
    <n v="8"/>
    <n v="15"/>
    <n v="5"/>
    <n v="10"/>
    <n v="10"/>
    <n v="11"/>
    <n v="10.5"/>
    <n v="60.5"/>
    <n v="0.4"/>
    <m/>
    <n v="2"/>
    <n v="3.5"/>
    <n v="1"/>
    <n v="4"/>
    <n v="2"/>
    <n v="3.5"/>
    <n v="1"/>
    <n v="4.5"/>
    <n v="59"/>
    <n v="0.4"/>
    <n v="0.4"/>
    <e v="#N/A"/>
    <m/>
    <m/>
    <s v="SI, TIPO IE"/>
    <m/>
    <m/>
    <s v="Administración de Negocios"/>
    <e v="#N/A"/>
    <s v="001"/>
    <e v="#N/A"/>
  </r>
  <r>
    <s v="CC"/>
    <n v="1021923915"/>
    <s v="1000119073"/>
    <s v="SUSANA MONTOYA MONTOYA SERNA"/>
    <s v="Estudios por primera vez"/>
    <x v="7"/>
    <s v="No cumple, estrato 4"/>
    <s v="Se esta revisando ingresos contra doc"/>
    <s v="En publico objetivo"/>
    <s v="2da Cohorte"/>
    <s v="Admitido"/>
    <s v="smontoyas2@eafit.edu.co"/>
    <s v="smontoyas2@eafit.edu.co"/>
    <s v="Susym0223@gmail.com"/>
    <s v="305/446-9126"/>
    <d v="2025-05-16T00:00:00"/>
    <s v="Activo en Programa"/>
    <s v="002-Negocios Internacionales"/>
    <s v="Escuela de Administración"/>
    <d v="2007-02-23T00:00:00"/>
    <n v="18"/>
    <s v="Antioquia"/>
    <s v="Medellín"/>
    <s v="Mujer"/>
    <s v="Soltero"/>
    <s v="NO"/>
    <s v="NO"/>
    <n v="0"/>
    <s v="NO"/>
    <s v="NA"/>
    <s v="NO"/>
    <s v="NA"/>
    <s v="NO"/>
    <s v="NA"/>
    <s v="No"/>
    <s v="316/521-0425"/>
    <s v="305/446-9126"/>
    <s v="Estrato 4"/>
    <s v="CLL 76 SUR 57 86"/>
    <s v="Antioquia"/>
    <s v="La Estrella"/>
    <s v="No aplica, no soy foráneo"/>
    <s v="Arriendo"/>
    <s v="SI"/>
    <s v="2024"/>
    <s v="AC202430224733"/>
    <n v="325"/>
    <n v="64"/>
    <n v="67"/>
    <s v="Privada"/>
    <s v="COL. WALDORF ISOLDA ECHAVARRIA"/>
    <n v="2024"/>
    <s v="Antioquia"/>
    <s v="La Estrella"/>
    <s v="BACHILLER"/>
    <s v="ACAD"/>
    <s v="TIPO: Privada, INSTITUCION: COL. WALDORF ISOLDA ECHAVARRIA, AÑO: 2024, CIUDAD: La Estrella, TITULO: BACHILLER"/>
    <s v="11"/>
    <s v="Escala de 0 - 5"/>
    <s v="Escala de 0 - 5"/>
    <s v="4,1"/>
    <s v="4,5"/>
    <m/>
    <s v="4,5"/>
    <s v="5"/>
    <m/>
    <n v="4.7"/>
    <n v="4"/>
    <m/>
    <n v="4.4000000000000004"/>
    <n v="4.5"/>
    <m/>
    <s v="5"/>
    <s v="4,6"/>
    <m/>
    <s v="4,5"/>
    <s v="4,5"/>
    <m/>
    <s v="4,8"/>
    <s v="5"/>
    <m/>
    <s v="De 9 y 10"/>
    <n v="4.4000000000000004"/>
    <s v="NO"/>
    <s v="NA"/>
    <n v="0"/>
    <n v="0"/>
    <s v="No"/>
    <n v="45"/>
    <m/>
    <n v="45"/>
    <m/>
    <n v="40"/>
    <m/>
    <m/>
    <n v="43.333333333333336"/>
    <s v="Con detalle por componente"/>
    <s v="Espacios de liderazgo o representación social"/>
    <s v="En unos años, cuando ya esté ejerciendo la carrera de Negocios Internacionales, que tanto me emociona estudiar, me visualizo asesorando y acompañando emprendimientos colombianos en su proceso de internacionalización. Desde hace tiempo me interesa profundamente entender cómo funcionan estos proyectos, quiénes los lideran, de dónde surgen sus ideas y cómo logran destacarse en el mercado._x000a__x000a_Quiero mostrarle al mundo el talento, la creatividad, la voluntad y la calidad de lo hecho en Colombia. Creo firmemente que somos una población con un enorme potencial, y deseo, a través de mi profesión, llevar esas ideas auténticas a los mercados globales._x000a__x000a_Esto motivaría a los emprendedores de mi región a considerar la internacionalización como una vía real para crecer, ampliar su impacto y mejorar sus condiciones económicas, apoyados en un modelo de trabajo basado en la pasión y el disfrute._x000a__x000a_Aspiro a contribuir con el fortalecimiento del ecosistema emprendedor de Medellín y de Colombia. Me inspira profundamente esa cultura de personas que le ponen el corazón, los ahorros, la mente y la fe a una idea. Yo quiero ser el puente que lleve esas ideas a nuevos horizontes: buscando aliados, diseñando estrategias, adaptando productos a otras culturas y posicionándolos en mercados internacionales._x000a__x000a_Obtener esta beca y tener la oportunidad de estudiar en esta universidad me permitiría cumplir este propósito que he descubierto en los últimos años: servir desde mi conocimiento y ayudar a que pequeños proyectos, nacidos de los sueños de una persona o familia, se conviertan en historias de éxito que transformen comunidades."/>
    <s v="Amigos"/>
    <s v="Por la calidad académica."/>
    <s v="Vocación."/>
    <n v="3"/>
    <s v="3"/>
    <s v="NO"/>
    <s v="NO"/>
    <s v="Entre 4 y 5 millones"/>
    <s v="Si"/>
    <s v="SI"/>
    <n v="0"/>
    <m/>
    <s v="SI"/>
    <s v="Beca"/>
    <s v="NO"/>
    <s v=""/>
    <s v=""/>
    <s v="Si"/>
    <s v="Mauricio Alberto Montoya"/>
    <s v="Casado"/>
    <s v="MAESTRÍA"/>
    <s v="49"/>
    <s v="Psicólogo"/>
    <s v="Independiente (trabaja por cuenta propia)"/>
    <s v="Psicólogo"/>
    <s v="No aplica, independiente"/>
    <n v="48000000"/>
    <s v="Si"/>
    <s v="NO"/>
    <s v="NO"/>
    <s v="Mi papa trabaja desde hace seis años en Panamá. Aceptó ese cargo con el principal propósito de mejorar la estabilidad financiera de nuestra familia. Sin embargo, la distancia ha sido un desafío, y deseamos poder estar juntos en Colombia nuevamente. Trasladarnos a Panamá no ha sido una opción viable principalmente por las limitaciones que hemos encontrado en el sistema educativo en comparación con el que tenemos en Colombia. El viene a visitarnos una vez al mes y permanece con nosotros una semana y media."/>
    <s v="Si"/>
    <s v="Alejandra Serna Mejía"/>
    <s v="Casado"/>
    <s v="UNIVERSITARIOS"/>
    <s v="54"/>
    <s v="Psicóloga"/>
    <s v="Independiente (trabaja por cuenta propia)"/>
    <s v="Psicóloga"/>
    <s v="No aplica, independiente"/>
    <n v="8000000"/>
    <s v="Si"/>
    <s v="NO"/>
    <s v="SI"/>
    <m/>
    <n v="56000000"/>
    <s v="Si"/>
    <s v="Samuel Montoya Serna"/>
    <s v="Hermano / Hermana"/>
    <s v="13"/>
    <s v="Estudiante"/>
    <s v="No aplica, estudiante"/>
    <n v="0"/>
    <s v="No"/>
    <s v=""/>
    <s v=""/>
    <s v=""/>
    <s v=""/>
    <s v=""/>
    <m/>
    <s v=""/>
    <s v=""/>
    <s v=""/>
    <s v=""/>
    <s v=""/>
    <s v=""/>
    <m/>
    <s v=""/>
    <s v=""/>
    <n v="0"/>
    <n v="400000000"/>
    <n v="0"/>
    <n v="0"/>
    <n v="0"/>
    <s v="Si"/>
    <s v="Hyundai"/>
    <s v="2021"/>
    <n v="55000000"/>
    <s v="No"/>
    <s v=""/>
    <s v=""/>
    <n v="0"/>
    <s v="No"/>
    <s v=""/>
    <s v=""/>
    <s v=""/>
    <n v="0"/>
    <s v="El vehículo se compró en febrero de 2025 a través de un crédito de libre inversión.Ambos apartamentos tienen deuda, uno con Davivienda y otro con un familiar."/>
    <n v="4"/>
    <n v="4"/>
    <n v="4"/>
    <n v="4"/>
    <n v="4"/>
    <n v="3"/>
    <n v="4"/>
    <n v="4"/>
    <n v="3"/>
    <n v="4"/>
    <n v="38"/>
    <s v="SI"/>
    <m/>
    <s v="SI, SON PRI"/>
    <s v="ok tienen todos los datos"/>
    <e v="#N/A"/>
    <e v="#N/A"/>
    <m/>
    <n v="3"/>
    <n v="4"/>
    <n v="4"/>
    <n v="5"/>
    <n v="15"/>
    <n v="15"/>
    <n v="15"/>
    <n v="5"/>
    <n v="5.5"/>
    <n v="59.5"/>
    <n v="0.4"/>
    <m/>
    <n v="2"/>
    <n v="3.5"/>
    <n v="0"/>
    <n v="0"/>
    <n v="2"/>
    <n v="3"/>
    <n v="0"/>
    <n v="0"/>
    <n v="59"/>
    <n v="0.4"/>
    <s v="Negado"/>
    <e v="#N/A"/>
    <m/>
    <m/>
    <n v="0"/>
    <m/>
    <m/>
    <s v="Negocios Internacionales"/>
    <e v="#N/A"/>
    <m/>
    <e v="#N/A"/>
  </r>
  <r>
    <s v="TI"/>
    <n v="1021924560"/>
    <s v="1000403044"/>
    <s v="SOFIA GONZALEZ RUIZ"/>
    <s v="Estudios por primera vez"/>
    <x v="1"/>
    <s v="No cumple, estrato 4"/>
    <m/>
    <s v="En publico objetivo"/>
    <s v="1er Cohorte"/>
    <s v="Admitido"/>
    <s v="sgonzaler4@eafit.edu.co"/>
    <s v="sgonzaler4@eafit.edu.co"/>
    <s v="sofiagonzalezruiz28@gmail.com"/>
    <s v="573172784968"/>
    <d v="2025-04-25T00:00:00"/>
    <s v="Activo en Programa"/>
    <s v="084-Derecho"/>
    <s v="Escuela de Derecho"/>
    <d v="2007-08-28T00:00:00"/>
    <n v="18"/>
    <s v="Antioquia"/>
    <s v="Medellín"/>
    <s v="Mujer"/>
    <s v="Soltero"/>
    <s v="NO"/>
    <s v="NO"/>
    <n v="0"/>
    <s v="NO"/>
    <s v="NA"/>
    <s v="NO"/>
    <s v="NA"/>
    <s v="NO"/>
    <s v="NA"/>
    <s v="No"/>
    <s v="604/378-2328"/>
    <s v="573172784968"/>
    <s v="Estrato 4"/>
    <s v="CL 50 AD SUR 42 D 50"/>
    <s v="Antioquia"/>
    <s v="Envigado"/>
    <s v="No aplica, no soy foráneo"/>
    <s v="Arriendo"/>
    <s v="SI"/>
    <s v="2024"/>
    <s v="AC202430965442"/>
    <n v="338"/>
    <n v="71"/>
    <n v="66"/>
    <s v="Privada"/>
    <s v="COLEGIO ANTONINO"/>
    <n v="2024"/>
    <s v="Antioquia"/>
    <s v="La Estrella"/>
    <s v="BACHILLER"/>
    <s v="ACAD"/>
    <s v="TIPO: Privada, INSTITUCION: COLEGIO ANTONINO, AÑO: 2024, CIUDAD: La Estrella, TITULO: BACHILLER"/>
    <s v="11"/>
    <s v="Escala de 0 - 5"/>
    <s v="Escala de 0 - 5"/>
    <s v="4"/>
    <s v="4"/>
    <m/>
    <s v="4,3"/>
    <s v="4,5"/>
    <m/>
    <n v="3.5"/>
    <n v="3.6"/>
    <m/>
    <n v="4"/>
    <n v="4.3"/>
    <m/>
    <s v="4"/>
    <s v="4,1"/>
    <m/>
    <s v="4,5"/>
    <s v="4,5"/>
    <m/>
    <s v="3,8"/>
    <s v="4,5"/>
    <m/>
    <s v="De 9 y 10"/>
    <n v="3.8499999999999996"/>
    <s v="NO"/>
    <s v="NA"/>
    <n v="0"/>
    <n v="0"/>
    <s v="No"/>
    <n v="50"/>
    <m/>
    <n v="50"/>
    <m/>
    <n v="50"/>
    <m/>
    <m/>
    <n v="50"/>
    <s v="Con detalle por componente"/>
    <s v="Artísticas o culturales,Espacios de liderazgo o representación social"/>
    <s v="Desde que tomé la decisión de estudiar Derecho, me he visualizado trabajando en una firma de abogados, ya que de esta forma puedo construir un mejor futuro y puedo obtener una mejor calidad de vida. Sin embargo, también es fundamental para mí poder ayudar a las personas que no tengan los recursos para costear un abogado de una firma conocida. Me visualizo ayudando a las mujeres que son cabeza de familia, ya que por la situación que mi madre vivió con mi padre comprendí  que estas situaciones en Colombia son más comunes de lo que deberían ser._x000a__x000a_La beca para mí representa mucho más que un apoyo económico. Es una herramienta que me permitirá acceder a la educación superior y prepararme para poder ayudar a los demas. A través de los años he aprendido que alzar la voz por los demas es fundamental en la sociedad. Para mí el servirle a los demás, es la vocación de mi vida; y sé que a través de esta beca, puedo transformar mi futuro y puedo contribuir a mejorar la vida de aquellos que lo necesiten."/>
    <s v="Otro"/>
    <s v="Por la oferta académica."/>
    <s v="Nivel académico de docentes."/>
    <n v="3"/>
    <s v="0"/>
    <s v="SI"/>
    <s v="NO"/>
    <s v="Entre 1 y 2 millones"/>
    <s v="No"/>
    <n v="0"/>
    <n v="0"/>
    <m/>
    <s v="SI"/>
    <s v="Beca"/>
    <s v="NO"/>
    <s v=""/>
    <s v=""/>
    <s v="Si"/>
    <s v="Fabian Alejandro Gonzalez Cardona"/>
    <m/>
    <m/>
    <m/>
    <s v="Odontólogo"/>
    <s v="Independiente (trabaja por cuenta propia)"/>
    <s v="Socio de un consultorio odontologico"/>
    <s v="No aplica"/>
    <n v="0"/>
    <s v="No"/>
    <m/>
    <m/>
    <s v="Padre ausente en todos los aspectos durante toda mi vida. En el año 2024 se inició un proceso legal por alimentos, en el cual se dictaminó que mensualmente le corresponde dar 450.000 pesos."/>
    <s v="Si"/>
    <s v="Paula Liliana Ruiz Calle"/>
    <s v="Soltero"/>
    <s v="TECNOLOGÍA"/>
    <s v="40"/>
    <s v="Cosmetóloga y emprendedora"/>
    <s v="Desempleado (Se encuentra en la búsqueda activa de empleo)"/>
    <s v="Domicilios cosmetologicos y ventas"/>
    <s v="NO APLICA"/>
    <n v="1000000"/>
    <s v="Si"/>
    <s v="SI"/>
    <s v="NO"/>
    <s v="Gran parte de su vida ha trabajado ejerciendo diferentes tipos de ventas y realizando domicilios cosmetológicos. Sus padres le han brindado ayuda económica las veces que han tenido la posibilidad  y ella lo ha necesitado para poder cumplir con los gastos. A pesar de no tener un trabajo estable en este momento, ha buscado la forma de obtener dinero para poder cumpli con sus responsabilidades."/>
    <n v="1000000"/>
    <s v="Si"/>
    <s v="Elena Calle Rivera"/>
    <s v="Abuelo / Abuela"/>
    <s v="68"/>
    <s v="Pensionada"/>
    <s v="No aplica"/>
    <n v="2039275"/>
    <s v="Si"/>
    <s v="Horacio Ruiz Ortega"/>
    <s v="Abuelo / Abuela"/>
    <s v="66"/>
    <s v="Pensionado"/>
    <s v="No aplica"/>
    <n v="3247116"/>
    <s v="Si"/>
    <s v=""/>
    <s v=""/>
    <s v=""/>
    <s v=""/>
    <s v=""/>
    <m/>
    <s v=""/>
    <s v="A lo largo de la vida de la aspirante a la beca su madre ha recibido apoyo económico por parte de sus padres en repetidas ocasiones, ya que no siempre la madre ha estado en una posición estable a nivel económico y profesional. Luego de que la madre de la aspirante de la beca se separara del que fue su esposo y enfrentara una dificultad económica ya que se quedó sin empleo, se mudó para la casa de sus padres. Durante el periodo que lleva viviendo con ellos ha tenido que cubrir con todos los gastos de la aspirante a traves de los domicilios y las ventas."/>
    <n v="0"/>
    <n v="0"/>
    <n v="0"/>
    <n v="0"/>
    <n v="0"/>
    <s v="No"/>
    <s v=""/>
    <s v=""/>
    <n v="0"/>
    <s v="No"/>
    <s v=""/>
    <s v=""/>
    <n v="0"/>
    <s v="Si"/>
    <s v="Moto"/>
    <s v="SYM"/>
    <s v="2016"/>
    <n v="3000000"/>
    <s v="Solo poseemos una moto"/>
    <n v="3"/>
    <n v="4"/>
    <n v="4"/>
    <n v="4"/>
    <n v="4"/>
    <n v="3"/>
    <n v="4"/>
    <n v="3"/>
    <n v="4"/>
    <n v="3"/>
    <n v="36"/>
    <s v="SI"/>
    <m/>
    <s v="SI, SON PRI"/>
    <s v="ok tienen todos los datos"/>
    <e v="#N/A"/>
    <e v="#N/A"/>
    <m/>
    <n v="2"/>
    <n v="4"/>
    <n v="4"/>
    <n v="10"/>
    <n v="10"/>
    <n v="15"/>
    <n v="20"/>
    <n v="18.5"/>
    <n v="18.5"/>
    <n v="77.5"/>
    <n v="0.6"/>
    <m/>
    <n v="2"/>
    <n v="4.5"/>
    <n v="8"/>
    <n v="4"/>
    <n v="2"/>
    <n v="4"/>
    <n v="8"/>
    <n v="4.5"/>
    <n v="77.5"/>
    <n v="0.7"/>
    <n v="0.7"/>
    <e v="#N/A"/>
    <m/>
    <m/>
    <n v="0"/>
    <m/>
    <m/>
    <s v="Derecho"/>
    <e v="#N/A"/>
    <s v="084"/>
    <e v="#N/A"/>
  </r>
  <r>
    <s v="TI"/>
    <n v="1021924665"/>
    <s v="1000405636"/>
    <s v="SIMON OSPINA RUIZ"/>
    <s v="Estudios por primera vez"/>
    <x v="1"/>
    <s v="Descartado por ingresos altos"/>
    <m/>
    <s v="En publico objetivo"/>
    <s v="2da Cohorte"/>
    <s v="Admitido"/>
    <s v="sospinar3@eafit.edu.co"/>
    <e v="#N/A"/>
    <s v="simonor2810@gmail.com"/>
    <s v="573017910863"/>
    <d v="2025-05-16T00:00:00"/>
    <s v="Activo en Programa"/>
    <s v="010-Ingeniería de Sistemas"/>
    <s v="E Ciencias Aplic e Ingeniería"/>
    <d v="2007-10-28T00:00:00"/>
    <n v="18"/>
    <s v="Antioquia"/>
    <s v="Medellín"/>
    <s v="Hombre"/>
    <s v="Soltero"/>
    <s v="NO"/>
    <s v="NO"/>
    <n v="0"/>
    <s v="NO"/>
    <s v="NA"/>
    <s v="NO"/>
    <s v="NA"/>
    <s v="NO"/>
    <s v="NA"/>
    <s v="No"/>
    <s v="604/269-2947"/>
    <s v="573017910863"/>
    <s v="Estrato 3"/>
    <s v="CL 45 28 56"/>
    <s v="Antioquia"/>
    <s v="Medellín"/>
    <s v="No"/>
    <s v="Familiar"/>
    <s v="SI"/>
    <s v="2024"/>
    <s v="AC202433553310"/>
    <n v="322"/>
    <n v="69"/>
    <n v="60"/>
    <s v="Privada"/>
    <s v="N.S DEL ROSARIO DE CHIQUINQUIR"/>
    <n v="2024"/>
    <s v="Antioquia"/>
    <s v="Medellín"/>
    <s v="BACHILLER"/>
    <s v="ACAD"/>
    <s v="TIPO: Privada, INSTITUCION: N.S DEL ROSARIO DE CHIQUINQUIR, AÑO: 2024, CIUDAD: Medellín, TITULO: BACHILLER"/>
    <s v="11"/>
    <s v="Escala Desempeño"/>
    <s v="Escala de 0 - 5"/>
    <s v="5"/>
    <s v="4,5"/>
    <m/>
    <s v="4,5"/>
    <s v="4,5"/>
    <m/>
    <n v="4.5"/>
    <n v="4.5"/>
    <m/>
    <n v="4.5"/>
    <n v="4.5"/>
    <m/>
    <s v="4,5"/>
    <s v="4,5"/>
    <m/>
    <s v="5"/>
    <s v="4,5"/>
    <m/>
    <s v="4,5"/>
    <s v="4,5"/>
    <m/>
    <s v="De 9 y 10"/>
    <n v="4.5"/>
    <s v="NO"/>
    <s v="NA"/>
    <n v="0"/>
    <n v="0"/>
    <s v="No"/>
    <n v="50"/>
    <m/>
    <n v="50"/>
    <m/>
    <n v="50"/>
    <m/>
    <m/>
    <n v="50"/>
    <s v="Con detalle por componente"/>
    <s v="Ninguna"/>
    <s v="Me visualizo como un excelente ingeniero en sistemas, comprometido con el propósito de esta herramienta para la construcción de puentes entre el conocimiento digital y la transformación social. Aspiro a liderar soluciones, porque creo que el conocimiento, cuando se aplica con empatía, puede cambiar realidades; no se trata solo de programar y diseñar, sino de entender los desafíos de Medellín, cuando muchas personas aún no obtienen ese acceso a lo digital, conectividad y mucho menos que herramientas básicas, que hoy en día son fundamentales. ¡Quiero ayudar con el cambio de esa realidad!._x000a_La beca, representa para mí, la puerta para acceder a una formación de calidad, ampliar mi visión y adquirir herramientas avanzadas en programación, inteligencia artificial, seguridad informática y desarrollo de software. Esta preparación me permitirá regresar con una visión más amplia y herramientas concretas para aportar valor real a mi comunidad. Pero, sobre todo, quiero ser el impulso para convertirme en un agente de cambio, me dará los medios para hacer algo que trascienda: como un centro de innovación, donde niños, jóvenes y adultos, aprendan desde cero todo lo digital, desarrollo de ideas y crear soluciones propias para sus contextos._x000a_Sueño con implementar inteligencia artificial en proyectos sociales, crear bases de datos para mejorar la gestión de recursos locales, y automatizar procesos que hagan más eficientes hacia las empresas emergentes. _x000a_Esta beca no solo transformará mi vida: me dará el poder y la responsabilidad de transformar muchas más. _x000a_Porque el verdadero propósito del conocimiento es multiplicarse, y hacerlo en las raíces que nos vieron crecer._x000a_Al final de todo, deseo a llegar a ser un referente para demás personas que sientan que la tecnología no sea para ellos.  Quiero decirles que sí pueden, que yo pude gracias a una beca, y que ahora me toca devolver el conocimiento en forma de impacto."/>
    <s v="Otro"/>
    <s v="Por la calidad académica."/>
    <s v="Vocación."/>
    <n v="3"/>
    <s v="1"/>
    <s v="NO"/>
    <s v="NO"/>
    <s v="Entre 6 y 7 millones"/>
    <s v="No"/>
    <n v="0"/>
    <n v="0"/>
    <m/>
    <s v="SI"/>
    <s v="Beca"/>
    <s v="NO"/>
    <s v=""/>
    <s v=""/>
    <s v="Si"/>
    <s v="Omar Alexander Ospina Vazquez"/>
    <s v="Casado"/>
    <s v="ESPECIALIZACIÓN"/>
    <s v="45"/>
    <s v="ingeniero civil"/>
    <s v="Empleado (con contrato laboral)"/>
    <s v="Director de Obra"/>
    <s v="Consorcio Circuito Yolimar 2023"/>
    <n v="9027458"/>
    <s v="Si"/>
    <s v="SI"/>
    <s v="NO"/>
    <s v=""/>
    <s v="Si"/>
    <s v="Luisa Fernanda Ruiz Benjumea"/>
    <s v="Casado"/>
    <s v="UNIVERSITARIOS"/>
    <s v="43"/>
    <s v="Licenciada en educación preescolar"/>
    <s v="Labores del hogar y cuidado"/>
    <s v="Ama de casa"/>
    <s v="NINGUNA"/>
    <n v="0"/>
    <s v="Si"/>
    <s v="NO"/>
    <s v="NO"/>
    <m/>
    <n v="9027458"/>
    <s v="Si"/>
    <s v="Isabella Ospina Ruiz"/>
    <s v="Hermano / Hermana"/>
    <s v="11"/>
    <s v="Estudiante"/>
    <s v="Colegio Nuestra Señora del Rosario de Chinquinquirá"/>
    <n v="0"/>
    <s v="No"/>
    <s v=""/>
    <s v=""/>
    <s v=""/>
    <s v=""/>
    <s v=""/>
    <m/>
    <s v=""/>
    <s v=""/>
    <s v=""/>
    <s v=""/>
    <s v=""/>
    <s v=""/>
    <m/>
    <s v=""/>
    <s v=""/>
    <n v="220000000"/>
    <n v="0"/>
    <n v="0"/>
    <n v="0"/>
    <n v="0"/>
    <s v="Si"/>
    <s v="Mazda"/>
    <s v="2020"/>
    <n v="90000000"/>
    <s v="No"/>
    <s v=""/>
    <s v=""/>
    <n v="0"/>
    <s v="No"/>
    <s v=""/>
    <s v=""/>
    <s v=""/>
    <n v="0"/>
    <m/>
    <n v="4"/>
    <n v="4"/>
    <n v="3"/>
    <n v="4"/>
    <n v="3"/>
    <n v="3"/>
    <n v="3"/>
    <n v="4"/>
    <n v="4"/>
    <n v="4"/>
    <n v="36"/>
    <s v="SI"/>
    <m/>
    <s v="SI, SON PRI"/>
    <s v="ok tienen todos los datos"/>
    <s v="Negada"/>
    <n v="20251"/>
    <m/>
    <n v="3"/>
    <n v="10"/>
    <n v="8"/>
    <n v="5"/>
    <n v="20"/>
    <n v="15"/>
    <n v="20"/>
    <n v="7.5"/>
    <n v="7.5"/>
    <n v="77.5"/>
    <n v="0.4"/>
    <m/>
    <n v="2"/>
    <n v="3.5"/>
    <n v="1"/>
    <n v="1"/>
    <n v="2"/>
    <n v="3.5"/>
    <n v="1"/>
    <n v="1"/>
    <n v="75.5"/>
    <n v="0.4"/>
    <n v="0.4"/>
    <e v="#N/A"/>
    <m/>
    <m/>
    <n v="0"/>
    <m/>
    <m/>
    <s v="Ingeniería de Sistemas"/>
    <e v="#N/A"/>
    <s v="010"/>
    <e v="#N/A"/>
  </r>
  <r>
    <s v="TI"/>
    <n v="1021924722"/>
    <s v="1000352605"/>
    <s v="KENDRA JULIETH ABADIA CUESTA"/>
    <s v="Estudios por primera vez"/>
    <x v="1"/>
    <s v="Descartado por baja prioridad pregrado"/>
    <m/>
    <s v="En publico objetivo"/>
    <s v="3ra Cohorte"/>
    <s v="Admitido"/>
    <s v="kjabadiac@eafit.edu.co"/>
    <s v="kjabadiac@eafit.edu.co"/>
    <s v="kjabadiac@eafit.edu.co"/>
    <s v="573148369514"/>
    <d v="2025-06-06T00:00:00"/>
    <s v="Activo en Programa"/>
    <s v="011-Contaduría Pública"/>
    <s v="Escuela de Administración"/>
    <d v="2007-11-13T00:00:00"/>
    <n v="18"/>
    <s v="Antioquia"/>
    <s v="Medellín"/>
    <s v="Mujer"/>
    <s v="Soltero"/>
    <s v="NO"/>
    <s v="NO"/>
    <n v="0"/>
    <s v="NO"/>
    <s v="NA"/>
    <s v="SI"/>
    <s v="Afrocolombianos"/>
    <s v="SI"/>
    <s v="Afrocolombianos"/>
    <s v="No"/>
    <s v="672-4579"/>
    <s v="573148369514"/>
    <s v="Estrato 1"/>
    <s v="CL 101 A- #78 A- 49"/>
    <s v="Antioquia"/>
    <s v="Medellín"/>
    <s v="Si"/>
    <s v="Arriendo"/>
    <s v="SI"/>
    <s v="2025"/>
    <s v="AC202510830117"/>
    <n v="316"/>
    <n v="64"/>
    <n v="60"/>
    <s v="Pública"/>
    <s v="IE FEM DE ENSEÑANZA MEDIA"/>
    <n v="2024"/>
    <s v="Chocó"/>
    <s v="Quibdó"/>
    <s v="BACHILLER"/>
    <n v="0"/>
    <s v="TIPO: Pública, INSTITUCION: IE FEM DE ENSEÑANZA MEDIA, AÑO: 2024, CIUDAD: Quibdó, TITULO: BACHILLER"/>
    <s v="11"/>
    <s v="Escala de 0 - 5"/>
    <s v="Escala de 0 - 5"/>
    <s v="4"/>
    <s v="4"/>
    <m/>
    <s v="3,5"/>
    <s v="4"/>
    <m/>
    <n v="4.3"/>
    <n v="3"/>
    <m/>
    <n v="4.5999999999999996"/>
    <n v="3"/>
    <m/>
    <s v="4,5"/>
    <s v="3,6"/>
    <m/>
    <s v="4,5"/>
    <s v="4"/>
    <m/>
    <s v="4,5"/>
    <s v="3,7"/>
    <m/>
    <s v="De 9 y 10"/>
    <n v="3.7249999999999996"/>
    <s v="NO"/>
    <s v="NA"/>
    <n v="0"/>
    <n v="0"/>
    <s v="No"/>
    <n v="50"/>
    <m/>
    <n v="50"/>
    <m/>
    <n v="50"/>
    <m/>
    <s v="Es de Chocó, IEFEM colegio, vive con los papas y el hermano, las materias favoritas son contabilidad, digitación, química. Le gusta modelar, ir al gimnasio, leer, leer romance. En el colegio existen modalidades y está en comercio y existe un técnico en servicios financieros y ven contabilidad. Lo aplican al banco y hacen prácticas en ello. Le gustó mucho todo lo relacionado con la contabilidad"/>
    <n v="50"/>
    <s v="Con detalle por componente"/>
    <s v="Artísticas o culturales,Espacios de liderazgo o representación social"/>
    <s v="Estimado comité de selección, me dirijo a ustedes con el fin de atender sus preguntas. _x000a_Después de graduarme como contadora, me visualizo creando una firma de contadores donde se brinden diferentes servicios como la asesoría tributaria, la consultoría financiera y la auditoría. Me veo ejerciendo mi profesión desde un área que pueda examinar la información financiera, asegurándome de que cumpla con las leyes fiscales, es decir, desde la auditoría. Después de avanzar con mi firma, me gustaría laboral en la Contraloría regional de mi departamento, consolidando profesionalmente con resultados positivos para llegar a ser Contralora general del departamento del Chocó._x000a_ Obteniendo la beca además de poder formarme como Contadora pública, me permitirá desarrollar mis capacidades de liderazgo y pensamiento crítico logrando llevar cabo mis planes para el desarrollo de mi departamento. _x000a_Desde el cargo de Contralora general me permitiré aportar relevantemente a mi departamento; el Chocó es uno de los departamentos con más corrupción en Colombia. Como Contralora general de mi departamento, supervisaría que todos los recursos públicos del departamento destinados para la salud, infraestructura y la educación se utilicen de manera transparente, eficiente y legal, dado que se evidencia que los recursos no han sido utilizados de la mejor manera. _x000a_Antes de ser Contralora general, con mi firma me gustaría brindarles mis conocimientos y servicios a las diferentes organizaciones, entidades y establecimientos de mi departamento. Tengo pensado hacerlo desde la consultoría financiera, analizando sus informaciones financieras para asesorar y proponer planes financieros que permitan prosperar significativamente._x000a_Todo este proceso renovaría la economía del departamento, logrando que pueda tener avances financieros y evolución en la calidad de vida. Debido a que se fomentaría el emprendimiento local y el empleo."/>
    <s v="Amigos"/>
    <s v="Por la calidad académica."/>
    <s v="Vocación."/>
    <n v="1"/>
    <s v="1"/>
    <s v="SI"/>
    <s v="NO"/>
    <s v="Entre 2 y 3 millones"/>
    <s v="Si"/>
    <n v="0"/>
    <n v="0"/>
    <m/>
    <s v="SI"/>
    <s v="Beca"/>
    <s v="NO"/>
    <s v=""/>
    <s v=""/>
    <s v="Si"/>
    <s v="Jefferson Abadia Torres"/>
    <s v="Casado"/>
    <s v="MAESTRÍA"/>
    <s v="52"/>
    <s v="Docente"/>
    <s v="Empleado (con contrato laboral)"/>
    <s v="Docente"/>
    <s v="Institucion educativa agropecuaria de puerto perbel"/>
    <n v="0"/>
    <s v="No"/>
    <s v="NO"/>
    <s v="NO"/>
    <s v="Desconozco los ingresos de mi padre, ya que no tengo dependencia económica de el ni recibo aportes de su parte."/>
    <s v="Si"/>
    <s v="Yinith del Socorro Cuesta Perea"/>
    <s v="Casado"/>
    <s v="UNIVERSITARIOS"/>
    <s v="49"/>
    <s v="Administradora de empresas."/>
    <s v="Emprendedor (inicia un proyecto productivo o negocio propio)"/>
    <s v="Vendedora de ropa y productos varios."/>
    <s v="Ninguna."/>
    <n v="1600000"/>
    <s v="No"/>
    <s v="SI"/>
    <s v="NO"/>
    <m/>
    <n v="1600000"/>
    <s v="Si"/>
    <s v="Jefferson Andres Urrutia Perea"/>
    <s v="Primos"/>
    <s v="32"/>
    <s v="Arquitecto"/>
    <s v="Trabajador independiente"/>
    <n v="2500000"/>
    <s v="No"/>
    <s v=""/>
    <s v=""/>
    <s v=""/>
    <s v=""/>
    <s v=""/>
    <m/>
    <s v=""/>
    <s v=""/>
    <s v=""/>
    <s v=""/>
    <s v=""/>
    <s v=""/>
    <m/>
    <s v=""/>
    <s v="El familiar con el vivo actualmente no es responsable de mi económicamente, la única responsable de mi es mi madre."/>
    <n v="90000000"/>
    <n v="0"/>
    <n v="0"/>
    <n v="0"/>
    <n v="0"/>
    <s v="No"/>
    <s v=""/>
    <s v=""/>
    <n v="0"/>
    <s v="No"/>
    <s v=""/>
    <s v=""/>
    <n v="0"/>
    <s v="No"/>
    <s v=""/>
    <s v=""/>
    <s v=""/>
    <n v="0"/>
    <m/>
    <n v="4"/>
    <n v="4"/>
    <n v="4"/>
    <n v="4"/>
    <n v="4"/>
    <n v="4"/>
    <n v="4"/>
    <n v="3"/>
    <n v="3"/>
    <n v="3"/>
    <n v="37"/>
    <s v="SI"/>
    <s v="SI, ICFES"/>
    <s v="PRI SIN PUNTAJE ICFES Y GRADUACION ANTES DE 2025"/>
    <s v="ok puntaje icfes de informe estrategia"/>
    <e v="#N/A"/>
    <e v="#N/A"/>
    <m/>
    <n v="1"/>
    <n v="6"/>
    <n v="6"/>
    <n v="5"/>
    <n v="10"/>
    <n v="15"/>
    <n v="20"/>
    <n v="17.5"/>
    <n v="18"/>
    <n v="74"/>
    <n v="0.5"/>
    <m/>
    <n v="3.5"/>
    <n v="3.5"/>
    <n v="8"/>
    <n v="3"/>
    <n v="3.5"/>
    <n v="3"/>
    <n v="8"/>
    <n v="3"/>
    <n v="73.5"/>
    <n v="0.6"/>
    <n v="0.6"/>
    <e v="#N/A"/>
    <m/>
    <m/>
    <s v="SI, ICFES"/>
    <m/>
    <m/>
    <s v="Contaduría Pública"/>
    <e v="#N/A"/>
    <s v="011"/>
    <e v="#N/A"/>
  </r>
  <r>
    <s v="TI"/>
    <n v="1021924865"/>
    <s v="1000404782"/>
    <s v="JUAN JOSE RIVERA MANRIQUE"/>
    <s v="Estudios por primera vez"/>
    <x v="1"/>
    <s v="No cumple, estrato 4"/>
    <m/>
    <s v="En publico objetivo"/>
    <s v="1er Cohorte"/>
    <s v="Admitido"/>
    <s v="jjriveram1@eafit.edu.co"/>
    <e v="#N/A"/>
    <s v="juanjorivera22@gmail.com"/>
    <s v="573225909615"/>
    <d v="2025-04-25T00:00:00"/>
    <s v="Activo en Programa"/>
    <s v="169-Mercadeo"/>
    <s v="Escuela de Administración"/>
    <d v="2007-12-22T00:00:00"/>
    <n v="17"/>
    <s v="Antioquia"/>
    <s v="Medellín"/>
    <s v="Hombre"/>
    <s v="Soltero"/>
    <s v="NO"/>
    <s v="NO"/>
    <n v="0"/>
    <s v="NO"/>
    <s v="NA"/>
    <s v="NO"/>
    <s v="NA"/>
    <s v="NO"/>
    <s v="NA"/>
    <s v="No"/>
    <s v="314/678-0765"/>
    <s v="573225909615"/>
    <s v="Estrato 4"/>
    <s v="CR 20 B #47 112 CA 040"/>
    <s v="Antioquia"/>
    <s v="Medellín"/>
    <s v="No aplica, no soy foráneo"/>
    <s v="Propio"/>
    <s v="SI"/>
    <s v="2024"/>
    <s v="AC202433553427"/>
    <n v="307"/>
    <n v="63"/>
    <n v="55"/>
    <s v="Privada"/>
    <s v="N.S DEL ROSARIO DE CHIQUINQUIR"/>
    <n v="2024"/>
    <s v="Antioquia"/>
    <s v="Medellín"/>
    <s v="BACHILLER"/>
    <s v="TECN"/>
    <s v="TIPO: Privada, INSTITUCION: N.S DEL ROSARIO DE CHIQUINQUIR, AÑO: 2024, CIUDAD: Medellín, TITULO: BACHILLER"/>
    <s v="11"/>
    <s v="Escala Cualitativa"/>
    <s v="Escala de 0 - 5"/>
    <s v="4,5"/>
    <s v="4"/>
    <m/>
    <s v="4,5"/>
    <s v="4"/>
    <m/>
    <n v="4.5"/>
    <n v="4"/>
    <m/>
    <n v="4.5"/>
    <n v="4.5"/>
    <m/>
    <s v="4,5"/>
    <s v="4,5"/>
    <m/>
    <s v="4,5"/>
    <s v="4,5"/>
    <m/>
    <s v="4,5"/>
    <s v="4,5"/>
    <m/>
    <s v="De 9 y 10"/>
    <n v="4.375"/>
    <s v="NO"/>
    <s v="NA"/>
    <n v="0"/>
    <n v="0"/>
    <s v="No"/>
    <n v="50"/>
    <m/>
    <n v="50"/>
    <m/>
    <n v="50"/>
    <m/>
    <m/>
    <n v="50"/>
    <s v="Con detalle por componente"/>
    <s v="Artísticas o culturales"/>
    <s v="Con los conocimientos que tendré siendo egresado de la Eafit, me visualizo creando estrategias y proyectos para empresas de alto valor, tanto nacionales como internacionales las cuales no solo promuevan productos o servicios, sino también que generen un impacto positivo en la sociedad._x000a__x000a_Mi objetivo es destacarme profesionalmente y poder generar empleo en el país, asegurándome que los integrantes de mis empresas reciban formación integral y multifacética, basada en valores como el respeto y la empatía lo cual desde mi punto de vista son aspectos a mejorar en la actualidad._x000a__x000a_Además, gracias a la beca talento q me otorgará la universidad, tendré la oportunidad de recibir educación de alta calidad y podré transformar mi entorno familiar y social."/>
    <s v="A través del Colegio"/>
    <s v="Proyección laboral."/>
    <s v="Vocación."/>
    <n v="1"/>
    <s v="1"/>
    <s v="NO"/>
    <s v="NO"/>
    <s v="Entre 1 y 2 millones"/>
    <s v="No"/>
    <s v="SI"/>
    <n v="0"/>
    <m/>
    <s v="SI"/>
    <s v="Beca"/>
    <s v="NO"/>
    <s v=""/>
    <s v=""/>
    <s v="Si"/>
    <s v="Luis Fernando Rivera Gómez"/>
    <s v="Soltero"/>
    <s v="BACHILLERATO"/>
    <s v="55"/>
    <s v="Independiente"/>
    <s v="Independiente (trabaja por cuenta propia)"/>
    <s v="Comerciante"/>
    <s v="Ninguna"/>
    <n v="0"/>
    <s v="No"/>
    <s v="NO"/>
    <s v="NO"/>
    <s v="No convivo con mi padre por lo cual no tengo información de él, pero aporta económicamente con la pensión alimentaria lo cual está incluido en el ingreso mensual de la madre"/>
    <s v="Si"/>
    <s v="Diana María Manrique García"/>
    <s v="Soltero"/>
    <s v="UNIVERSITARIOS"/>
    <s v="52"/>
    <s v="Ninguna"/>
    <s v="Labores del hogar y cuidado"/>
    <s v="Ninguna"/>
    <s v="NINGUNA"/>
    <n v="2160000"/>
    <s v="Si"/>
    <s v="SI"/>
    <s v="NO"/>
    <m/>
    <n v="2160000"/>
    <s v="No, solo vivo con mis padres"/>
    <s v=""/>
    <s v=""/>
    <s v=""/>
    <s v=""/>
    <s v=""/>
    <m/>
    <s v=""/>
    <s v=""/>
    <s v=""/>
    <s v=""/>
    <s v=""/>
    <s v=""/>
    <m/>
    <s v=""/>
    <s v=""/>
    <s v=""/>
    <s v=""/>
    <s v=""/>
    <s v=""/>
    <m/>
    <s v=""/>
    <s v=""/>
    <n v="350000000"/>
    <n v="0"/>
    <n v="0"/>
    <n v="0"/>
    <n v="0"/>
    <s v="Si"/>
    <s v="Chevrolet"/>
    <s v="2019"/>
    <n v="40000000"/>
    <s v="No"/>
    <s v=""/>
    <s v=""/>
    <n v="0"/>
    <s v="No"/>
    <s v=""/>
    <s v=""/>
    <s v=""/>
    <n v="0"/>
    <s v="Los bienes son de parte de madre ya que del padre no se posee esa información"/>
    <n v="4"/>
    <n v="3"/>
    <n v="2"/>
    <n v="4"/>
    <n v="4"/>
    <n v="3"/>
    <n v="4"/>
    <n v="3"/>
    <n v="3"/>
    <n v="4"/>
    <n v="34"/>
    <s v="SI"/>
    <m/>
    <s v="SI, SON PRI"/>
    <s v="ok tienen todos los datos"/>
    <e v="#N/A"/>
    <e v="#N/A"/>
    <m/>
    <n v="3"/>
    <n v="4"/>
    <n v="4"/>
    <n v="5"/>
    <n v="15"/>
    <n v="10"/>
    <n v="20"/>
    <n v="13.5"/>
    <n v="13.5"/>
    <n v="67.5"/>
    <n v="0.4"/>
    <m/>
    <n v="2"/>
    <n v="2.5"/>
    <n v="8"/>
    <n v="1"/>
    <n v="2"/>
    <n v="2.5"/>
    <n v="8"/>
    <n v="1"/>
    <n v="67.5"/>
    <n v="0.4"/>
    <n v="0.4"/>
    <e v="#N/A"/>
    <m/>
    <m/>
    <n v="0"/>
    <m/>
    <m/>
    <s v="Mercadeo"/>
    <e v="#N/A"/>
    <s v="169"/>
    <e v="#N/A"/>
  </r>
  <r>
    <s v="TI"/>
    <n v="1021925462"/>
    <s v="1000302994"/>
    <s v="SALOMÉ NAOMI GARCÍA TABARES"/>
    <s v="Estudios por primera vez"/>
    <x v="1"/>
    <s v="No cumple, estrato 4"/>
    <m/>
    <s v="En publico objetivo"/>
    <s v="2da Cohorte"/>
    <s v="Admitido"/>
    <s v="sngarciat1@eafit.edu.co"/>
    <e v="#N/A"/>
    <s v="salomenaomigarcia10@gmail.com"/>
    <s v="304/344-4317"/>
    <d v="2025-05-16T00:00:00"/>
    <s v="Activo en Programa"/>
    <s v="010-Ingeniería de Sistemas"/>
    <s v="E Ciencias Aplic e Ingeniería"/>
    <d v="2008-05-11T00:00:00"/>
    <n v="17"/>
    <s v="Antioquia"/>
    <s v="Medellín"/>
    <s v="Mujer"/>
    <s v="Soltero"/>
    <s v="NO"/>
    <s v="NO"/>
    <n v="0"/>
    <s v="NO"/>
    <s v="NA"/>
    <s v="NO"/>
    <s v="NA"/>
    <s v="NO"/>
    <s v="NA"/>
    <s v="No"/>
    <s v="304/344-4317"/>
    <s v="NA"/>
    <s v="Estrato 4"/>
    <s v="CL 27 A 53 79"/>
    <s v="Antioquia"/>
    <s v="Bello"/>
    <s v="No aplica, no soy foráneo"/>
    <s v="Propio"/>
    <s v="SI"/>
    <s v="2024"/>
    <s v="AC202430182760"/>
    <n v="302"/>
    <n v="60"/>
    <n v="64"/>
    <s v="Privada"/>
    <s v="Institución Educativa Suárez De La Presentación"/>
    <n v="2024"/>
    <m/>
    <s v="Bello"/>
    <s v="Bachillerato"/>
    <s v="Académico"/>
    <m/>
    <s v="11"/>
    <s v="Escala de 0 - 5"/>
    <s v="Escala de 0 - 5"/>
    <s v="4,5"/>
    <s v="5"/>
    <m/>
    <s v="4,5"/>
    <s v="5"/>
    <m/>
    <n v="4.5"/>
    <n v="4.5"/>
    <m/>
    <n v="4.5"/>
    <n v="4.5"/>
    <m/>
    <s v="4,5"/>
    <s v="5"/>
    <m/>
    <s v="5"/>
    <s v="5"/>
    <m/>
    <s v="5"/>
    <s v="5"/>
    <m/>
    <s v="De 9 y 10"/>
    <n v="4.5"/>
    <s v="NO"/>
    <s v="NA"/>
    <n v="0"/>
    <n v="0"/>
    <s v="No"/>
    <n v="50"/>
    <m/>
    <n v="50"/>
    <m/>
    <n v="45"/>
    <m/>
    <m/>
    <n v="48.333333333333336"/>
    <s v="Con detalle por componente"/>
    <s v="Trabajo social o comunitario"/>
    <s v="Si me preguntan por lo que me apasiona, mi respuesta siempre ha girado en torno al deseo de entender cómo funcionan las cosas y aportar mi granito de arena para mejorar el mundo. Desde pequeña me ha caracterizado la curiosidad y la necesidad de conocimiento, lo que me impulsó a imaginar soluciones a través de la tecnología y me llevó a elegir la Ingeniería de Sistemas como profesión._x000a__x000a_Me visualizo como una profesional que, además de desarrollar soluciones tecnológicas innovadoras, lidera proyectos con impacto social y promueve el progreso de su comunidad. Creo firmemente que la educación es la base de toda transformación, un tesoro que nadie puede arrebatarte una vez adquirido. Por eso, aspiro con crear plataformas digitales accesibles que funcionen incluso sin internet o crear redes locales en espacios comunitarios donde cualquier niño pueda aprender con lo básico. Quiero que la tecnología llegue a veredas y corregimientos donde hoy el conocimiento es un privilegio, y demostrar que esta puede ser una fuerza profundamente humana._x000a__x000a_Bello, mi lugar de residencia, es un lugar resiliente, rico en talento, pero también marcado por desigualdades. Obtener la Beca Talento, no solo me permitiría acceder a una educación de excelencia que aprovecharía con pasión y disciplina; más allá de formarme como ingeniera, esta beca me brindaría las herramientas para retribuir a mi comunidad: diseñando soluciones que mejoren el acceso a la educación, creando redes de mentoría y promoviendo el desarrollo digital local. Así, contribuiré a que más jóvenes descubran el poder transformador de la educación y perciban la tecnología como un camino con propósito._x000a__x000a_EAFIT forma profesionales éticos, críticos y globales, ofreciéndoles a sus estudiantes la capacidad de crear, transformar e inspirar vidas. Aspiro a representar esos valores y ser un puente entre la innovación tecnológica y las necesidades sociales reales."/>
    <s v="Referencias familiares"/>
    <s v="Por la calidad académica."/>
    <s v="Vocación."/>
    <n v="3"/>
    <s v="1"/>
    <s v="NO"/>
    <s v="SI"/>
    <s v="Entre 10 y 11 millones"/>
    <s v="No"/>
    <s v="SI"/>
    <s v="SI"/>
    <s v="Crédito entidad externa"/>
    <s v="NO"/>
    <m/>
    <s v="NO"/>
    <s v=""/>
    <s v=""/>
    <s v="Si"/>
    <s v="Jorge Alberto García Pavoni"/>
    <s v="Casado"/>
    <s v="MAESTRÍA"/>
    <s v="75"/>
    <s v="Pensionado"/>
    <s v="Pensionado"/>
    <s v="Pensionado"/>
    <s v="pensionado"/>
    <n v="3600000"/>
    <s v="Si"/>
    <s v="SI"/>
    <s v="SI"/>
    <s v="Padre responsable y presente en mi formación personal y educativa."/>
    <s v="Si"/>
    <s v="Flor María Tabares Herrera"/>
    <s v="Casado"/>
    <s v="UNIVERSITARIOS"/>
    <s v="50"/>
    <s v="Orientadora"/>
    <s v="Empleado (con contrato laboral)"/>
    <s v="Orientadora de usuarios"/>
    <s v="SURA"/>
    <n v="1583582"/>
    <s v="Si"/>
    <s v="NO"/>
    <s v="SI"/>
    <s v="Madre responsable y presente en mi formación personal y educativa."/>
    <n v="5183582"/>
    <s v="Si"/>
    <s v="Nicol Franchesca García Tabares"/>
    <s v="Hermano / Hermana"/>
    <s v="20"/>
    <s v="Estudiante"/>
    <s v="Universidad EAFIT"/>
    <n v="0"/>
    <s v="No"/>
    <s v=""/>
    <s v=""/>
    <s v=""/>
    <s v=""/>
    <s v=""/>
    <m/>
    <s v=""/>
    <s v=""/>
    <s v=""/>
    <s v=""/>
    <s v=""/>
    <s v=""/>
    <m/>
    <s v=""/>
    <s v="Mi grupo familiar valora profundamente mi educación como pilar fundamental de desarrollo personal. Me brindan un ambiente de apoyo, compromiso y esfuerzo constante para superar los desafíos, enfocados en proporcionarme oportunidades de crecimiento académico y personal. Esta motivación ha sido clave en mi formación y en mi decisión de postularme a esta beca."/>
    <n v="0"/>
    <n v="200000000"/>
    <n v="0"/>
    <n v="0"/>
    <n v="0"/>
    <s v="No"/>
    <s v=""/>
    <s v=""/>
    <n v="0"/>
    <s v="No"/>
    <s v=""/>
    <s v=""/>
    <n v="0"/>
    <s v="No"/>
    <s v=""/>
    <s v=""/>
    <s v=""/>
    <n v="0"/>
    <s v="Mi grupo familiar cuenta con un único bien inmueble&amp;#58; un apartamento que sirve como vivienda principal. No poseemos otros bienes raíces. Los ingresos del hogar se destinan principalmente a cubrir necesidades básicas, por lo que el apoyo económico de la beca representa una ayuda significativa para continuar con mis estudios universitarios."/>
    <n v="4"/>
    <n v="4"/>
    <n v="4"/>
    <n v="4"/>
    <n v="4"/>
    <n v="4"/>
    <n v="4"/>
    <n v="4"/>
    <n v="4"/>
    <n v="4"/>
    <n v="40"/>
    <s v="SI"/>
    <s v="SI, TIPO IE"/>
    <s v="PRI SIN TIPO IE"/>
    <s v="pendiente tipo ie"/>
    <e v="#N/A"/>
    <e v="#N/A"/>
    <m/>
    <n v="3"/>
    <n v="4"/>
    <n v="4"/>
    <n v="5"/>
    <n v="20"/>
    <n v="15"/>
    <n v="20"/>
    <n v="12.5"/>
    <n v="9.5"/>
    <n v="73.5"/>
    <n v="0.4"/>
    <m/>
    <n v="2"/>
    <n v="2.5"/>
    <n v="3"/>
    <n v="2"/>
    <n v="2"/>
    <n v="2.5"/>
    <n v="6"/>
    <n v="2"/>
    <n v="76.5"/>
    <n v="0.4"/>
    <n v="0.4"/>
    <e v="#N/A"/>
    <m/>
    <m/>
    <s v="SI, TIPO IE"/>
    <m/>
    <m/>
    <s v="Ingeniería de Sistemas"/>
    <e v="#N/A"/>
    <s v="010"/>
    <e v="#N/A"/>
  </r>
  <r>
    <s v="CC"/>
    <n v="1022002412"/>
    <s v="1000030888"/>
    <s v="NATALIA ARISTIZABAL VILLALBA"/>
    <s v="Transferencia Externa"/>
    <x v="1"/>
    <s v="No cumple, estrato 4"/>
    <m/>
    <s v="En publico objetivo"/>
    <s v="1er Cohorte"/>
    <s v="Admitido"/>
    <s v="naristizav@eafit.edu.co"/>
    <s v="naristizav@eafit.edu.co"/>
    <s v="n4tyk2015@gmail.com"/>
    <s v="502-0195"/>
    <d v="2025-04-25T00:00:00"/>
    <s v="Activo en Programa"/>
    <s v="168-Psicología"/>
    <s v="Escuela de Artes y Humanidades"/>
    <d v="2004-08-17T00:00:00"/>
    <n v="21"/>
    <s v="Antioquia"/>
    <s v="Medellín"/>
    <s v="Hombre"/>
    <s v="Soltero"/>
    <s v="NO"/>
    <s v="NO"/>
    <n v="0"/>
    <s v="NO"/>
    <s v="NA"/>
    <s v="NO"/>
    <s v="NA"/>
    <s v="NO"/>
    <s v="NA"/>
    <s v="No"/>
    <s v="502-0195"/>
    <s v="NA"/>
    <s v="Estrato 4"/>
    <s v="CL 7 #83 31"/>
    <s v="Antioquia"/>
    <s v="Medellín"/>
    <s v="No aplica, no soy foráneo"/>
    <s v="Propio"/>
    <s v="SI"/>
    <s v="2022"/>
    <s v="AC202242825073"/>
    <n v="336"/>
    <n v="70"/>
    <n v="64"/>
    <s v="Privada"/>
    <s v="COL SAN JOSE DE LAS VEGAS"/>
    <n v="2022"/>
    <s v="Antioquia"/>
    <s v="Medellín"/>
    <s v="BACHILLER"/>
    <s v="ACAD"/>
    <m/>
    <n v="0"/>
    <n v="0"/>
    <s v="PCA TEX"/>
    <m/>
    <m/>
    <m/>
    <m/>
    <m/>
    <m/>
    <m/>
    <m/>
    <m/>
    <m/>
    <m/>
    <m/>
    <m/>
    <m/>
    <m/>
    <m/>
    <m/>
    <m/>
    <m/>
    <m/>
    <m/>
    <s v="Ver PCA TEX"/>
    <n v="3.6"/>
    <s v="SI"/>
    <s v="TIPO: Privada, INSTITUCION: UNIVERSIDAD EIA, AÑO: 0, CIUDAD: Envigado, TITULO: INGENIERO INDUSTRIAL (Medellín)"/>
    <s v="PREGRADO"/>
    <s v=" TITULO: INGENIERO INDUSTRIAL (Medellín)"/>
    <s v="No"/>
    <n v="45"/>
    <m/>
    <n v="45"/>
    <m/>
    <n v="45"/>
    <m/>
    <s v="Admitida al programa que se inscribió"/>
    <n v="45"/>
    <s v="Con detalle por componente"/>
    <s v="Deportistas de alto rendimiento o representativo,Trabajo social o comunitario,Espacios de liderazgo o representación social"/>
    <s v="Me visualizo ejerciendo la psicología como instrumento para mejorar el rendimiento de las empresas, el clima organizacional y la gestión del estrés de los colaboradores; de tal forma me veo trabajando directamente con el área de gestión humana, marketing y ventas, desarrollando programas de bienestar para los colaboradores y junto con esto implementar estrategias para comprender las necesidades del mercado, con el fin de que los mismos colaboradores se apropien de las metas de la empresa como objetivos personales, reinventándose la idea de su trabajo más allá de ser un deber, también como un proyecto que disfruten y por ende se esfuercen por cada día progresar. _x000a__x000a_La obtención de la beca además de ser un apoyo económico es una oportunidad para convertirme en una profesional al servicio de la comunidad, ser una ciudadana del mundo y servirle mejor a este. Con la beca al acceder a una formación de educación superior, obtendré conocimientos y herramientas que compartiré con mi comunidad, por medio de mi ejercicio como life coach y parte de la pastoral juvenil de la arquidiócesis de Medellín, ya que además de mi interés en el ámbito organizacional, también desarrollo mi vocación de servicio desde el acompañamiento personal y espiritual. Además, tanto la ciudad como el mundo hoy en día necesitan de líderes que velen por la calidad de vida de los trabajadores y promuevan los empleos formales, por ende tener estos conocimientos me capacitará para en un futuro acompañar el liderazgo en PYMES y grandes empresas promoviendo culturas organizacionales más humanas y sostenibles."/>
    <s v="Página WEB"/>
    <s v="Proyección laboral."/>
    <s v="Vocación."/>
    <n v="1"/>
    <s v="0"/>
    <s v="SI"/>
    <s v="NO"/>
    <s v="Entre 10 y 11 millones"/>
    <s v="No"/>
    <s v="SI"/>
    <n v="0"/>
    <m/>
    <s v="SI"/>
    <s v="Beca"/>
    <s v="NO"/>
    <s v=""/>
    <s v=""/>
    <s v="No, fallecido"/>
    <n v="0"/>
    <m/>
    <m/>
    <m/>
    <s v=""/>
    <s v=""/>
    <m/>
    <s v=""/>
    <m/>
    <s v=""/>
    <m/>
    <m/>
    <s v=""/>
    <s v="Si"/>
    <s v="Martha Elena Villalba Gonzalez"/>
    <s v="Casado"/>
    <s v="ESPECIALIZACIÓN"/>
    <s v="55"/>
    <s v="Abogada"/>
    <s v="Empleado (con contrato laboral)"/>
    <s v="Abogada"/>
    <s v="Contraloría General de la República"/>
    <n v="8385348"/>
    <s v="Si"/>
    <s v="NO"/>
    <s v="SI"/>
    <m/>
    <n v="8385348"/>
    <s v="No, solo vivo con mis padres"/>
    <s v=""/>
    <s v=""/>
    <s v=""/>
    <s v=""/>
    <s v=""/>
    <m/>
    <s v=""/>
    <s v=""/>
    <s v=""/>
    <s v=""/>
    <s v=""/>
    <s v=""/>
    <m/>
    <s v=""/>
    <s v=""/>
    <s v=""/>
    <s v=""/>
    <s v=""/>
    <s v=""/>
    <m/>
    <s v=""/>
    <s v=""/>
    <n v="0"/>
    <n v="196670000"/>
    <n v="0"/>
    <n v="0"/>
    <n v="0"/>
    <s v="Si"/>
    <s v="Mazda"/>
    <s v="2022"/>
    <n v="80000000"/>
    <s v="No"/>
    <s v=""/>
    <s v=""/>
    <n v="0"/>
    <s v="Si"/>
    <s v="Carro"/>
    <s v="Mazda"/>
    <s v="2024"/>
    <n v="70000000"/>
    <m/>
    <n v="4"/>
    <n v="4"/>
    <n v="4"/>
    <n v="4"/>
    <n v="4"/>
    <n v="4"/>
    <n v="4"/>
    <n v="4"/>
    <n v="4"/>
    <n v="4"/>
    <n v="40"/>
    <s v="SI"/>
    <s v="SI, POR EDAD"/>
    <s v="SI, SON TEX, EN LUGAR DE NOTAS TIENEN PCA"/>
    <s v="ok tienen todos los datos"/>
    <e v="#N/A"/>
    <e v="#N/A"/>
    <m/>
    <n v="3"/>
    <n v="4"/>
    <n v="4"/>
    <n v="10"/>
    <n v="10"/>
    <n v="15"/>
    <n v="15"/>
    <n v="7.5"/>
    <n v="7.5"/>
    <n v="61.5"/>
    <n v="0.4"/>
    <m/>
    <n v="2"/>
    <n v="2.5"/>
    <n v="1"/>
    <n v="2"/>
    <n v="2"/>
    <n v="2.5"/>
    <n v="1"/>
    <n v="2"/>
    <n v="61.5"/>
    <n v="0.4"/>
    <n v="0.4"/>
    <e v="#N/A"/>
    <m/>
    <m/>
    <s v="SI, POR EDAD"/>
    <m/>
    <m/>
    <s v="Psicología"/>
    <e v="#N/A"/>
    <s v="168"/>
    <e v="#N/A"/>
  </r>
  <r>
    <s v="CC"/>
    <n v="1022003457"/>
    <s v="1000377282"/>
    <s v="CAROLINA ACOSTA GIL"/>
    <s v="Estudios por primera vez"/>
    <x v="1"/>
    <s v="Descartado por ingresos altos"/>
    <m/>
    <s v="En publico objetivo"/>
    <s v="3ra Cohorte"/>
    <s v="Admitido"/>
    <s v="cacostag2@eafit.edu.co"/>
    <s v="cacostag2@eafit.edu.co"/>
    <s v="carolina102297@gmail.com"/>
    <s v="573015518798"/>
    <d v="2025-05-30T00:00:00"/>
    <s v="Activo en Programa"/>
    <s v="169-Mercadeo"/>
    <s v="Escuela de Administración"/>
    <d v="2006-10-22T00:00:00"/>
    <n v="19"/>
    <s v="Antioquia"/>
    <s v="Medellín"/>
    <s v="Mujer"/>
    <s v="Soltero"/>
    <s v="NO"/>
    <s v="NO"/>
    <n v="0"/>
    <s v="NO"/>
    <s v="NA"/>
    <s v="NO"/>
    <s v="NA"/>
    <s v="NO"/>
    <s v="NA"/>
    <s v="No"/>
    <s v="301/551-8798"/>
    <s v="573015518798"/>
    <s v="Estrato 3"/>
    <s v="MEDELLÍN CR 20 B #47 113 IN 101 BUENOS AIRES"/>
    <s v="Antioquia"/>
    <s v="Medellín"/>
    <s v="No aplica, no soy foráneo"/>
    <s v="Propio"/>
    <s v="SI"/>
    <s v="2023"/>
    <s v="AC202340779140"/>
    <n v="313"/>
    <n v="61"/>
    <n v="68"/>
    <s v="Privada"/>
    <s v="N.S DEL ROSARIO DE CHIQUINQUIR"/>
    <n v="2023"/>
    <s v="Antioquia"/>
    <s v="Medellín"/>
    <s v="BACHILLER"/>
    <s v="TECN"/>
    <s v="TIPO: Privada, INSTITUCION: N.S DEL ROSARIO DE CHIQUINQUIR, AÑO: 2023, CIUDAD: Medellín, TITULO: BACHILLER"/>
    <s v="11"/>
    <s v="Escala Desempeño"/>
    <s v="Escala de 0 - 5"/>
    <s v="4,5"/>
    <s v="4,5"/>
    <m/>
    <s v="4,5"/>
    <s v="4,5"/>
    <m/>
    <n v="4.5"/>
    <n v="4.5"/>
    <m/>
    <n v="4.5"/>
    <n v="5"/>
    <m/>
    <s v="4,5"/>
    <s v="5"/>
    <m/>
    <s v="4,5"/>
    <s v="4,5"/>
    <m/>
    <s v="4,5"/>
    <s v="4,5"/>
    <m/>
    <s v="De 9 y 10"/>
    <n v="4.625"/>
    <s v="NO"/>
    <s v="NA"/>
    <n v="0"/>
    <n v="0"/>
    <s v="No"/>
    <n v="40"/>
    <m/>
    <n v="45"/>
    <m/>
    <n v="50"/>
    <m/>
    <m/>
    <n v="45"/>
    <s v="Con detalle por componente"/>
    <s v="Trabajo social o comunitario"/>
    <s v="Visualizo mi futuro haciendo uso de todas las habilidades y conocimientos que quedarán como fruto de mi proceso académico, todo con el fin de que mi poder generar un aporte a mi país formando  relaciones en el mercado, para generar incrementos en la economía y mejorar en las estrategias teniendo en cuenta  las necesidades de nuestros consumidores nacionales e internacionales. Aspiro que mi carrera profesional pueda proyectar el deseo de mejorar la economía de un país a  través de la  ética profesional y un enfoque sostenible, a través de una formación integral  e incentivadora .Tengo como principal objetivo forjar un mercado estable en Colombia, en la que sepamos aprovechar al máximo las riquezas naturales, los productos que generamos nacionalmente y la producción local económica que posee nuestro país, para así a través de ideas innovadoras  podamos generar alianzas comerciales estables de manera local e internacional  logrando fomentar la eliminación de barreras que nos impiden conocer las necesidades principales del mercado, porque el  mercado no funciona sin entender lo que necesitan los consumidores en este caso nuestra población local  y los clientes internacionales,por consiguiente procuraré contribuir al desarrollo de mi país comprendiendo el funcionamiento del mercado financiero y promoviendo su mejora mediante la identificación de las necesidades de los consumidores del mercado. _x000a_Con el respaldo académico e integral en EAFIT, visiono mi futuro en el cual mis competencias profesionales, capacidades analíticas y principios éticos, actúen como agentes claves para impulsar un desarrollo en Medellín, desde el turismo cultural, la exportación del talento y campañas que ayuden a darle fuerza y más imagen a nuestra ciudad, dándole así más protagonismo a nuestros productos locales para así dejar una huella global tanto en el mercado como de forma cultural."/>
    <s v="Amigos"/>
    <s v="Por la calidad académica."/>
    <s v="Vocación."/>
    <n v="3"/>
    <s v="1"/>
    <s v="NO"/>
    <s v="NO"/>
    <s v="Entre 11 y 12 millones"/>
    <s v="No"/>
    <n v="0"/>
    <n v="0"/>
    <m/>
    <s v="SI"/>
    <s v="Beca"/>
    <s v="NO"/>
    <s v=""/>
    <s v=""/>
    <s v="Si"/>
    <s v="Ivan Dario Acosta Botero"/>
    <s v="Casado"/>
    <s v="TECNOLOGÍA"/>
    <s v="59"/>
    <s v=" Tecnico de mantimiento aeronautico"/>
    <s v="Empleado (con contrato laboral)"/>
    <s v="Inspector y Tecnico de mantenimiento aeronautico"/>
    <s v=" IEA - Interejecutiva de aviación"/>
    <n v="7549852"/>
    <s v="Si"/>
    <s v="NO"/>
    <s v="SI"/>
    <s v=""/>
    <s v="Si"/>
    <s v="Emma Sarella Gil vivas"/>
    <s v="Casado"/>
    <s v="BACHILLERATO"/>
    <s v="55"/>
    <s v="Comerciantes"/>
    <s v="Independiente (trabaja por cuenta propia)"/>
    <s v="Vendedora"/>
    <s v="Independiente"/>
    <n v="2000000"/>
    <s v="Si"/>
    <s v="NO"/>
    <s v="NO"/>
    <m/>
    <n v="9549852"/>
    <s v="Si"/>
    <s v="Valentina Acosta Gil"/>
    <s v="Hermano / Hermana"/>
    <s v="26"/>
    <s v="Psicologa"/>
    <s v="No aplica"/>
    <n v="0"/>
    <s v="No"/>
    <s v=""/>
    <s v=""/>
    <s v=""/>
    <s v=""/>
    <s v=""/>
    <m/>
    <s v=""/>
    <s v=""/>
    <s v=""/>
    <s v=""/>
    <s v=""/>
    <s v=""/>
    <m/>
    <s v=""/>
    <s v=""/>
    <n v="30000000"/>
    <n v="0"/>
    <n v="0"/>
    <n v="0"/>
    <n v="0"/>
    <s v="No"/>
    <s v=""/>
    <s v=""/>
    <n v="0"/>
    <s v="No"/>
    <s v=""/>
    <s v=""/>
    <n v="0"/>
    <s v="No"/>
    <s v=""/>
    <s v=""/>
    <s v=""/>
    <n v="0"/>
    <m/>
    <n v="4"/>
    <n v="4"/>
    <n v="4"/>
    <n v="4"/>
    <n v="4"/>
    <n v="4"/>
    <n v="4"/>
    <n v="4"/>
    <n v="4"/>
    <n v="4"/>
    <n v="40"/>
    <s v="SI"/>
    <m/>
    <s v="SI, SON PRI"/>
    <s v="ok tienen todos los datos"/>
    <n v="0.4"/>
    <n v="20242"/>
    <m/>
    <n v="3"/>
    <n v="10"/>
    <n v="8"/>
    <n v="5"/>
    <n v="20"/>
    <n v="15"/>
    <n v="15"/>
    <n v="10"/>
    <n v="8.5"/>
    <n v="73.5"/>
    <n v="0.4"/>
    <m/>
    <n v="2"/>
    <n v="2.5"/>
    <n v="1"/>
    <n v="3"/>
    <n v="2"/>
    <n v="2.5"/>
    <n v="1"/>
    <n v="4.5"/>
    <n v="73"/>
    <n v="0.4"/>
    <n v="0.4"/>
    <e v="#N/A"/>
    <m/>
    <m/>
    <n v="0"/>
    <m/>
    <m/>
    <s v="Mercadeo"/>
    <e v="#N/A"/>
    <s v="169"/>
    <e v="#N/A"/>
  </r>
  <r>
    <s v="TI"/>
    <n v="1022003714"/>
    <s v="1000348816"/>
    <s v="ESTEBAN ABAD ORREGO VASCO"/>
    <s v="Transferencia Externa"/>
    <x v="1"/>
    <s v="No cumple, otros estudios de pregrado"/>
    <m/>
    <s v="En publico objetivo"/>
    <s v="2da Cohorte"/>
    <s v="Admitido"/>
    <s v="eaorregov@eafit.edu.co"/>
    <s v="eaorregov@eafit.edu.co"/>
    <s v="esteban.vasco.1999@gmail.com"/>
    <s v="573007396959"/>
    <d v="2025-05-16T00:00:00"/>
    <s v="Activo en Programa"/>
    <s v="001-Administración de Negocios"/>
    <s v="Escuela de Administración"/>
    <d v="2007-04-29T00:00:00"/>
    <n v="18"/>
    <s v="Antioquia"/>
    <s v="Medellín"/>
    <s v="Hombre"/>
    <s v="Soltero"/>
    <s v="NO"/>
    <s v="NO"/>
    <n v="0"/>
    <s v="NO"/>
    <s v="NA"/>
    <s v="NO"/>
    <s v="NA"/>
    <s v="NO"/>
    <s v="NA"/>
    <s v="No"/>
    <s v="611-5519"/>
    <s v="573007396959"/>
    <s v="Estrato 3"/>
    <s v="CR 47 A #39 A SUR 22"/>
    <s v="Antioquia"/>
    <s v="Envigado"/>
    <s v="No aplica, no soy foráneo"/>
    <s v="Familiar"/>
    <s v="SI"/>
    <s v="2023"/>
    <s v="AC202340076331"/>
    <n v="368"/>
    <n v="70"/>
    <n v="71"/>
    <s v="Privada"/>
    <s v="COLEGIO PADRE RAMON ARCILA R."/>
    <n v="2023"/>
    <s v="Antioquia"/>
    <s v="Sabaneta"/>
    <s v="BACHILLER"/>
    <s v="ACAD"/>
    <s v="TIPO: Privada, INSTITUCION: COLEGIO PADRE RAMON ARCILA R., AÑO: 2023, CIUDAD: Sabaneta, TITULO: BACHILLER"/>
    <n v="0"/>
    <n v="0"/>
    <s v="PCA TEX"/>
    <m/>
    <m/>
    <m/>
    <m/>
    <m/>
    <m/>
    <m/>
    <m/>
    <m/>
    <m/>
    <m/>
    <m/>
    <m/>
    <m/>
    <m/>
    <m/>
    <m/>
    <m/>
    <m/>
    <m/>
    <m/>
    <s v="Ver PCA TEX"/>
    <n v="3.9"/>
    <s v="SI"/>
    <s v="TIPO: Pública, INSTITUCION: UNIVERSIDAD DE ANTIOQUIA, AÑO: 0, CIUDAD: Medellín, TITULO: ADMINISTRADOR DE EMPRESAS (Medellín)"/>
    <s v="PREGRADO"/>
    <s v=" TITULO: ADMINISTRADOR DE EMPRESAS (Medellín)"/>
    <s v="No"/>
    <n v="45"/>
    <m/>
    <n v="40"/>
    <m/>
    <n v="45"/>
    <m/>
    <s v="Estudia en la UDEA sin reconocimiento de materias, quiere estudiar en EAFIT porque le gusta mas el ambiente y quiere proyectarse en un futuro con su propia empresa y siente que la U apoya mucho los emprendimientos"/>
    <n v="43.333333333333336"/>
    <s v="Con detalle por componente"/>
    <s v="Trabajo social o comunitario"/>
    <s v="Desde pequeño he querido estudiar administración de negocios porque siempre he pensado en crear una empresa que se destaque por su excelente gestión humana y la calidad de los productos o servicios. Mi objetivo es construir una organización que contribuya al bienestar de los empleados y a sus familias, ofreciendo salarios bien remunerados, jornadas equilibradas y reducidas, y programas internos que promuevan el desarrollo personal, físico y psicológico._x000a__x000a_Gracias a la beca podré estudiar el programa de administración de negocios en la universidad EAFIT,  la cual siempre ha destacado en su educación de emprendedores y en la creación de startups con ideas innovadoras basada en valores como la integridad, la excelencia y la tolerancia lo cuales son importantes para las buenas prácticas empresariales, para la solución de los distintos problemas sociales y el medio ambiente._x000a__x000a_Se que los diferentes programas de la universidad me permitirán diseñar soluciones a los problemas de la sociedad buscando siempre un bienestar colectivo y con el medio ambiente. Mi propósito es aportar a la región generando empleo digno y un modelo empresarial que inspire a los demás a emprender con conciencia social."/>
    <s v="Página WEB"/>
    <s v="Universidad reconocida."/>
    <s v="Vocación."/>
    <n v="3"/>
    <s v="0"/>
    <s v="NO"/>
    <s v="NO"/>
    <s v="Entre 2 y 3 millones"/>
    <s v="No"/>
    <n v="0"/>
    <n v="0"/>
    <m/>
    <s v="SI"/>
    <s v="Beca"/>
    <s v="NO"/>
    <s v=""/>
    <s v=""/>
    <s v="No, fallecido"/>
    <n v="0"/>
    <m/>
    <m/>
    <m/>
    <s v=""/>
    <s v=""/>
    <m/>
    <s v=""/>
    <m/>
    <s v=""/>
    <m/>
    <m/>
    <s v="Murió cuando estaba muy pequeño pero de lo que mi madre me dice y recuerdo es que era una persona muy trabajadora, colaborativa y amante de la naturaleza."/>
    <s v="Si"/>
    <s v="Maria Victoria Vasco Ospina"/>
    <s v="Soltero"/>
    <s v="LINCENCIATURA"/>
    <s v="59"/>
    <s v="Delineante de arquitectura"/>
    <s v="Independiente (trabaja por cuenta propia)"/>
    <s v="Delineante de arquitectura, Ademas de ser la encargada de hacer las diligencias necesarias para los permisos de construcción en las entidades"/>
    <s v="Independiente"/>
    <n v="2500000"/>
    <s v="Si"/>
    <s v="NO"/>
    <s v="NO"/>
    <s v="Mi madre es una persona muy trabajadora y colaborativa, siempre ha trabajado como independiente por lo que siempre he tenido un acompañamiento cercano por parte de ella en los diferentes procesos. (Colegio, universidad, idiomas, deporte y otros más)."/>
    <n v="2500000"/>
    <s v="Si"/>
    <s v="Luz Marina Vasco Ospina"/>
    <s v="Tío / Tía"/>
    <s v="60"/>
    <s v="Administradora de empresa"/>
    <s v="Villanueva casa de velacion"/>
    <n v="4000000"/>
    <s v="Si"/>
    <s v="Mery Ospina de Vasco"/>
    <s v="Abuelo / Abuela"/>
    <s v="88"/>
    <s v="Ama de casa"/>
    <s v=""/>
    <n v="1800000"/>
    <s v="Si"/>
    <s v=""/>
    <s v=""/>
    <s v=""/>
    <s v=""/>
    <s v=""/>
    <m/>
    <s v=""/>
    <s v=""/>
    <n v="193661000"/>
    <n v="0"/>
    <n v="0"/>
    <n v="0"/>
    <n v="0"/>
    <s v="No"/>
    <s v=""/>
    <s v=""/>
    <n v="0"/>
    <s v="No"/>
    <s v=""/>
    <s v=""/>
    <n v="0"/>
    <s v="No"/>
    <s v=""/>
    <s v=""/>
    <s v=""/>
    <n v="0"/>
    <s v="La casa es una herencia de mi abuelo (Fallecido)."/>
    <n v="4"/>
    <n v="3"/>
    <n v="3"/>
    <n v="3"/>
    <n v="4"/>
    <n v="3"/>
    <n v="4"/>
    <n v="3"/>
    <n v="3"/>
    <n v="4"/>
    <n v="34"/>
    <s v="SI"/>
    <m/>
    <s v="SI, SON TEX, EN LUGAR DE NOTAS TIENEN PCA"/>
    <s v="ok tienen todos los datos"/>
    <s v="Negada Talento"/>
    <n v="20241"/>
    <m/>
    <n v="3"/>
    <n v="10"/>
    <n v="8"/>
    <n v="15"/>
    <n v="10"/>
    <n v="10"/>
    <n v="15"/>
    <n v="15.5"/>
    <n v="15.5"/>
    <n v="75.5"/>
    <n v="0.4"/>
    <m/>
    <n v="2"/>
    <n v="3.5"/>
    <n v="8"/>
    <n v="2"/>
    <n v="2"/>
    <n v="3.5"/>
    <n v="8"/>
    <n v="2"/>
    <n v="73.5"/>
    <n v="0.5"/>
    <n v="0.5"/>
    <e v="#N/A"/>
    <m/>
    <m/>
    <n v="0"/>
    <m/>
    <m/>
    <s v="Administración de Negocios"/>
    <e v="#N/A"/>
    <s v="001"/>
    <e v="#N/A"/>
  </r>
  <r>
    <s v="TI"/>
    <n v="1022003837"/>
    <s v="1000404912"/>
    <s v="SAMUEL LOPEZ BONILLA"/>
    <s v="Estudios por primera vez"/>
    <x v="1"/>
    <s v="No cumple, estrato 4"/>
    <s v="Año graduacion e icfes 2025 - ver colegio"/>
    <s v="En publico objetivo"/>
    <s v="1er Cohorte"/>
    <s v="Admitido"/>
    <s v="slopezb8@eafit.edu.co"/>
    <e v="#N/A"/>
    <s v="samuellb2104@gmail.com"/>
    <s v="573053346928"/>
    <d v="2025-04-25T00:00:00"/>
    <s v="Activo en Programa"/>
    <s v="010-Ingeniería de Sistemas"/>
    <s v="E Ciencias Aplic e Ingeniería"/>
    <d v="2007-07-21T00:00:00"/>
    <n v="18"/>
    <s v="Antioquia"/>
    <s v="Medellín"/>
    <s v="Hombre"/>
    <s v="Soltero"/>
    <s v="NO"/>
    <s v="NO"/>
    <n v="0"/>
    <s v="NO"/>
    <s v="NA"/>
    <s v="NO"/>
    <s v="NA"/>
    <s v="NO"/>
    <s v="NA"/>
    <s v="No"/>
    <s v="604/570-2616"/>
    <s v="573053346928"/>
    <s v="Estrato 4"/>
    <s v="CL 75 AB SUR 52 D 332 TO 1 AP 304"/>
    <s v="Antioquia"/>
    <s v="La Estrella"/>
    <s v="No aplica, no soy foráneo"/>
    <s v="Familiar"/>
    <s v="SI"/>
    <s v="2025"/>
    <s v="AC202511077312"/>
    <n v="376"/>
    <n v="76"/>
    <n v="72"/>
    <s v="Privada"/>
    <s v="COLEGIO CANADIENSE"/>
    <n v="2025"/>
    <s v="Antioquia"/>
    <s v="La Estrella"/>
    <s v="BACHILLER"/>
    <s v="ACAD"/>
    <s v="TIPO: Privada, INSTITUCION: COLEGIO CANADIENSE, AÑO: 2025, CIUDAD: La Estrella, TITULO: BACHILLER"/>
    <s v="12"/>
    <s v="Escala de 0 - 100"/>
    <s v="Escala de 0 - 100"/>
    <s v="100"/>
    <s v="100"/>
    <m/>
    <s v="92"/>
    <s v="100"/>
    <m/>
    <n v="96"/>
    <n v="90"/>
    <m/>
    <n v="89"/>
    <n v="95"/>
    <m/>
    <s v="90"/>
    <s v="89"/>
    <m/>
    <s v="91"/>
    <s v="100"/>
    <m/>
    <s v="100"/>
    <s v="100"/>
    <m/>
    <s v="De 9 y 10"/>
    <n v="92.5"/>
    <s v="NO"/>
    <s v="NA"/>
    <n v="0"/>
    <n v="0"/>
    <s v="No"/>
    <n v="50"/>
    <m/>
    <n v="50"/>
    <m/>
    <n v="50"/>
    <m/>
    <m/>
    <n v="50"/>
    <s v="Con detalle por componente"/>
    <s v="Deportistas de alto rendimiento o representativo,Trabajo social o comunitario,Espacios de liderazgo o representación social"/>
    <s v="Al ser admitido en el programa de Ingeniería de Sistemas, me visualizo como un profesional que contribuye activamente a la innovación del país y al bienestar de la comunidad.  Aspiro aplicar mis conocimientos para desarrollar soluciones tecnológicas que respondan a problemáticas relacionadas a necesidades básicas y reales._x000a__x000a_Mi propósito es ejercer la carrera con compromiso, enfrentando desafíos concretos con fundamentos teóricos y prácticos y aportando soluciones sostenibles desde el trabajo en equipo._x000a__x000a_Me motiva entender cómo a través de la informática, las herramientas tecnológicas y matemáticas actuales, podemos enfrentar y resolver conflictos cotidianos o darle una solución más eficaz con responsabilidad y sentido social, pensando en los usuarios y su interacción con los medios y su interfaz._x000a__x000a_Sueño con crear plataformas accesibles que respondan a necesidades económicas, sociales, recreativas y de seguridad informática en mi región.  _x000a__x000a_Para mí, esta beca representa mucho más que un apoyo económico, que realmente necesito en este momento: es un voto de confianza y una oportunidad transformadora.  Creo firmemente que cuando se brinda acceso a una  educación de calidad a quienes tenemos las  capacidades y determinación, los cambios se multiplican y general impacto real en la sociedad.  _x000a__x000a_Gracias a esta beca, no solo podré impulsar mi proyecto de vida, sino también inspirar a otros, demostrando que el conocimiento, la constancia y el compromiso pueden convertirse en herramientas poderosas para transformar comunidades.  Estoy convencido de que el lugar de origen ni la situación económica definen el potencial, sino la voluntad de aportar al bienestar común y seguir avanzando en el desarrollo de nuevas tecnologías y su implementación para el futuro de nuestra comunidad."/>
    <s v="A través del Colegio"/>
    <s v="Por la calidad académica."/>
    <s v="Alta proyección de ingresos."/>
    <n v="1"/>
    <s v="0"/>
    <s v="SI"/>
    <s v="NO"/>
    <s v="Entre 3 y 4 millones"/>
    <s v="No"/>
    <s v="NO"/>
    <n v="0"/>
    <m/>
    <s v="SI"/>
    <s v="Beca"/>
    <s v="NO"/>
    <s v=""/>
    <s v=""/>
    <s v="Si"/>
    <s v="SERGIO ENRIQUE LÓPEZ QUINTERO"/>
    <s v="Otro"/>
    <s v="TECNOLOGÍA"/>
    <s v="50"/>
    <s v="NA"/>
    <s v="Otra"/>
    <s v="NA"/>
    <s v="NA"/>
    <n v="0"/>
    <s v="No"/>
    <s v="NO"/>
    <s v="NO"/>
    <s v="Padre ausente, no tengo información sobre su residencia ni empleo"/>
    <s v="Si"/>
    <s v="SANDRA LUCÍA BONILLA RAMÍREZ"/>
    <s v="Otro"/>
    <s v="UNIVERSITARIOS"/>
    <s v="55"/>
    <s v="Administradora de empresas"/>
    <s v="Empleado (con contrato laboral)"/>
    <s v="Gerente de oficina"/>
    <s v="Agencia de Viajes y Turismo AVIATUR S.A.S"/>
    <n v="4044940"/>
    <s v="Si"/>
    <s v="SI"/>
    <s v="NO"/>
    <s v="Recibe comisiones variables este año ha tenido un promedio de $ 994.152 mensuales"/>
    <n v="4044940"/>
    <s v="No, solo vivo con mis padres"/>
    <s v=""/>
    <s v=""/>
    <s v=""/>
    <s v=""/>
    <s v=""/>
    <m/>
    <s v=""/>
    <s v=""/>
    <s v=""/>
    <s v=""/>
    <s v=""/>
    <s v=""/>
    <m/>
    <s v=""/>
    <s v=""/>
    <s v=""/>
    <s v=""/>
    <s v=""/>
    <s v=""/>
    <m/>
    <s v=""/>
    <s v=""/>
    <n v="0"/>
    <n v="250000000"/>
    <n v="0"/>
    <n v="0"/>
    <n v="0"/>
    <s v="No"/>
    <s v=""/>
    <s v=""/>
    <n v="0"/>
    <s v="No"/>
    <s v=""/>
    <s v=""/>
    <n v="0"/>
    <s v="No"/>
    <s v=""/>
    <s v=""/>
    <s v=""/>
    <n v="0"/>
    <m/>
    <n v="4"/>
    <n v="4"/>
    <n v="3"/>
    <n v="4"/>
    <n v="4"/>
    <n v="4"/>
    <n v="4"/>
    <n v="4"/>
    <n v="4"/>
    <n v="4"/>
    <n v="39"/>
    <s v="SI"/>
    <m/>
    <s v="SI, SON PRI"/>
    <s v="ok tienen todos los datos"/>
    <e v="#N/A"/>
    <e v="#N/A"/>
    <m/>
    <n v="3"/>
    <n v="4"/>
    <n v="4"/>
    <n v="15"/>
    <n v="20"/>
    <n v="15"/>
    <n v="20"/>
    <n v="13.5"/>
    <n v="12.5"/>
    <n v="86.5"/>
    <n v="0.4"/>
    <n v="0.4"/>
    <n v="2"/>
    <n v="3.5"/>
    <n v="6"/>
    <n v="1"/>
    <n v="2"/>
    <n v="3.5"/>
    <n v="7"/>
    <n v="1"/>
    <n v="87.5"/>
    <n v="0.4"/>
    <n v="0.5"/>
    <e v="#N/A"/>
    <m/>
    <m/>
    <n v="0"/>
    <m/>
    <m/>
    <s v="Ingeniería de Sistemas"/>
    <e v="#N/A"/>
    <s v="010"/>
    <e v="#N/A"/>
  </r>
  <r>
    <s v="TI"/>
    <n v="1022003842"/>
    <s v="1000408127"/>
    <s v="ALEJANDRA PEREZ CATAÑO"/>
    <s v="Estudios por primera vez"/>
    <x v="1"/>
    <s v="Descartado por ingresos altos"/>
    <m/>
    <s v="En publico objetivo"/>
    <s v="3ra Cohorte"/>
    <s v="Admitido"/>
    <s v="aperezc9@eafit.edu.co"/>
    <e v="#N/A"/>
    <s v="alejandraperezcatano@gmail.com"/>
    <s v="573148797033"/>
    <d v="2025-05-30T00:00:00"/>
    <s v="Activo en Programa"/>
    <s v="002-Negocios Internacionales"/>
    <s v="Escuela de Administración"/>
    <d v="2007-07-22T00:00:00"/>
    <n v="18"/>
    <s v="Antioquia"/>
    <s v="Medellín"/>
    <s v="Mujer"/>
    <s v="Soltero"/>
    <s v="NO"/>
    <s v="NO"/>
    <n v="0"/>
    <s v="NO"/>
    <s v="NA"/>
    <s v="NO"/>
    <s v="NA"/>
    <s v="NO"/>
    <s v="NA"/>
    <s v="No"/>
    <s v="604/605-7263"/>
    <s v="573148797033"/>
    <s v="Estrato 3"/>
    <s v="CL 21 A #78 52"/>
    <s v="Antioquia"/>
    <s v="Medellín"/>
    <s v="No aplica, no soy foráneo"/>
    <s v="Propio"/>
    <s v="SI"/>
    <s v="2024"/>
    <s v="AC202435954482"/>
    <n v="343"/>
    <n v="73"/>
    <n v="68"/>
    <s v="Pública"/>
    <s v="I.E. INEM JOSE FELIX DE RESTRE"/>
    <n v="2024"/>
    <s v="Antioquia"/>
    <s v="Medellín"/>
    <s v="BACHILLER"/>
    <s v="ACAD"/>
    <s v="TIPO: Pública, INSTITUCION: I.E. INEM JOSE FELIX DE RESTRE, AÑO: 2024, CIUDAD: Medellín, TITULO: BACHILLER"/>
    <s v="11"/>
    <s v="Escala Cualitativa"/>
    <s v="Escala de 0 - 5"/>
    <s v="4,5"/>
    <s v="4"/>
    <m/>
    <s v="4,5"/>
    <s v="4,5"/>
    <m/>
    <n v="5"/>
    <n v="4"/>
    <m/>
    <n v="5"/>
    <n v="5"/>
    <m/>
    <s v="4,5"/>
    <s v="5"/>
    <m/>
    <s v="4,5"/>
    <s v="4,5"/>
    <m/>
    <s v="4,5"/>
    <s v="5"/>
    <m/>
    <s v="De 9 y 10"/>
    <n v="4.75"/>
    <s v="NO"/>
    <s v="NA"/>
    <n v="0"/>
    <n v="0"/>
    <s v="No"/>
    <n v="45"/>
    <m/>
    <n v="45"/>
    <m/>
    <n v="45"/>
    <m/>
    <m/>
    <n v="45"/>
    <s v="Con detalle por componente"/>
    <s v="Ninguna"/>
    <s v="Me visualizo siendo negociadora internacional con un corazón apasionado; el cual vibra por enriquecer su conocimiento integralmente durante el proceso de crecimiento hacia la vida académica profesional y después de ella. Me motiva la idea de tener la oportunidad de formarme en una de las mejores universidades de Colombia en cuanto a la administración y las negociaciones, porque soy consciente de que EAFIT cuenta con los mejores recursos académicos y humanos para la formación de profesionales íntegros, y no dudo en que me soportará firmemente para llevar a cabo mis objetivos; los cuales no solo promueven la innovación a la hora de visionar el mercado a escala nacional e internacional de una forma estratégica que permita una resolución de conflictos apropiada, sino que además se ajusta a las necesidades del mundo, sin perder de vista lo más valioso; la buena comunicación._x000a__x000a_Asimismo, considero que la posibilidad de estudiar con la beca de Nutresa en EAFIT se encuentra ligada a muchas de las necesidades de los ciudadanos de Medellín como lo soy yo. Ya que la institución se caracteriza por colaborar y acompañar a las microempresas que poseen ideas novedosas en su proceso para alcanzar el éxito. Tengo la confianza puesta en mis habilidades emprendedoras y en el apoyo que me brindará la institución para transitar de forma óptima y sagaz la trayectoria que implica un proyecto creativo en el mercado, para poder transformar y beneficiar a mi región con las aptitudes que desarrollaré en el proceso._x000a__x000a_Una mente abierta será mi mejor aliada en el mundo laboral cuando ejerza mi profesión como negociadora internacional. Motivo por el cual, considero que soy una candidata dispuesta a dejar que su vida se llene de bondades mientras trabaja y se esfuerza diariamente por alcanzar sus metas."/>
    <s v="Otro"/>
    <s v="Internacionalización."/>
    <s v="Vocación."/>
    <n v="2"/>
    <s v="0"/>
    <s v="SI"/>
    <s v="NO"/>
    <s v="Entre 6 y 7 millones"/>
    <s v="No"/>
    <n v="0"/>
    <n v="0"/>
    <m/>
    <s v="SI"/>
    <s v="Beca"/>
    <s v="NO"/>
    <s v=""/>
    <s v=""/>
    <s v="Si"/>
    <s v="Rene Alberto Perez Giraldo"/>
    <s v="Soltero"/>
    <s v="UNIVERSITARIOS"/>
    <s v="55"/>
    <s v="Químico Farmacéutico"/>
    <s v="Independiente (trabaja por cuenta propia)"/>
    <s v="No aplica"/>
    <s v="No aplica"/>
    <n v="4427696"/>
    <s v="Si"/>
    <s v="NO"/>
    <s v="NO"/>
    <s v=""/>
    <s v="Si"/>
    <s v="Liliana Patricia Cataño Padilla"/>
    <s v="Casado"/>
    <s v="MAESTRÍA"/>
    <s v="47"/>
    <s v="Licenciatura en educación"/>
    <s v="Empleado (con contrato laboral)"/>
    <s v="Docente de aula"/>
    <s v="Secretaría de educación de Medellín6.458.479"/>
    <n v="6458479"/>
    <s v="Si"/>
    <s v="SI"/>
    <s v="NO"/>
    <m/>
    <n v="10886175"/>
    <s v="No, solo vivo con mis padres"/>
    <s v=""/>
    <s v=""/>
    <s v=""/>
    <s v=""/>
    <s v=""/>
    <m/>
    <s v=""/>
    <s v=""/>
    <s v=""/>
    <s v=""/>
    <s v=""/>
    <s v=""/>
    <m/>
    <s v=""/>
    <s v=""/>
    <s v=""/>
    <s v=""/>
    <s v=""/>
    <s v=""/>
    <m/>
    <s v=""/>
    <s v=""/>
    <n v="0"/>
    <n v="211234000"/>
    <n v="0"/>
    <n v="0"/>
    <n v="0"/>
    <s v="No"/>
    <s v=""/>
    <s v=""/>
    <n v="0"/>
    <s v="No"/>
    <s v=""/>
    <s v=""/>
    <n v="0"/>
    <s v="Si"/>
    <s v="Moto"/>
    <s v="Honda"/>
    <s v="2008"/>
    <n v="1000000"/>
    <m/>
    <n v="4"/>
    <n v="3"/>
    <n v="3"/>
    <n v="4"/>
    <n v="4"/>
    <n v="3"/>
    <n v="4"/>
    <n v="3"/>
    <n v="3"/>
    <n v="4"/>
    <n v="35"/>
    <s v="SI"/>
    <m/>
    <s v="SI, SON PRI"/>
    <s v="ok tienen todos los datos"/>
    <e v="#N/A"/>
    <e v="#N/A"/>
    <m/>
    <n v="3"/>
    <n v="10"/>
    <n v="8"/>
    <n v="10"/>
    <n v="20"/>
    <n v="15"/>
    <n v="15"/>
    <n v="7"/>
    <n v="7"/>
    <n v="77"/>
    <n v="0.4"/>
    <m/>
    <n v="3.5"/>
    <n v="2.5"/>
    <n v="0"/>
    <n v="1"/>
    <n v="3.5"/>
    <n v="2.5"/>
    <n v="0"/>
    <n v="1"/>
    <n v="75"/>
    <n v="0.4"/>
    <n v="0.4"/>
    <e v="#N/A"/>
    <m/>
    <m/>
    <n v="0"/>
    <m/>
    <m/>
    <s v="Negocios Internacionales"/>
    <e v="#N/A"/>
    <s v="002"/>
    <e v="#N/A"/>
  </r>
  <r>
    <s v="TI"/>
    <n v="1022003851"/>
    <s v="1000403363"/>
    <s v="JORGE IVAN TAMAYO CALDERON"/>
    <s v="Estudios por primera vez"/>
    <x v="1"/>
    <s v="No cumple, estrato 4"/>
    <m/>
    <s v="En publico objetivo"/>
    <s v="1er Cohorte"/>
    <s v="Admitido"/>
    <s v="jitamayoc@eafit.edu.co"/>
    <s v="jitamayoc@eafit.edu.co"/>
    <s v="yoyotamayo@outlook.es"/>
    <s v="573024568154"/>
    <d v="2025-04-25T00:00:00"/>
    <s v="Activo en Programa"/>
    <s v="084-Derecho"/>
    <s v="Escuela de Derecho"/>
    <d v="2007-05-28T00:00:00"/>
    <n v="18"/>
    <s v="Antioquia"/>
    <s v="Medellín"/>
    <s v="Hombre"/>
    <s v="Soltero"/>
    <s v="NO"/>
    <s v="NO"/>
    <n v="0"/>
    <s v="NO"/>
    <s v="NA"/>
    <s v="NO"/>
    <s v="NA"/>
    <s v="NO"/>
    <s v="NA"/>
    <s v="No"/>
    <s v="318/445-0739"/>
    <s v="573024568154"/>
    <s v="Estrato 4"/>
    <s v="VEGAS DEL RÍO"/>
    <s v="Norte de Santander"/>
    <s v="Cúcuta"/>
    <s v="Si"/>
    <s v="Propio"/>
    <s v="SI"/>
    <s v="2024"/>
    <s v="AC202433297934"/>
    <n v="363"/>
    <n v="77"/>
    <n v="69"/>
    <s v="Privada"/>
    <s v="COL CALASANZ"/>
    <n v="2024"/>
    <s v="Norte de Santander"/>
    <s v="Cúcuta"/>
    <s v="BACHILLER"/>
    <s v="ACAD"/>
    <s v="TIPO: Privada, INSTITUCION: COL CALASANZ, AÑO: 2024, CIUDAD: Cúcuta, TITULO: BACHILLER"/>
    <s v="11"/>
    <s v="Escala de 0 - 5"/>
    <s v="Escala de 0 - 5"/>
    <s v="4"/>
    <s v="4"/>
    <m/>
    <s v="4"/>
    <s v="4"/>
    <m/>
    <n v="4"/>
    <n v="4"/>
    <m/>
    <n v="4"/>
    <n v="4"/>
    <m/>
    <s v="4"/>
    <s v="4"/>
    <m/>
    <s v="4"/>
    <s v="3,4"/>
    <m/>
    <s v="4"/>
    <s v="4,5"/>
    <m/>
    <s v="De 9 y 10"/>
    <n v="4"/>
    <s v="NO"/>
    <s v="NA"/>
    <n v="0"/>
    <n v="0"/>
    <s v="No"/>
    <n v="50"/>
    <m/>
    <n v="50"/>
    <m/>
    <n v="45"/>
    <m/>
    <s v="Candidato muy sólido y con aptitudes para el estudio del Derecho"/>
    <n v="48.333333333333336"/>
    <s v="Con detalle por componente"/>
    <s v="Artísticas o culturales,Espacios de liderazgo o representación social,Otras (por ejemplo, un talento extraordinario)"/>
    <s v="Si bien sabemos, la ley es la base que sostiene nuestra sociedad, como los cimientos de una construcción. El problema surge cuando quienes deberían mantener la base en correcto estado, la deterioran lentamente con sus acciones; estas ideas erróneas derivan en un mismo resultado, la destrucción de la base fundamental._x000a_La ley en Colombia es un tema delicado, se mire desde donde se mire, pues muchos engranajes de este mecanismo son los que fallan y siguen fallando en la actualidad. No obstante, un solo engranaje que juegue a favor de la justicia y equidad universal puede ser aquel que demuestre que no todo está perdido, además de guiar a otros por las riendas del buen camino, ese es mi ideal._x000a_ Me visualizo como un abogado de máximos principios y justicia, que luche por la igualdad mirando todas las partes equitativamente, con una visión enfocada en la equidad que nos guíe por el camino hacia una futura Colombia donde lo correcto prevalezca y lo justo brille. _x000a_La obtención de la beca sería solamente el inicio de esta gran historia, siendo el primer paso que me permitirá orientar mis esfuerzos hacia un objetivo más que claro, en el cual fallar no es una opción, pues mi misión es contribuir a la construcción de una sociedad realmente justa, donde el Derecho verdaderamente demuestre que está ahí para el servicio de todos._x000a_Cúcuta, la ciudad donde crecí, me ha hecho ver la cruda, pero innegable realidad, donde las clases sociales dividen a las personas y se olvidan de ellas, donde los más vulnerables parecen ser invisibles. Una sociedad donde la brecha social causa que la moral se haya perdido y la igualdad es nula, es lo que transformaré con mi vocación y habilidad, en una civilización sostenible e igualitaria en pro de la vida."/>
    <s v="A través del Colegio"/>
    <s v="Por recomendación."/>
    <s v="Vocación."/>
    <n v="3"/>
    <s v="1"/>
    <s v="SI"/>
    <s v="NO"/>
    <s v="Entre 9 y 10 millones"/>
    <s v="Si"/>
    <s v="SI"/>
    <s v="NO"/>
    <m/>
    <n v="0"/>
    <m/>
    <s v="NO"/>
    <s v=""/>
    <s v=""/>
    <s v="No, fallecido"/>
    <n v="0"/>
    <m/>
    <m/>
    <m/>
    <s v=""/>
    <s v=""/>
    <m/>
    <s v=""/>
    <m/>
    <s v=""/>
    <m/>
    <m/>
    <s v=""/>
    <s v="Si"/>
    <s v="Claudia Patricia Calderon Henao"/>
    <s v="Otro"/>
    <s v="UNIVERSITARIOS"/>
    <s v="48"/>
    <s v="Comunicadora social"/>
    <s v="Emprendedor (inicia un proyecto productivo o negocio propio)"/>
    <s v="Empresaria"/>
    <s v="Plastilux c.a"/>
    <n v="3500000"/>
    <s v="Si"/>
    <s v="SI"/>
    <s v="NO"/>
    <s v="es madre, cabeza de familia, mujer trabajadora y muy responsable con sus obligaciones."/>
    <n v="3500000"/>
    <s v="Si"/>
    <s v="Ana Sofia Tamayo Calderón"/>
    <s v="Hermano / Hermana"/>
    <s v="16"/>
    <s v="Estudiante"/>
    <s v="Colegio Paraíso Antares"/>
    <n v="0"/>
    <s v="No"/>
    <s v="Beatriz henao zea"/>
    <s v="Abuelo / Abuela"/>
    <s v="75"/>
    <s v="abuela"/>
    <s v=""/>
    <n v="0"/>
    <s v="No"/>
    <s v=""/>
    <s v=""/>
    <s v=""/>
    <s v=""/>
    <s v=""/>
    <m/>
    <s v=""/>
    <s v=""/>
    <n v="210000000"/>
    <n v="160000000"/>
    <n v="0"/>
    <n v="0"/>
    <n v="0"/>
    <s v="Si"/>
    <s v="Suzuki vitara live"/>
    <s v="2022"/>
    <n v="70000000"/>
    <s v="No"/>
    <s v=""/>
    <s v=""/>
    <n v="0"/>
    <s v="No"/>
    <s v=""/>
    <s v=""/>
    <s v=""/>
    <n v="0"/>
    <s v="el vehiculo familiar esta a nombre del banco de bogota, se esta pagando de manera cumplida."/>
    <n v="4"/>
    <n v="4"/>
    <n v="3"/>
    <n v="4"/>
    <n v="4"/>
    <n v="4"/>
    <n v="4"/>
    <n v="4"/>
    <n v="4"/>
    <n v="4"/>
    <n v="39"/>
    <s v="SI"/>
    <m/>
    <s v="SI, SON PRI"/>
    <s v="ok tienen todos los datos"/>
    <e v="#N/A"/>
    <e v="#N/A"/>
    <m/>
    <n v="2"/>
    <n v="4"/>
    <n v="4"/>
    <n v="15"/>
    <n v="15"/>
    <n v="15"/>
    <n v="20"/>
    <n v="12.5"/>
    <n v="10.5"/>
    <n v="79.5"/>
    <n v="0.4"/>
    <n v="0.4"/>
    <n v="2"/>
    <n v="2.5"/>
    <n v="6"/>
    <n v="0"/>
    <n v="2"/>
    <n v="2.5"/>
    <n v="8"/>
    <n v="0"/>
    <n v="81.5"/>
    <n v="0.4"/>
    <n v="0.5"/>
    <e v="#N/A"/>
    <m/>
    <m/>
    <n v="0"/>
    <m/>
    <m/>
    <s v="Derecho"/>
    <e v="#N/A"/>
    <s v="084"/>
    <e v="#N/A"/>
  </r>
  <r>
    <s v="TI"/>
    <n v="1022004087"/>
    <s v="1000022517"/>
    <s v="JERONIMO RESTREPO CARDONA"/>
    <s v="Estudios por primera vez"/>
    <x v="7"/>
    <s v="Descartado por ingresos altos"/>
    <s v="Ya pago matricula"/>
    <s v="En publico objetivo"/>
    <s v="1er Cohorte"/>
    <s v="Admitido"/>
    <s v="jrestrepo5@eafit.edu.co"/>
    <s v="jrestrepo5@eafit.edu.co"/>
    <s v="jeronimo.restrepo2412@gmail.com"/>
    <s v="310/398-1934"/>
    <d v="2025-04-25T00:00:00"/>
    <s v="Activo en Programa"/>
    <s v="010-Ingeniería de Sistemas"/>
    <s v="E Ciencias Aplic e Ingeniería"/>
    <d v="2007-12-24T00:00:00"/>
    <n v="17"/>
    <s v="Antioquia"/>
    <s v="Medellín"/>
    <s v="Hombre"/>
    <s v="Soltero"/>
    <s v="NO"/>
    <s v="NO"/>
    <n v="0"/>
    <s v="NO"/>
    <s v="NA"/>
    <s v="NO"/>
    <s v="NA"/>
    <s v="NO"/>
    <s v="NA"/>
    <s v="No"/>
    <s v="604/611-8705"/>
    <s v="310/398-1934"/>
    <s v="Estrato 3"/>
    <s v="CR 42 60 SUR 60 CA 235"/>
    <s v="Antioquia"/>
    <s v="Medellín"/>
    <s v="No aplica, no soy foráneo"/>
    <s v="Familiar"/>
    <s v="SI"/>
    <s v="2024"/>
    <s v="AC202433066693"/>
    <n v="343"/>
    <n v="69"/>
    <n v="69"/>
    <s v="Privada"/>
    <s v="UNIDAD EDUCATIVA SAN MARCOS"/>
    <n v="2024"/>
    <s v="Antioquia"/>
    <s v="Envigado"/>
    <s v="BACHILLER"/>
    <s v="ACAD"/>
    <s v="TIPO: Privada, INSTITUCION: UNIDAD EDUCATIVA SAN MARCOS, AÑO: 2024, CIUDAD: Envigado, TITULO: BACHILLER"/>
    <s v="11"/>
    <s v="Escala de 0 - 5"/>
    <s v="Escala de 0 - 5"/>
    <s v="3,6"/>
    <s v="3,6"/>
    <m/>
    <s v="3,9"/>
    <s v="3,9"/>
    <m/>
    <n v="3.5"/>
    <n v="3.8"/>
    <m/>
    <n v="3.5"/>
    <n v="4"/>
    <m/>
    <s v="3,8"/>
    <s v="4,4"/>
    <m/>
    <s v="4,2"/>
    <s v="3,9"/>
    <m/>
    <s v="3,1"/>
    <s v="3,4"/>
    <m/>
    <s v="De 9 y 10"/>
    <n v="3.7"/>
    <s v="NO"/>
    <s v="NA"/>
    <n v="0"/>
    <n v="0"/>
    <s v="No"/>
    <n v="45"/>
    <m/>
    <n v="50"/>
    <m/>
    <n v="45"/>
    <m/>
    <m/>
    <n v="46.666666666666664"/>
    <s v="Con detalle por componente"/>
    <s v="Ninguna"/>
    <s v="En un futuro, me visualizo graduado como ingeniero de sistemas , trabajando en lo que me apasiona y participando en proyectos importantes, ya sea como desarrollador de software, con una especialización en ciberseguridad, o haciendo uso de la inteligencia artificial para crear sistemas más complejos y eficientes; También me visualizo siendo empleado por una gran compañía colombiana como Nutresa, Bancolombia o EPM, para dirigir proyectos y estructurar ideas con un equipo, creando apps o piezas de software que permitan solucionar problemas de la vida real por medio de la tecnología._x000a__x000a_A través de la obtención de esta beca podría acceder a educación de alto nivel en la universidad EAFIT, permitiéndome adquirir los conocimientos necesarios para crear proyectos que ayuden a la comunidad, por ejemplo creando un software que permita gestionar los cultivos y el ganado de los agricultores, ya que es una problemática que se ve muy presente en mi región, dónde muchos pequeños productores no tienen acceso a herramientas tecnológicas que les ayuden a mejorar la comercialización de sus productos, por lo que terminan pagándole a terceros de manera innecesaria._x000a__x000a_También podría crear plataformas educativas más eficientes a la hora del uso de recursos para su funcionamiento, como que no necesiten mucha señal, y así, permitir a escuelas que no tienen gran acceso a recursos tecnológicos, lograr entrar en la era digital y brindar una mayor calidad de educación a los estudiantes de estas mismas, mejorando así el futuro desarrollo de nuestro país."/>
    <s v="Referencias familiares"/>
    <s v="Por la calidad académica."/>
    <s v="Alta proyección de ingresos."/>
    <n v="3"/>
    <s v="1"/>
    <s v="NO"/>
    <s v="SI"/>
    <s v="Más de 16 millones"/>
    <s v="No"/>
    <s v="NO"/>
    <s v="SI"/>
    <m/>
    <s v="SI"/>
    <s v="Beca"/>
    <s v="NO"/>
    <s v=""/>
    <s v=""/>
    <s v="Si"/>
    <s v="Johny Alonso Restrepo Restrepo"/>
    <s v="Casado"/>
    <s v="ESPECIALIZACIÓN"/>
    <s v="42"/>
    <s v="Ingeniero electricista"/>
    <s v="Empleado (con contrato laboral)"/>
    <s v="Profesional A operación negocios"/>
    <s v="Empresas Públicas de Medellín"/>
    <n v="8190507"/>
    <s v="Si"/>
    <s v="NO"/>
    <s v="SI"/>
    <s v=""/>
    <s v="Si"/>
    <s v="Claudia Andrea Cardona Ocampo"/>
    <s v="Casado"/>
    <s v="UNIVERSITARIOS"/>
    <s v="48"/>
    <s v="Contaduría Pública"/>
    <s v="Empleado (con contrato laboral)"/>
    <s v="Directora tesorería"/>
    <s v="Comercializadora Internacional de Llantas S.A.S"/>
    <n v="10404995"/>
    <s v="Si"/>
    <s v="SI"/>
    <s v="SI"/>
    <m/>
    <n v="18595502"/>
    <s v="Si"/>
    <s v="Juan José Restrepo Cardona"/>
    <s v="Hermano / Hermana"/>
    <s v="21"/>
    <s v="Estudiante"/>
    <s v="Universidad EAFIT"/>
    <n v="0"/>
    <s v="No"/>
    <s v=""/>
    <s v=""/>
    <s v=""/>
    <s v=""/>
    <s v=""/>
    <m/>
    <s v=""/>
    <s v=""/>
    <s v=""/>
    <s v=""/>
    <s v=""/>
    <s v=""/>
    <m/>
    <s v=""/>
    <s v="Mis padres responden económicamente por mis 4 abuelos."/>
    <n v="280000000"/>
    <n v="0"/>
    <n v="0"/>
    <n v="0"/>
    <n v="0"/>
    <s v="Si"/>
    <s v="Chevrolet"/>
    <s v="2023"/>
    <n v="75000000"/>
    <s v="No"/>
    <s v=""/>
    <s v=""/>
    <n v="0"/>
    <s v="Si"/>
    <s v="Carro"/>
    <s v="Renault"/>
    <s v="2009"/>
    <n v="9500000"/>
    <s v="El automóvil Chevrolet fue adquirido mediante crédito y el crédito está vigente actualmente"/>
    <n v="4"/>
    <n v="4"/>
    <n v="4"/>
    <n v="4"/>
    <n v="4"/>
    <n v="3"/>
    <n v="4"/>
    <n v="3"/>
    <n v="4"/>
    <n v="4"/>
    <n v="38"/>
    <s v="SI"/>
    <m/>
    <s v="SI, SON PRI"/>
    <s v="ok tienen todos los datos"/>
    <e v="#N/A"/>
    <e v="#N/A"/>
    <m/>
    <n v="3"/>
    <n v="10"/>
    <n v="8"/>
    <n v="10"/>
    <n v="10"/>
    <n v="15"/>
    <n v="20"/>
    <n v="6.5"/>
    <n v="6.5"/>
    <n v="71.5"/>
    <n v="0.4"/>
    <m/>
    <n v="2"/>
    <n v="3.5"/>
    <n v="0"/>
    <n v="1"/>
    <n v="2"/>
    <n v="3.5"/>
    <n v="0"/>
    <n v="1"/>
    <n v="69.5"/>
    <n v="0.4"/>
    <s v="Negado"/>
    <e v="#N/A"/>
    <m/>
    <m/>
    <n v="0"/>
    <m/>
    <m/>
    <s v="Ingeniería de Sistemas"/>
    <e v="#N/A"/>
    <m/>
    <e v="#N/A"/>
  </r>
  <r>
    <s v="TI"/>
    <n v="1022004228"/>
    <s v="1000031454"/>
    <s v="NICOLAS VEGA VARGAS"/>
    <s v="Estudios por primera vez"/>
    <x v="1"/>
    <s v="No cumple, estrato 4"/>
    <m/>
    <s v="En publico objetivo"/>
    <s v="2da Cohorte"/>
    <s v="Admitido"/>
    <s v="nvegav@eafit.edu.co"/>
    <s v="nvegav@eafit.edu.co"/>
    <s v="nvegav@eafit.edu.co"/>
    <s v="311/748-3828"/>
    <d v="2025-05-16T00:00:00"/>
    <s v="Activo en Programa"/>
    <s v="001-Administración de Negocios"/>
    <s v="Escuela de Administración"/>
    <d v="2008-03-19T00:00:00"/>
    <n v="17"/>
    <s v="Antioquia"/>
    <s v="Medellín"/>
    <s v="Hombre"/>
    <s v="Soltero"/>
    <s v="NO"/>
    <s v="NO"/>
    <n v="0"/>
    <s v="NO"/>
    <s v="NA"/>
    <s v="NO"/>
    <s v="NA"/>
    <s v="NO"/>
    <s v="NA"/>
    <s v="No"/>
    <s v="311/748-3828"/>
    <s v="311/748-3828"/>
    <s v="Estrato 4"/>
    <s v="CL 37 B SUR 27 17 BRUJAS CAMPESTRE"/>
    <s v="Antioquia"/>
    <s v="Medellín"/>
    <s v="No aplica, no soy foráneo"/>
    <s v="Propio"/>
    <s v="SI"/>
    <s v="2024"/>
    <s v="AC202433290186"/>
    <n v="274"/>
    <n v="52"/>
    <n v="58"/>
    <s v="Privada"/>
    <s v="COLEGIO LA SALLE ENVIGADO"/>
    <n v="2024"/>
    <s v="Antioquia"/>
    <s v="Envigado"/>
    <s v="BACHILLER"/>
    <s v="ACAD"/>
    <s v="TIPO: Privada, INSTITUCION: COLEGIO LA SALLE ENVIGADO, AÑO: 2024, CIUDAD: Envigado, TITULO: BACHILLER"/>
    <s v="11"/>
    <s v="Escala de 0 - 5"/>
    <s v="Escala de 0 - 5"/>
    <s v="4"/>
    <s v="4"/>
    <m/>
    <s v="3,7"/>
    <s v="4"/>
    <m/>
    <n v="4"/>
    <n v="4"/>
    <m/>
    <n v="4"/>
    <n v="4"/>
    <m/>
    <s v="4"/>
    <s v="3,6"/>
    <m/>
    <s v="4,5"/>
    <s v="3,7"/>
    <m/>
    <s v="4,1"/>
    <s v="3,7"/>
    <m/>
    <s v="De 9 y 10"/>
    <n v="4"/>
    <s v="NO"/>
    <s v="NA"/>
    <n v="0"/>
    <n v="0"/>
    <s v="No"/>
    <n v="45"/>
    <m/>
    <n v="45"/>
    <m/>
    <n v="45"/>
    <m/>
    <s v="tiene 16 años, acompaña a sus familiares en una empresa de joyeria y desde ahí quiere aprender mas sobre administración, le gusta EAFIT por que estudia ingles y le parece muy acogedor el campus, quiere tener mas adelante su empresa de joyeria, es extrovertido"/>
    <n v="45"/>
    <s v="Con detalle por componente"/>
    <s v="Deportistas de alto rendimiento o representativo"/>
    <s v="me visualizo como un empresario exitoso en el gremio de la joyeria ,y con otras empresas como plan B , puedo transformar dando empleos a otros jovenes"/>
    <s v="A través del Colegio"/>
    <s v="Por la calidad académica."/>
    <s v="Alta proyección de ingresos."/>
    <n v="2"/>
    <s v="0"/>
    <s v="SI"/>
    <s v="NO"/>
    <s v="Entre 7 y 8 millones"/>
    <s v="No"/>
    <s v="SI"/>
    <n v="0"/>
    <m/>
    <n v="0"/>
    <m/>
    <s v="NO"/>
    <s v=""/>
    <s v=""/>
    <s v="Si"/>
    <s v="Fawer Vega Rodriguez"/>
    <s v="Casado"/>
    <s v="UNIVERSITARIOS"/>
    <s v="52"/>
    <s v="optometra"/>
    <s v="Independiente (trabaja por cuenta propia)"/>
    <s v="optometra"/>
    <s v="G &amp; G"/>
    <n v="3600000"/>
    <s v="Si"/>
    <s v="SI"/>
    <s v="NO"/>
    <s v="mi padre es muy responsable y trabajador siempre me ha dado buen ejemplo"/>
    <s v="Si"/>
    <s v="María Margarita Vargas Uribe"/>
    <s v="Casado"/>
    <m/>
    <s v="50"/>
    <s v="optometra"/>
    <s v="Empleado (con contrato laboral)"/>
    <s v="optometra"/>
    <s v="Organización Santa Lucia"/>
    <n v="5400968"/>
    <s v="Si"/>
    <s v="SI"/>
    <s v="SI"/>
    <s v="aunque mi mama trabaja  siempre esta presente , esta muy pendiente de nosotros en la casa"/>
    <n v="9000968"/>
    <s v="No, solo vivo con mis padres"/>
    <s v=""/>
    <s v=""/>
    <s v=""/>
    <s v=""/>
    <s v=""/>
    <m/>
    <s v=""/>
    <s v=""/>
    <s v=""/>
    <s v=""/>
    <s v=""/>
    <s v=""/>
    <m/>
    <s v=""/>
    <s v=""/>
    <s v=""/>
    <s v=""/>
    <s v=""/>
    <s v=""/>
    <m/>
    <s v=""/>
    <s v=""/>
    <n v="0"/>
    <n v="320000000"/>
    <n v="0"/>
    <n v="0"/>
    <n v="0"/>
    <s v="Si"/>
    <s v="chevrolet captiva"/>
    <s v="2015"/>
    <n v="22000000"/>
    <s v="No"/>
    <s v=""/>
    <s v=""/>
    <n v="0"/>
    <s v="No"/>
    <s v=""/>
    <s v=""/>
    <s v=""/>
    <n v="0"/>
    <s v="prenda vehículo con el banco Davivienda"/>
    <n v="4"/>
    <n v="4"/>
    <n v="4"/>
    <n v="4"/>
    <n v="4"/>
    <n v="4"/>
    <n v="4"/>
    <n v="3"/>
    <n v="4"/>
    <n v="4"/>
    <n v="39"/>
    <s v="SI"/>
    <m/>
    <s v="SI, SON PRI"/>
    <s v="ok tienen todos los datos"/>
    <e v="#N/A"/>
    <e v="#N/A"/>
    <m/>
    <n v="3"/>
    <n v="4"/>
    <n v="4"/>
    <n v="0"/>
    <n v="15"/>
    <n v="15"/>
    <n v="15"/>
    <n v="6.5"/>
    <n v="6.5"/>
    <n v="55.5"/>
    <n v="0.4"/>
    <n v="0.4"/>
    <n v="2"/>
    <n v="2.5"/>
    <n v="1"/>
    <n v="1"/>
    <n v="2"/>
    <n v="2.5"/>
    <n v="1"/>
    <n v="1"/>
    <n v="55.5"/>
    <n v="0.4"/>
    <n v="0.4"/>
    <e v="#N/A"/>
    <m/>
    <m/>
    <n v="0"/>
    <m/>
    <m/>
    <s v="Administración de Negocios"/>
    <e v="#N/A"/>
    <s v="001"/>
    <e v="#N/A"/>
  </r>
  <r>
    <s v="TI"/>
    <n v="1022004284"/>
    <s v="1000387812"/>
    <s v="ISABELA VALENZUELA TAMAYO"/>
    <s v="Cupo Reservado"/>
    <x v="1"/>
    <s v="Descartado por bajo icfes"/>
    <m/>
    <s v="En publico objetivo"/>
    <s v="1er Cohorte"/>
    <s v="Admitido"/>
    <s v="ivalenzuet@eafit.edu.co"/>
    <s v="ivalenzuet@eafit.edu.co"/>
    <s v="isabelavalenzuelat@gmail.com"/>
    <s v="573008746690"/>
    <d v="2025-04-25T00:00:00"/>
    <s v="Activo en Programa"/>
    <s v="084-Derecho"/>
    <s v="Escuela de Derecho"/>
    <d v="2008-04-11T00:00:00"/>
    <n v="17"/>
    <s v="Antioquia"/>
    <s v="Medellín"/>
    <s v="Mujer"/>
    <s v="Soltero"/>
    <s v="NO"/>
    <s v="NO"/>
    <n v="0"/>
    <s v="NO"/>
    <s v="NA"/>
    <s v="NO"/>
    <s v="NA"/>
    <s v="NO"/>
    <s v="NA"/>
    <s v="No"/>
    <s v="327-8073"/>
    <s v="573008746690"/>
    <s v="Estrato 3"/>
    <s v="CL 9 AB SUR #54 12"/>
    <s v="Antioquia"/>
    <s v="Medellín"/>
    <s v="No aplica, no soy foráneo"/>
    <s v="Propio"/>
    <s v="SI"/>
    <n v="2024"/>
    <s v="AC202431223973"/>
    <n v="317"/>
    <n v="64"/>
    <n v="61"/>
    <s v="Pública"/>
    <s v="INST EDUC LA PRESENTACION"/>
    <n v="2024"/>
    <m/>
    <s v="Medellín"/>
    <n v="0"/>
    <s v="BACHILLER"/>
    <s v="TIPO: Pública, INSTITUCION: INST EDUC LA PRESENTACION, AÑO: 2024, CIUDAD: Medellín, TITULO: BACHILLER"/>
    <n v="0"/>
    <n v="0"/>
    <s v="Escala de 0 - 5"/>
    <m/>
    <s v="4"/>
    <m/>
    <m/>
    <s v="3"/>
    <m/>
    <m/>
    <n v="4.2"/>
    <m/>
    <m/>
    <n v="3.9"/>
    <m/>
    <m/>
    <s v="4"/>
    <m/>
    <m/>
    <s v="4"/>
    <m/>
    <m/>
    <s v="4"/>
    <m/>
    <s v="Solo de 10"/>
    <n v="4.05"/>
    <s v="NA"/>
    <s v="NA"/>
    <n v="0"/>
    <n v="0"/>
    <s v="No"/>
    <s v="Sin informacion"/>
    <s v="Sin informacion"/>
    <s v="Sin informacion"/>
    <s v="Sin informacion"/>
    <s v="Sin informacion"/>
    <s v="Sin informacion"/>
    <s v="Descartado por bajos ingresos"/>
    <n v="35"/>
    <s v="Cupo reservado"/>
    <s v="Deportistas de alto rendimiento o representativo,Artísticas o culturales,Espacios de liderazgo o representación social"/>
    <s v="Frente a un mapa del mundo pintado en cartulina y banderas de papel pegadas con cinta, mi hermano y yo resolvíamos conflictos de la ONU desde el suelo de nuestra sala. Teníamos ocho años, pero sabíamos bien que la justicia podía tener voz, y que esa voz podía ser la nuestra. Aunque tardé en reconocerlo, fue allí, entre debates improvisados y soluciones transformadoras, donde comenzó mi camino hacia el Derecho._x000a_Fue gracias al habla, la escritura y la lectura que decidí guiar mi rumbo hacia la excelencia, la audacia y la integridad. Me decidí a ser fiel a quien realmente soy, una joven inspirada por cada clase abierta de derecho en EAFIT, que busca transformar desde su propósito y que cree en el proyecto humanista, científico y cultural que ofrece la universidad. _x000a_Hoy me visualizo como una abogada comprometida con la defensa de causas justas, que combine el conocimiento jurídico con una comprensión profunda de las realidades humanas y, sobre todo, que promulgue la justicia en cada rincón y con cada acto que ejerza, pues “Cuanto más se aleja una sociedad de la verdad, más odiará a los que la dicen” George Orwell, @culturaeafit. Aspiro a trabajar en la protección de los derechos humanos, acompañando a mujeres, jóvenes, niños y comunidades históricamente marginadas, especialmente en Medellín y su área metropolitana, donde la verdad ha sido tachada y la población carece de sus derechos fundamentales. _x000a_Recibir esta beca sería hacer realidad ese sueño que nació cuando tenía ocho años, y confirmar que mi voz interior no se equivocaba. Usaría este privilegio para servir, construir puentes en mi comunidad y demostrar que desde lo local se pueden impulsar transformaciones sostenibles. Ejercería mi labor como una jurista íntegra y velaría por dejar en alto el nombre de la universidad y de mi región."/>
    <s v="Redes sociales"/>
    <s v="Por la calidad académica."/>
    <s v="Vocación."/>
    <n v="2"/>
    <s v="Sin informacion"/>
    <s v="Sin informacion"/>
    <s v="Sin informacion"/>
    <s v="Sin informacion"/>
    <s v="No"/>
    <n v="0"/>
    <n v="0"/>
    <m/>
    <s v="SI"/>
    <s v="Beca"/>
    <s v="NO"/>
    <s v=""/>
    <s v=""/>
    <s v="No, fallecido"/>
    <n v="0"/>
    <m/>
    <m/>
    <m/>
    <s v=""/>
    <s v=""/>
    <m/>
    <s v=""/>
    <m/>
    <s v=""/>
    <m/>
    <m/>
    <s v=""/>
    <s v="Si"/>
    <s v="Nury Milena Tamayo Cardona"/>
    <s v="Unión marital"/>
    <s v="TÉCNICA"/>
    <s v="47"/>
    <s v="ama de casa"/>
    <s v="Labores del hogar y cuidado"/>
    <s v="Ama de casa, labores del hogar y cuidado"/>
    <s v="Ama de casa, labores del hogar y cuidado"/>
    <n v="0"/>
    <s v="Si"/>
    <s v="NO"/>
    <s v="NO"/>
    <m/>
    <n v="0"/>
    <s v="Si"/>
    <s v="John Alvaro Álvarez Cardona"/>
    <s v="PADRASTRO"/>
    <s v="53"/>
    <s v="Conductor"/>
    <s v="Tronex SAS"/>
    <n v="2289463"/>
    <s v="Si"/>
    <s v=""/>
    <s v=""/>
    <s v=""/>
    <s v=""/>
    <s v=""/>
    <m/>
    <s v=""/>
    <s v=""/>
    <s v=""/>
    <s v=""/>
    <s v=""/>
    <s v=""/>
    <m/>
    <s v=""/>
    <s v=""/>
    <n v="136800000"/>
    <n v="0"/>
    <n v="0"/>
    <n v="0"/>
    <n v="0"/>
    <s v="Si"/>
    <s v="KIA"/>
    <s v="2012"/>
    <n v="37500000"/>
    <s v="No"/>
    <s v=""/>
    <s v=""/>
    <n v="0"/>
    <s v="No"/>
    <s v=""/>
    <s v=""/>
    <s v=""/>
    <n v="0"/>
    <m/>
    <n v="4"/>
    <n v="4"/>
    <n v="4"/>
    <n v="3"/>
    <n v="3"/>
    <n v="3"/>
    <n v="3"/>
    <n v="3"/>
    <n v="4"/>
    <n v="4"/>
    <n v="35"/>
    <s v="SI"/>
    <s v="SI, CRE"/>
    <s v="Son CRE, sin tipo de vivienda, nada del ICFES, sin nada de entrevista, y con solo 1 nota del colegio"/>
    <s v="sin info de entrevista, fue descartado en 20251"/>
    <s v="Negada"/>
    <n v="20251"/>
    <m/>
    <n v="2"/>
    <n v="10"/>
    <n v="8"/>
    <n v="5"/>
    <n v="15"/>
    <n v="15"/>
    <n v="5"/>
    <n v="16"/>
    <n v="16"/>
    <n v="66"/>
    <n v="0.5"/>
    <m/>
    <n v="3.5"/>
    <n v="2.5"/>
    <n v="8"/>
    <n v="2"/>
    <n v="3.5"/>
    <n v="2.5"/>
    <n v="8"/>
    <n v="2"/>
    <n v="64"/>
    <n v="0.5"/>
    <n v="0.4"/>
    <e v="#N/A"/>
    <m/>
    <m/>
    <s v="SI, CRE"/>
    <m/>
    <m/>
    <s v="Derecho"/>
    <e v="#N/A"/>
    <s v="084"/>
    <e v="#N/A"/>
  </r>
  <r>
    <s v="TI"/>
    <n v="1022146902"/>
    <s v="1000402018"/>
    <s v="ALAN STIV GONZÁLEZ VÉLEZ"/>
    <s v="Estudios por primera vez"/>
    <x v="5"/>
    <s v="Cumple Nutresa"/>
    <m/>
    <s v="En publico objetivo"/>
    <s v="1er Cohorte"/>
    <s v="Admitido"/>
    <s v="asgonzalev@eafit.edu.co"/>
    <s v="asgonzalev@eafit.edu.co"/>
    <s v="alangonz2007@gmail.com"/>
    <s v="573207147448"/>
    <d v="2025-04-25T00:00:00"/>
    <s v="Activo en Programa"/>
    <s v="237-Diseño Interactivo"/>
    <s v="Escuela de Artes y Humanidades"/>
    <d v="2007-04-03T00:00:00"/>
    <n v="18"/>
    <s v="Antioquia"/>
    <s v="Bello"/>
    <s v="Hombre"/>
    <s v="Soltero"/>
    <s v="NO"/>
    <s v="NO"/>
    <n v="0"/>
    <s v="NO"/>
    <s v="NA"/>
    <s v="NO"/>
    <s v="NA"/>
    <s v="NO"/>
    <s v="NA"/>
    <s v="No"/>
    <s v="304/253-4649"/>
    <s v="573207147448"/>
    <s v="Estrato 2"/>
    <s v="SANTA ROSA DE OSOS"/>
    <s v="Antioquia"/>
    <s v="Santa Rosa De Osos"/>
    <s v="No aplica, no soy foráneo"/>
    <s v="Arriendo"/>
    <s v="SI"/>
    <s v="2024"/>
    <s v="AC202432583185"/>
    <n v="353"/>
    <n v="73"/>
    <n v="66"/>
    <s v="Pública"/>
    <s v="Institución Educativa Escuela Normal Superior Pedro Justo Berrío"/>
    <n v="2024"/>
    <m/>
    <s v="Santa Rosa De Osos"/>
    <s v="Bachillerato"/>
    <s v="Normalista"/>
    <m/>
    <s v="12"/>
    <s v="Escala de 0 - 5"/>
    <s v="Escala de 0 - 5"/>
    <s v="4,3"/>
    <s v="4,3"/>
    <m/>
    <s v="3,5"/>
    <s v="3,5"/>
    <m/>
    <n v="4.3"/>
    <n v="4"/>
    <m/>
    <n v="4"/>
    <n v="4.2"/>
    <m/>
    <s v="4,1"/>
    <s v="3,9"/>
    <m/>
    <s v="3,3"/>
    <s v="3,3"/>
    <m/>
    <s v="3,8"/>
    <s v="3,7"/>
    <m/>
    <s v="De 9 y 10"/>
    <n v="4.125"/>
    <s v="NO"/>
    <s v="NA"/>
    <n v="0"/>
    <n v="0"/>
    <s v="No"/>
    <n v="50"/>
    <m/>
    <n v="50"/>
    <m/>
    <n v="50"/>
    <m/>
    <s v="Muy buen desempeño en la entrevista: habilidades fuertes en matemáticas, programación y dibujo. Recomendado para acceder a oportunidades de financiación."/>
    <n v="50"/>
    <s v="Con detalle por componente"/>
    <s v="Artísticas o culturales,Deportistas de alto rendimiento o representativo,Trabajo social o comunitario"/>
    <s v="Santa Rosa de Osos es un municipio que, a pesar de tener acceso a la tecnología, no la aprovecha al máximo o tanto como podría. Aunque es un municipio rico en cultura y arte, no ha incursionado mucho en el área de las artes digitales. Al obtener la beca y poder finalizar mi pregrado y posgrado, me gustaría introducir dichas artes en el contexto santarrosano, añadiendo así una nueva capa de profundidad en el conocimiento del municipio y enriqueciendo su cultura general. Al traer los conocimientos adquiridos en esta universidad, podría ayudar a generar un avance en el desarrollo del municipio y contribuir a mejorar la calidad de vida de la gente del pueblo. Posteriormente, exteriorizaría la cultura formada al resto del país, logrando así marcar una huella tanto en mi lugar de origen y región, como en el resto de colombia."/>
    <s v="A través del Colegio"/>
    <s v="Por la calidad académica."/>
    <s v="Vocación."/>
    <n v="4"/>
    <s v="2"/>
    <s v="SI"/>
    <s v="NO"/>
    <s v="Entre 1 y 2 millones"/>
    <s v="No"/>
    <s v="NO"/>
    <s v="NO"/>
    <m/>
    <s v="SI"/>
    <s v="Beca"/>
    <s v="NO"/>
    <s v=""/>
    <s v=""/>
    <s v="Si"/>
    <s v="Álvaro González Pino"/>
    <s v="Casado"/>
    <s v="BACHILLERATO"/>
    <s v="50"/>
    <s v="Trabajo independiente, Pastor"/>
    <s v="Independiente (trabaja por cuenta propia)"/>
    <s v="Pastor"/>
    <s v="Iglesia Cristiana Movimiento Misionero Mundial"/>
    <n v="1800000"/>
    <s v="Si"/>
    <s v="SI"/>
    <s v="NO"/>
    <s v=""/>
    <s v="Si"/>
    <s v="Adriana Marcela"/>
    <s v="Casado"/>
    <s v="BACHILLERATO"/>
    <s v="38"/>
    <s v="ama de casa"/>
    <s v="Labores del hogar y cuidado"/>
    <s v="Ama de casa"/>
    <s v="Hogar"/>
    <n v="0"/>
    <s v="Si"/>
    <s v="NO"/>
    <s v="NO"/>
    <m/>
    <n v="1800000"/>
    <s v="Si"/>
    <s v="Helen Dayana González Vélez"/>
    <s v="Hermano / Hermana"/>
    <s v="14"/>
    <s v="Estudiante"/>
    <s v="Normal Superior Pedro Justo Berrío"/>
    <n v="0"/>
    <s v="No"/>
    <s v="Joseph Ian González Vélez"/>
    <s v="Hermano / Hermana"/>
    <s v="7"/>
    <s v="Estudiante"/>
    <s v="Normal Superior Pedro Justo Berrío"/>
    <n v="0"/>
    <s v="No"/>
    <s v=""/>
    <s v=""/>
    <s v=""/>
    <s v=""/>
    <s v=""/>
    <m/>
    <s v=""/>
    <s v=""/>
    <n v="0"/>
    <n v="0"/>
    <n v="0"/>
    <n v="0"/>
    <n v="0"/>
    <s v="No"/>
    <s v=""/>
    <s v=""/>
    <n v="0"/>
    <s v="No"/>
    <s v=""/>
    <s v=""/>
    <n v="0"/>
    <s v="No"/>
    <s v=""/>
    <s v=""/>
    <s v=""/>
    <n v="0"/>
    <m/>
    <n v="4"/>
    <n v="3"/>
    <n v="3"/>
    <n v="3"/>
    <n v="4"/>
    <n v="4"/>
    <n v="3"/>
    <n v="3"/>
    <n v="4"/>
    <n v="3"/>
    <n v="34"/>
    <s v="SI"/>
    <s v="SI, TIPO IE"/>
    <s v="PRI SIN TIPO IE"/>
    <s v="pendiente tipo ie"/>
    <e v="#N/A"/>
    <e v="#N/A"/>
    <m/>
    <n v="3"/>
    <n v="10"/>
    <n v="10"/>
    <n v="10"/>
    <n v="15"/>
    <n v="10"/>
    <n v="20"/>
    <n v="20"/>
    <n v="20"/>
    <n v="85"/>
    <s v="80 - 100%"/>
    <m/>
    <n v="3.5"/>
    <n v="4.5"/>
    <n v="8"/>
    <n v="4"/>
    <n v="3.5"/>
    <n v="4"/>
    <n v="8"/>
    <n v="4.5"/>
    <n v="85"/>
    <s v="80 - 100%"/>
    <n v="1"/>
    <s v="ALAN STIV GONZÁLEZ VÉLEZ"/>
    <m/>
    <m/>
    <s v="SI, TIPO IE"/>
    <s v="NO ABRE EL ARCHIVO DE NOTAS"/>
    <s v="No abre PDF notas"/>
    <s v="Diseño Interactivo"/>
    <s v="Pres. para revision docs nutresa"/>
    <m/>
    <s v="NUTRESA"/>
  </r>
  <r>
    <s v="TI"/>
    <n v="1022147425"/>
    <s v="1000385471"/>
    <s v="MARIA CAMILA MESA ARANGO"/>
    <s v="Estudios por primera vez"/>
    <x v="5"/>
    <s v="Cumple Nutresa"/>
    <m/>
    <s v="En publico objetivo"/>
    <s v="2da Cohorte"/>
    <s v="Admitido"/>
    <s v="mcmesaa@eafit.edu.co"/>
    <s v="mcmesaa@eafit.edu.co"/>
    <s v="mariacamilamesaarango0829@gmail.com"/>
    <s v="573126490524"/>
    <d v="2025-05-16T00:00:00"/>
    <s v="Activo en Programa"/>
    <s v="002-Negocios Internacionales"/>
    <s v="Escuela de Administración"/>
    <d v="2007-08-29T00:00:00"/>
    <n v="18"/>
    <s v="Antioquia"/>
    <s v="Medellín"/>
    <s v="Mujer"/>
    <s v="Soltero"/>
    <s v="NO"/>
    <s v="NO"/>
    <n v="0"/>
    <s v="NO"/>
    <s v="NA"/>
    <s v="NO"/>
    <s v="NA"/>
    <s v="NO"/>
    <s v="NA"/>
    <s v="No"/>
    <s v="312/649-0524"/>
    <s v="573126490524"/>
    <s v="Estrato 2"/>
    <s v="CL 58 #22 B- 35"/>
    <s v="Antioquia"/>
    <s v="Medellín"/>
    <s v="No aplica, no soy foráneo"/>
    <s v="Familiar"/>
    <s v="SI"/>
    <s v="2024"/>
    <s v="AC202434116836"/>
    <n v="375"/>
    <n v="77"/>
    <n v="76"/>
    <s v="Privada"/>
    <s v="COL BETHLEMITAS"/>
    <n v="2024"/>
    <s v="Antioquia"/>
    <s v="Bello"/>
    <s v="BACHILLER"/>
    <s v="ACAD"/>
    <s v="TIPO: Privada, INSTITUCION: COL BETHLEMITAS, AÑO: 2024, CIUDAD: Bello, TITULO: BACHILLER"/>
    <s v="11"/>
    <s v="Escala de 0 - 5"/>
    <s v="Escala de 0 - 5"/>
    <s v="4"/>
    <s v="4,3"/>
    <m/>
    <s v="4,2"/>
    <s v="4,2"/>
    <m/>
    <n v="4.3"/>
    <n v="4.8"/>
    <m/>
    <n v="4.5"/>
    <n v="4.2"/>
    <m/>
    <s v="4,7"/>
    <s v="4,8"/>
    <m/>
    <s v="4,2"/>
    <s v="4,3"/>
    <m/>
    <s v="4,1"/>
    <s v="4,3"/>
    <m/>
    <s v="De 9 y 10"/>
    <n v="4.45"/>
    <s v="NO"/>
    <s v="NA"/>
    <n v="0"/>
    <n v="0"/>
    <s v="No"/>
    <n v="45"/>
    <m/>
    <n v="45"/>
    <m/>
    <n v="45"/>
    <m/>
    <m/>
    <n v="45"/>
    <s v="Con detalle por componente"/>
    <s v="Espacios de liderazgo o representación social,Artísticas o culturales"/>
    <s v="Siempre he estado interesada en la cultura, por lo que considero que llevar a cabo mis estudios en Eafit y mis habilidades de comunicación, me abrirán las puertas para implementar acuerdos alrededor del mundo, con el fin de que los demás rincones se empapen de las tradiciones y características que hacen único a cada país.  _x000a__x000a_Supe que Eafit era mi Universidad soñada tras asistir a clases abiertas en el año 2023. Luego de participar en la clase de Negocios internacionales y conocer que usaban el inglés como base de muchas de sus clases, además de que requería de un tercer idioma para graduarme, tomé la decisión de estudiar exclusivamente portugués durante un semestre, pues ese sería mi tercer idioma. _x000a__x000a_Mi ideal es desempeñar mi carrera en una Multinacional donde pueda tener contacto directo con las personas y establecer conexiones que generen crecimiento económico y cultural para ambas partes; en esta multinacional espero también fortalecer y adquirir un nuevo idioma para mejorar mis habilidades de negociación. _x000a__x000a_Sin duda alguna me visualizo ejerciendo esta profesión en un futuro, haciendo de Colombia un país más reconocido a nivel económico, el cual se destaque por su biodiversidad y calidad humana, afianzando las relaciones con los países vecinos donde espero ejercer también mi profesión y potenciando el talento nacional, pues mi sueño es construir mi propia empresa en mi país de origen. La beca me abriría las puertas a cumplir mi sueño de ser Negociadora Internacional y de poder expandir la riqueza nacional a todos los horizontes del mundo, potenciando mis habilidades personales y adquiriendo experiencias nuevas. _x000a__x000a_Muchas Gracias."/>
    <s v="A través del Colegio"/>
    <s v="Internacionalización."/>
    <s v="Vocación."/>
    <n v="1"/>
    <s v="0"/>
    <s v="SI"/>
    <s v="NO"/>
    <s v="Entre 2 y 3 millones"/>
    <s v="No"/>
    <n v="0"/>
    <n v="0"/>
    <m/>
    <s v="SI"/>
    <s v="Beca"/>
    <s v="NO"/>
    <s v=""/>
    <s v=""/>
    <s v="Si"/>
    <s v="Fabián Alonso Mesa Álvarez"/>
    <s v="Soltero"/>
    <s v="BACHILLERATO"/>
    <s v="43"/>
    <s v="vendedor"/>
    <s v="Independiente (trabaja por cuenta propia)"/>
    <s v="Vendedor"/>
    <s v="Alma Rosa"/>
    <n v="2000000"/>
    <s v="No"/>
    <s v="NO"/>
    <s v="NO"/>
    <s v=""/>
    <s v="Si"/>
    <s v="Ana María Arango Cano"/>
    <s v="Soltero"/>
    <s v="BACHILLERATO"/>
    <s v="41"/>
    <s v="Asesora Comercial"/>
    <s v="Empleado (con contrato laboral)"/>
    <s v="Key Account Manager"/>
    <s v="Denario Capital S.A.S"/>
    <n v="2834000"/>
    <s v="Si"/>
    <s v="SI"/>
    <s v="NO"/>
    <s v="Mujer caracterizada por su excelente labor y por su cumplimiento de meta en cada mes. Es demasiado trabajadora y se destaca por su resiliencia para afrontar los problemas. Madre soltera desde hace 15 años que siempre se ha esforzado por salir adelante junto a su hija."/>
    <n v="4834000"/>
    <s v="No, solo vivo con mis padres"/>
    <s v=""/>
    <s v=""/>
    <s v=""/>
    <s v=""/>
    <s v=""/>
    <m/>
    <s v=""/>
    <s v=""/>
    <s v=""/>
    <s v=""/>
    <s v=""/>
    <s v=""/>
    <m/>
    <s v=""/>
    <s v=""/>
    <s v=""/>
    <s v=""/>
    <s v=""/>
    <s v=""/>
    <m/>
    <s v=""/>
    <s v=""/>
    <n v="0"/>
    <n v="180000000"/>
    <n v="0"/>
    <n v="0"/>
    <n v="0"/>
    <s v="No"/>
    <s v=""/>
    <s v=""/>
    <n v="0"/>
    <s v="No"/>
    <s v=""/>
    <s v=""/>
    <n v="0"/>
    <s v="No"/>
    <s v=""/>
    <s v=""/>
    <s v=""/>
    <n v="0"/>
    <m/>
    <n v="4"/>
    <n v="4"/>
    <n v="4"/>
    <n v="4"/>
    <n v="4"/>
    <n v="4"/>
    <n v="3"/>
    <n v="4"/>
    <n v="3"/>
    <n v="3"/>
    <n v="37"/>
    <s v="SI"/>
    <m/>
    <s v="SI, SON PRI"/>
    <s v="ok tienen todos los datos"/>
    <e v="#N/A"/>
    <e v="#N/A"/>
    <m/>
    <n v="3"/>
    <n v="10"/>
    <n v="10"/>
    <n v="15"/>
    <n v="15"/>
    <n v="15"/>
    <n v="15"/>
    <n v="13.5"/>
    <n v="13.5"/>
    <n v="83.5"/>
    <n v="0.4"/>
    <m/>
    <n v="2"/>
    <n v="3.5"/>
    <n v="6"/>
    <n v="2"/>
    <n v="2"/>
    <n v="3.5"/>
    <n v="6"/>
    <n v="2"/>
    <n v="83.5"/>
    <n v="0.4"/>
    <n v="0.5"/>
    <s v="MARIA CAMILA MESA ARANGO"/>
    <m/>
    <m/>
    <n v="0"/>
    <s v="EN ORDEN"/>
    <s v="Certificado idioma"/>
    <s v="Negocios Internacionales"/>
    <s v="Pres. para revision docs nutresa"/>
    <m/>
    <s v="NUTRESA"/>
  </r>
  <r>
    <s v="TI"/>
    <n v="1022147849"/>
    <s v="1000402366"/>
    <s v="ESTEFANIA ROJAS CORREA"/>
    <s v="Estudios por primera vez"/>
    <x v="1"/>
    <s v="Descartado por baja prioridad pregrado"/>
    <m/>
    <s v="En publico objetivo"/>
    <s v="2da Cohorte"/>
    <s v="Admitido"/>
    <s v="erojasc1@eafit.edu.co"/>
    <s v="erojasc1@eafit.edu.co"/>
    <s v="rojascorreaestefania@gmail.com"/>
    <s v="573105332535"/>
    <d v="2025-05-16T00:00:00"/>
    <s v="Activo en Programa"/>
    <s v="011-Contaduría Pública"/>
    <s v="Escuela de Administración"/>
    <d v="2007-11-24T00:00:00"/>
    <n v="18"/>
    <s v="Antioquia"/>
    <s v="Bello"/>
    <s v="Mujer"/>
    <s v="Soltero"/>
    <s v="SI"/>
    <s v="SI"/>
    <s v="Yalí"/>
    <s v="NO"/>
    <s v="NA"/>
    <s v="NO"/>
    <s v="NA"/>
    <s v="NO"/>
    <s v="NA"/>
    <s v="No"/>
    <s v="311/601-4016"/>
    <s v="573105332535"/>
    <s v="Estrato 3"/>
    <s v="AV 21 B 56 28"/>
    <s v="Antioquia"/>
    <s v="Bello"/>
    <s v="No aplica, no soy foráneo"/>
    <s v="Propio"/>
    <s v="SI"/>
    <s v="2024"/>
    <s v="AC202431629914"/>
    <n v="333"/>
    <n v="73"/>
    <n v="70"/>
    <s v="Pública"/>
    <s v="IE NMAL SUP. MARIA AUXILIADORA"/>
    <n v="2024"/>
    <s v="Antioquia"/>
    <s v="Copacabana"/>
    <s v="BACHILLER"/>
    <s v="NORM"/>
    <s v="TIPO: Pública, INSTITUCION: IE NMAL SUP. MARIA AUXILIADORA, AÑO: 2024, CIUDAD: Copacabana, TITULO: BACHILLER"/>
    <s v="11"/>
    <s v="Escala Desempeño"/>
    <s v="Escala de 0 - 5"/>
    <s v="4"/>
    <s v="4"/>
    <m/>
    <s v="4"/>
    <s v="4,5"/>
    <m/>
    <n v="4"/>
    <n v="3.4"/>
    <m/>
    <n v="4.5"/>
    <n v="4"/>
    <m/>
    <s v="4"/>
    <s v="4"/>
    <m/>
    <s v="4,5"/>
    <s v="4"/>
    <m/>
    <s v="4,5"/>
    <s v="4,5"/>
    <m/>
    <s v="De 9 y 10"/>
    <n v="3.9750000000000001"/>
    <s v="NO"/>
    <s v="NA"/>
    <n v="0"/>
    <n v="0"/>
    <s v="No"/>
    <n v="50"/>
    <m/>
    <n v="50"/>
    <m/>
    <n v="50"/>
    <m/>
    <s v="Se graduó de Copacabana, se graduó el año pasado, fue una buena experiencia, se sintió muy afortunada de recibir esta educación, le gustaba mucho las matemáticas en inglés. Vive en bello con los papas y la hermana menor, le gusta pasar tiempo con la hermana"/>
    <n v="50"/>
    <s v="Con detalle por componente"/>
    <s v="Trabajo social o comunitario"/>
    <s v="Para mí, el ser beneficiaria de una beca, sería una oportunidad de gran magnitud, resultaría honorable que ustedes crean y vean en mí un potencial , cada día lo aprovecharía al máximo, debido a la formación integral allí ofrecida me permitiría participar con un enfoque desde la contaduría en la gestión y expansión de un emprendimiento naturista que mis padres han construido con inmensurable esfuerzo, por tal razón, considero que EAFIT me brindaría estrategias financieras sólidas para adaptar metodologías económicas que me permitirían participar en el crecimiento del negocio, proporcionando un buen servicio a la comunidad, salud y empleo, y teniendo como meta transformarla en un referente de salud y bienestar._x000a_Por otro lado, hoy, todas las empresas, sin importar su tamaño, requieren analizar con precisión su información financiera, y para los pequeños negocios y emprendedores, este proceso suele ser complejo por la falta de conocimientos técnicos y la terminología especializada, en consecuencia, mi meta de ser contadora no solo responde a mis aspiraciones personales, sino también al compromiso de asesorar a quienes encuentran barreras en el ámbito financiero y tributario."/>
    <s v="Página WEB"/>
    <s v="Por la calidad académica."/>
    <s v="Vocación."/>
    <n v="4"/>
    <s v="1"/>
    <s v="SI"/>
    <s v="NO"/>
    <s v="Entre 6 y 7 millones"/>
    <s v="Si"/>
    <s v="SI"/>
    <n v="0"/>
    <m/>
    <s v="SI"/>
    <s v="Beca"/>
    <s v="NO"/>
    <s v=""/>
    <s v=""/>
    <s v="Si"/>
    <s v="EDWIN ALONSO ROJAS SALDARRIAGA"/>
    <s v="Soltero"/>
    <s v="BACHILLERATO"/>
    <s v="43"/>
    <s v="Vigilante"/>
    <s v="Empleado (con contrato laboral)"/>
    <s v="Vigilancia de accesos"/>
    <s v="Securitas colombia"/>
    <n v="2545320"/>
    <s v="No"/>
    <s v="NO"/>
    <s v="NO"/>
    <s v="Mi padre está separado de mi madre y no vive conmigo."/>
    <s v="Si"/>
    <s v="Leidy Maritza Correa Sepulveda"/>
    <s v="Casado"/>
    <s v="BACHILLERATO"/>
    <s v="36"/>
    <s v="Administradora de una empresa independiente"/>
    <s v="Independiente (trabaja por cuenta propia)"/>
    <s v="Administradora"/>
    <s v="Naturista Orión"/>
    <n v="2500000"/>
    <s v="Si"/>
    <s v="SI"/>
    <s v="NO"/>
    <s v="Mi madre está casada con mi padrastro, y ambos son los principales responsables del sostenimiento económico del hogar. Actualmente trabajan en conjunto en una microempresa familiar, que constituye la fuente principal de ingresos para la familia."/>
    <n v="5045320"/>
    <s v="Si"/>
    <s v="Jorge Eliecer Ortiz Hernandez"/>
    <s v="PADRASTRO"/>
    <s v="50"/>
    <s v="Administrador de una empresa independiente"/>
    <s v="Naturista Orión"/>
    <n v="5500000"/>
    <s v="Si"/>
    <s v="Valery Ortiz Correa"/>
    <s v="Hermano / Hermana"/>
    <s v="13"/>
    <s v="Estudiante"/>
    <s v="Normal Maria Auxiliadora de Copacabana"/>
    <n v="0"/>
    <s v="No"/>
    <s v=""/>
    <s v=""/>
    <s v=""/>
    <s v=""/>
    <s v=""/>
    <m/>
    <s v=""/>
    <s v=""/>
    <n v="250000000"/>
    <n v="0"/>
    <n v="0"/>
    <n v="0"/>
    <n v="0"/>
    <s v="No"/>
    <s v=""/>
    <s v=""/>
    <n v="0"/>
    <s v="No"/>
    <s v=""/>
    <s v=""/>
    <n v="0"/>
    <s v="No"/>
    <s v=""/>
    <s v=""/>
    <s v=""/>
    <n v="0"/>
    <m/>
    <n v="4"/>
    <n v="4"/>
    <n v="4"/>
    <n v="4"/>
    <n v="4"/>
    <n v="4"/>
    <n v="4"/>
    <n v="4"/>
    <n v="4"/>
    <n v="4"/>
    <n v="40"/>
    <s v="SI"/>
    <m/>
    <s v="SI, SON PRI"/>
    <s v="ok tienen todos los datos"/>
    <e v="#N/A"/>
    <e v="#N/A"/>
    <m/>
    <n v="1"/>
    <n v="10"/>
    <n v="8"/>
    <n v="10"/>
    <n v="10"/>
    <n v="15"/>
    <n v="20"/>
    <n v="13"/>
    <n v="10"/>
    <n v="75"/>
    <n v="0.4"/>
    <m/>
    <n v="3.5"/>
    <n v="2.5"/>
    <n v="3"/>
    <n v="1"/>
    <n v="3.5"/>
    <n v="2.5"/>
    <n v="6"/>
    <n v="1"/>
    <n v="76"/>
    <n v="0.4"/>
    <n v="0.4"/>
    <e v="#N/A"/>
    <m/>
    <m/>
    <n v="0"/>
    <m/>
    <m/>
    <s v="Contaduría Pública"/>
    <e v="#N/A"/>
    <s v="011"/>
    <e v="#N/A"/>
  </r>
  <r>
    <s v="TI"/>
    <n v="1023083239"/>
    <s v="1000316684"/>
    <s v="JUAN PABLO FIGUEROA ALVAREZ"/>
    <s v="Estudios por primera vez"/>
    <x v="1"/>
    <s v="Descartado por bajo icfes"/>
    <m/>
    <s v="En publico objetivo"/>
    <s v="3ra Cohorte"/>
    <s v="Admitido"/>
    <s v="jpfigueroa@eafit.edu.co"/>
    <s v="jpfigueroa@eafit.edu.co"/>
    <s v="juanpalvarez178@gmail.com"/>
    <s v="573192677549"/>
    <d v="2025-05-30T00:00:00"/>
    <s v="Activo en Programa"/>
    <s v="199-Finanzas"/>
    <s v="E.Finanzas, Economía, Gobierno"/>
    <d v="2005-08-25T00:00:00"/>
    <n v="20"/>
    <s v="Bogotá"/>
    <s v="Bogotá D.C."/>
    <s v="Hombre"/>
    <s v="Soltero"/>
    <s v="NO"/>
    <s v="NO"/>
    <n v="0"/>
    <s v="NO"/>
    <s v="NA"/>
    <s v="NO"/>
    <s v="NA"/>
    <s v="NO"/>
    <s v="NA"/>
    <s v="No"/>
    <s v="604/588-1173"/>
    <s v="573192677549"/>
    <s v="Estrato 2"/>
    <s v="CR 49 #75 38"/>
    <s v="Antioquia"/>
    <s v="Medellín"/>
    <s v="No aplica, no soy foráneo"/>
    <s v="Arriendo"/>
    <s v="SI"/>
    <s v="2022"/>
    <s v="AC202240407981"/>
    <n v="317"/>
    <n v="63"/>
    <n v="63"/>
    <s v="Privada"/>
    <s v="INSTITUTO SAN CARLOS"/>
    <n v="2022"/>
    <s v="Antioquia"/>
    <s v="Medellín"/>
    <s v="ACADEMICO"/>
    <n v="0"/>
    <s v="TIPO: Privada, INSTITUCION: INSTITUTO SAN CARLOS, AÑO: 2022, CIUDAD: Medellín, TITULO: ACADEMICO"/>
    <s v="11"/>
    <s v="Escala Desempeño"/>
    <s v="Escala de 0 - 5"/>
    <s v="4"/>
    <s v="4,5"/>
    <s v="4,4"/>
    <s v="4"/>
    <s v="4"/>
    <s v="3,8"/>
    <n v="4"/>
    <n v="4"/>
    <n v="3.6"/>
    <n v="4.5"/>
    <n v="4.5"/>
    <n v="3.7"/>
    <s v="4,5"/>
    <s v="4"/>
    <s v="3,7"/>
    <s v="4,5"/>
    <s v="4,5"/>
    <s v="4,4"/>
    <s v="4"/>
    <s v="4"/>
    <s v="3"/>
    <s v="De 9, 10 y 11"/>
    <n v="4.05"/>
    <s v="NO"/>
    <s v="NA"/>
    <n v="0"/>
    <n v="0"/>
    <s v="No"/>
    <n v="40"/>
    <s v="Natación, futbol"/>
    <n v="45"/>
    <m/>
    <n v="45"/>
    <m/>
    <s v="Se graduó en el año 2022 del colegio San Carlos_x000a_Se inscribió a la fuerza área y no pasó _x000a_tiene una técnica de servicios comerciales y financieros _x000a_va a trabajar en el Banco Bogotá"/>
    <n v="43.333333333333336"/>
    <s v="Con detalle por componente"/>
    <s v="Deportistas de alto rendimiento o representativo,Trabajo social o comunitario"/>
    <s v="Me vizualiso como un profesional en Finanzas que no solo trabaja detrás de números, sino que tambien entiende cómo estos pueden transformar vidas. Quiero aplicar mi conocimiento para ayudar a personas en Medellín y por qué no el mundo entero, a llevar sus finanzas por un buen camino, a crear proyectos sostenibles y a encontrar oportunidades en donde hay limitaciones. Me criee en Medellín y aprendí que es una ciudad llena de talento, esfuerzo y ganas de salir adelante. He visto cómo muchas veces no es la falta de ideas o ganas de estudiar lo que limita a las personas, sino la falta de el factor dinero. Por eso, mi sueño es desarrollar una plataforma accesible para todos donde pueda impulsar emprendedores, jóvenes y familias a construir su futuro desde lo que saben hacer. _x000a_Esta beca representa mucho más que apoyo económico: es la posibilidad de formarme sin frenar mi crecimiento por falta de recursos. Me permitirá dedicarme por completo a prepararme para ser útil a la sociedad. Quiero que las personas en Medellín y en el mundo vean que sí es posible el éxito, que con disciplina, visión, una pizca de talento y una mano que crea en ti, es posible cambiar el común. Con esta oportunidad me comprometo a devolverles lo que me brindan."/>
    <s v="EAFIT es una experiencia"/>
    <s v="Por la calidad académica."/>
    <s v="Vocación."/>
    <n v="2"/>
    <s v="0"/>
    <s v="SI"/>
    <s v="NO"/>
    <s v="Entre 7 y 8 millones"/>
    <s v="No"/>
    <s v="SI"/>
    <n v="0"/>
    <m/>
    <s v="SI"/>
    <m/>
    <s v="SI"/>
    <s v="BANCO DE BOGOTA"/>
    <s v="aprendiz"/>
    <s v="Si"/>
    <s v="Andrés Bernardo Figueroa Vanegas"/>
    <s v="Casado"/>
    <m/>
    <s v="60"/>
    <s v="Conductor de taxi"/>
    <s v="Independiente (trabaja por cuenta propia)"/>
    <s v="Independiente / Conductor de taxi"/>
    <s v="Independiente, por cuenta propia"/>
    <n v="1500000"/>
    <s v="No"/>
    <s v="NO"/>
    <s v="NO"/>
    <s v=""/>
    <s v="Si"/>
    <s v="Gisela del Socorro Alvarez Vanegas"/>
    <s v="Casado"/>
    <s v="TECNOLOGÍA"/>
    <s v="62"/>
    <s v="Vendedor de bebidas Naturales"/>
    <s v="Independiente (trabaja por cuenta propia)"/>
    <s v="Independiente / Vendedor de bebidas naturales"/>
    <s v="Fuxion"/>
    <n v="1300000"/>
    <s v="Si"/>
    <s v="NO"/>
    <s v="SI"/>
    <m/>
    <n v="2800000"/>
    <s v="No, solo vivo con mis padres"/>
    <s v=""/>
    <s v=""/>
    <s v=""/>
    <s v=""/>
    <s v=""/>
    <m/>
    <s v=""/>
    <s v=""/>
    <s v=""/>
    <s v=""/>
    <s v=""/>
    <s v=""/>
    <m/>
    <s v=""/>
    <s v=""/>
    <s v=""/>
    <s v=""/>
    <s v=""/>
    <s v=""/>
    <m/>
    <s v=""/>
    <s v=""/>
    <n v="28000000"/>
    <n v="0"/>
    <n v="0"/>
    <n v="0"/>
    <n v="0"/>
    <s v="No"/>
    <s v=""/>
    <s v=""/>
    <n v="0"/>
    <s v="No"/>
    <s v=""/>
    <s v=""/>
    <n v="0"/>
    <s v="Si"/>
    <s v="Taxi"/>
    <s v="Hyundai"/>
    <s v="2008"/>
    <n v="28000000"/>
    <s v="Taxi sobre prenda en financiación"/>
    <n v="3"/>
    <n v="4"/>
    <n v="4"/>
    <n v="4"/>
    <n v="3"/>
    <n v="4"/>
    <n v="3"/>
    <n v="4"/>
    <n v="3"/>
    <n v="3"/>
    <n v="35"/>
    <s v="SI"/>
    <m/>
    <s v="SI, SON PRI"/>
    <s v="ok tienen todos los datos"/>
    <e v="#N/A"/>
    <e v="#N/A"/>
    <m/>
    <n v="2"/>
    <n v="10"/>
    <n v="10"/>
    <n v="5"/>
    <n v="15"/>
    <n v="15"/>
    <n v="15"/>
    <n v="17.5"/>
    <n v="16.5"/>
    <n v="76.5"/>
    <n v="0.5"/>
    <m/>
    <n v="2"/>
    <n v="3.5"/>
    <n v="8"/>
    <n v="3"/>
    <n v="2"/>
    <n v="3"/>
    <n v="8"/>
    <n v="4.5"/>
    <n v="77.5"/>
    <n v="0.6"/>
    <n v="0.6"/>
    <e v="#N/A"/>
    <m/>
    <m/>
    <n v="0"/>
    <m/>
    <m/>
    <s v="Finanzas"/>
    <e v="#N/A"/>
    <s v="199"/>
    <e v="#N/A"/>
  </r>
  <r>
    <s v="CC"/>
    <n v="1023302145"/>
    <s v="1000404746"/>
    <s v="NICOLAS CANCINO JIMENEZ"/>
    <s v="Estudios por primera vez"/>
    <x v="1"/>
    <s v="Descartado por propiedades"/>
    <m/>
    <s v="En publico objetivo"/>
    <s v="3ra Cohorte"/>
    <s v="Admitido"/>
    <s v="ncancinoj@eafit.edu.co"/>
    <e v="#N/A"/>
    <s v="cancinojimeneznicolas@gmail.com"/>
    <s v="318/232-0952"/>
    <d v="2025-05-30T00:00:00"/>
    <s v="Activo en Programa"/>
    <s v="199-Finanzas"/>
    <s v="E.Finanzas, Economía, Gobierno"/>
    <d v="2004-02-07T00:00:00"/>
    <n v="21"/>
    <s v="Bogotá"/>
    <s v="Bogotá D.C."/>
    <s v="Hombre"/>
    <s v="Soltero"/>
    <s v="NO"/>
    <s v="NO"/>
    <n v="0"/>
    <s v="NO"/>
    <s v="NA"/>
    <s v="NO"/>
    <s v="NA"/>
    <s v="NO"/>
    <s v="NA"/>
    <s v="No"/>
    <s v="318/232-0952"/>
    <s v="318/232-0952"/>
    <s v="Estrato 3"/>
    <s v="CL 47 A #6 AB- 30"/>
    <s v="Antioquia"/>
    <s v="Medellín"/>
    <s v="Si"/>
    <s v="Arriendo"/>
    <s v="SI"/>
    <s v="2021"/>
    <s v="AC202145596218"/>
    <n v="318"/>
    <n v="66"/>
    <n v="65"/>
    <s v="Privada"/>
    <s v="LA SAGRADA FAMILIA (CAPUCHINAS"/>
    <n v="2021"/>
    <s v="Quindío"/>
    <s v="Armenia"/>
    <s v="BACHILLER"/>
    <s v="ACAD"/>
    <s v="TIPO: Privada, INSTITUCION: LA SAGRADA FAMILIA (CAPUCHINAS, AÑO: 2021, CIUDAD: Armenia, TITULO: BACHILLER"/>
    <s v="11"/>
    <s v="Escala de 0 - 5"/>
    <s v="Escala de 0 - 5"/>
    <s v="4"/>
    <s v="4,5"/>
    <m/>
    <s v="4"/>
    <s v="5"/>
    <m/>
    <n v="4.5"/>
    <n v="3.9"/>
    <m/>
    <n v="4"/>
    <n v="4.5"/>
    <m/>
    <s v="4,5"/>
    <s v="5"/>
    <m/>
    <s v="4"/>
    <s v="4,5"/>
    <m/>
    <s v="4"/>
    <s v="5"/>
    <m/>
    <s v="De 9 y 10"/>
    <n v="4.2249999999999996"/>
    <s v="NO"/>
    <s v="NA"/>
    <n v="0"/>
    <n v="0"/>
    <s v="No"/>
    <n v="45"/>
    <m/>
    <n v="40"/>
    <m/>
    <n v="40"/>
    <m/>
    <s v="Tiene 21 años se graduó en el 2021_x000a_Hizo un semestre en la UDEA de Ing Electrónica_x000a_Trabajas en un call center_x000a_Saber 11 sacó 318"/>
    <n v="41.666666666666664"/>
    <s v="Con detalle por componente"/>
    <s v="Trabajo social o comunitario,Deportistas de alto rendimiento o representativo,Artísticas o culturales"/>
    <s v="En 5 años, cuando me gradúe, me encantaría ya tener suficientes contactos y experiencias para empezar a ejercer mi carrera de la mejor manera posible, ya que la universidad ofrece este tipo de espacios donde podemos demostrar nuestro conocimiento y así con ayuda de los grupos estudiantiles, encontrar una o varias empresas que necesiten representación sobre consejos administrativos y financieros. No obstante, me gustaría poder aplicar mis conocimientos para empezar a generar un patrimonio propio y así poder ayudar a mi familia con sus gastos, deudas y demás. Para esto, me encantaría crear mi propia empresa y aplicar todos los conocimientos adquiridos en estos años."/>
    <s v="Amigos"/>
    <s v="Por la oferta académica."/>
    <s v="Vocación."/>
    <n v="0"/>
    <s v="4"/>
    <s v="NO"/>
    <s v="NO"/>
    <s v="Entre 2 y 3 millones"/>
    <s v="No"/>
    <s v="SI"/>
    <n v="0"/>
    <m/>
    <s v="SI"/>
    <s v="Patrocinio empresarial"/>
    <s v="NO"/>
    <s v=""/>
    <s v=""/>
    <s v="No, fallecido"/>
    <n v="0"/>
    <m/>
    <m/>
    <m/>
    <s v=""/>
    <s v=""/>
    <m/>
    <s v=""/>
    <m/>
    <s v=""/>
    <m/>
    <m/>
    <s v="Él falleció hace 9 años y nos dejó una pensión de sobrevivencia a mi hermano y a mí. El valor de esta pensión es de 2.800.000. Sin embargo, la mayoría se va en mis gastos de vivienda y ayudas hacia mi familia."/>
    <s v="Si"/>
    <s v="Claudia Esperanza Jimenez Cruz"/>
    <s v="Soltero"/>
    <s v="ESPECIALIZACIÓN"/>
    <s v="56"/>
    <s v="Administradora de empresas"/>
    <s v="Desempleado (Se encuentra en la búsqueda activa de empleo)"/>
    <s v="NA"/>
    <s v="NA"/>
    <n v="2500000"/>
    <s v="No"/>
    <s v="NO"/>
    <s v="NO"/>
    <s v="Mi mamá por la edad que tiene se le ha hecho difícil encontrar trabajo, por esto mismo hace más de 2 años yo soy el apoyo económico que ella tiene. Tengo que pagarle sus servicios, de vez en cuando comida y también aportes a su medicina prepagada."/>
    <n v="2500000"/>
    <s v="No, vivo solo"/>
    <s v=""/>
    <s v=""/>
    <s v=""/>
    <s v=""/>
    <s v=""/>
    <m/>
    <s v=""/>
    <s v=""/>
    <s v=""/>
    <s v=""/>
    <s v=""/>
    <s v=""/>
    <m/>
    <s v=""/>
    <s v=""/>
    <s v=""/>
    <s v=""/>
    <s v=""/>
    <s v=""/>
    <m/>
    <s v=""/>
    <s v=""/>
    <n v="350000000"/>
    <n v="0"/>
    <n v="0"/>
    <n v="0"/>
    <n v="0"/>
    <s v="Si"/>
    <s v="Renault Symbol"/>
    <s v="2008"/>
    <n v="18000000"/>
    <s v="No"/>
    <s v=""/>
    <s v=""/>
    <n v="0"/>
    <s v="No"/>
    <s v=""/>
    <s v=""/>
    <s v=""/>
    <n v="0"/>
    <s v="Mi familia consiste en mi mamá y mi hermano mayor. Mi mamá es la única que tiene una propiedad y el carro. De la propiedad en arriendo más los ingresos que yo le brindo es que sale el valor anteriormente mencionado  (2.500.000)."/>
    <n v="3"/>
    <n v="4"/>
    <n v="4"/>
    <n v="4"/>
    <n v="4"/>
    <n v="4"/>
    <n v="2"/>
    <n v="4"/>
    <n v="4"/>
    <n v="3"/>
    <n v="36"/>
    <s v="SI"/>
    <m/>
    <s v="SI, SON PRI"/>
    <s v="ok tienen todos los datos"/>
    <e v="#N/A"/>
    <e v="#N/A"/>
    <m/>
    <n v="2"/>
    <n v="10"/>
    <n v="8"/>
    <n v="5"/>
    <n v="15"/>
    <n v="15"/>
    <n v="10"/>
    <n v="14"/>
    <n v="14.5"/>
    <n v="69.5"/>
    <n v="0.4"/>
    <m/>
    <n v="2"/>
    <n v="3.5"/>
    <n v="8"/>
    <n v="1"/>
    <n v="2"/>
    <n v="3"/>
    <n v="8"/>
    <n v="1"/>
    <n v="67"/>
    <n v="0.5"/>
    <n v="0.4"/>
    <e v="#N/A"/>
    <m/>
    <m/>
    <n v="0"/>
    <m/>
    <m/>
    <s v="Finanzas"/>
    <e v="#N/A"/>
    <s v="199"/>
    <e v="#N/A"/>
  </r>
  <r>
    <s v="CC"/>
    <n v="1023524184"/>
    <s v="1000403989"/>
    <s v="VIOLETA POSADA ANGEL"/>
    <s v="Estudios por primera vez"/>
    <x v="1"/>
    <s v="Descartado por ingresos altos"/>
    <s v="Ambos padres profesionales, vehículo"/>
    <s v="En publico objetivo"/>
    <s v="3ra Cohorte"/>
    <s v="Admitido"/>
    <s v="vposadaa@eafit.edu.co"/>
    <e v="#N/A"/>
    <s v="violeta.angel188@gmail.com"/>
    <s v="305/395-7667"/>
    <d v="2025-05-30T00:00:00"/>
    <s v="Activo en Programa"/>
    <s v="112-Comunicación Social"/>
    <s v="Escuela de Artes y Humanidades"/>
    <d v="2006-04-30T00:00:00"/>
    <n v="19"/>
    <s v="Antioquia"/>
    <s v="Medellín"/>
    <s v="Mujer"/>
    <s v="Soltero"/>
    <s v="NO"/>
    <s v="NO"/>
    <n v="0"/>
    <s v="NO"/>
    <s v="NA"/>
    <s v="NO"/>
    <s v="NA"/>
    <s v="NO"/>
    <s v="NA"/>
    <s v="No"/>
    <s v="no aplica"/>
    <s v="305/395-7667"/>
    <s v="Estrato 3"/>
    <s v="VEREDA TRES PUERTAS"/>
    <s v="Antioquia"/>
    <s v="Rionegro"/>
    <s v="Si"/>
    <s v="Familiar"/>
    <s v="SI"/>
    <s v="2023"/>
    <s v="AC202341562750"/>
    <n v="352"/>
    <n v="70"/>
    <n v="76"/>
    <s v="Pública"/>
    <s v="Institución educativa escuela normal superior de maria"/>
    <n v="2023"/>
    <m/>
    <s v="Rionegro"/>
    <s v="Bachillerato"/>
    <s v="Normalista"/>
    <m/>
    <s v="11"/>
    <s v="Escala de 0 - 5"/>
    <s v="Escala de 0 - 5"/>
    <s v="4,5"/>
    <s v="4,5"/>
    <m/>
    <s v="4,5"/>
    <s v="4,5"/>
    <m/>
    <n v="4"/>
    <n v="4"/>
    <m/>
    <n v="4.5"/>
    <n v="4.5"/>
    <m/>
    <s v="5"/>
    <s v="5"/>
    <m/>
    <s v="4,5"/>
    <s v="4,5"/>
    <m/>
    <s v="5"/>
    <s v="5"/>
    <m/>
    <s v="De 9 y 10"/>
    <n v="4.25"/>
    <s v="NO"/>
    <s v="NA"/>
    <n v="0"/>
    <n v="0"/>
    <s v="No"/>
    <n v="45"/>
    <m/>
    <n v="50"/>
    <m/>
    <n v="50"/>
    <m/>
    <m/>
    <n v="48.333333333333336"/>
    <s v="Con detalle por componente"/>
    <s v="Artísticas o culturales,Deportistas de alto rendimiento o representativo,Espacios de liderazgo o representación social"/>
    <s v="“Las palabras tienen poder. Pueden destruir y pueden sanar. Cuando están bien, son más poderosas que las armas” (Tutu, 1999). Esta frase expresa mi vocación: comunicar no solo para informar, sino para transformar. Por eso, estudiar Comunicación Social en la Universidad EAFIT representa para mí una oportunidad única de formarme, crecer y contribuir a mi comunidad._x000a__x000a_Me visualizo como una comunicadora social que visibiliza realidades, voces e historias, ya sea mi experiencia o la de cualquier persona con algo valioso que contar. Desde la Comunicación Social quiero construir puentes entre las personas y promover transformaciones sociales a través del arte, la educación y la cultura._x000a__x000a_Como habitante del municipio de Rionegro, Antioquia, he vivido de cerca las desigualdades en el acceso a oportunidades educativas, culturales y deportivas. Muchos jóvenes con talento no cuentan con las herramientas, el acompañamiento o la motivación necesaria para desarrollarse. Por eso, mi objetivo es usar la comunicación como motor de cambio en mi región, creando proyectos que fomenten la inclusión, la participación y la posibilidad de cumplir sueños sin limitaciones. Creo firmemente que la educación superior es un poder transformador que debe llegar a todos, como esta beca y la Universidad EAFIT lo están haciendo en mi vida._x000a__x000a_Sueño con desarrollar contenidos como documentales, podcasts y medios visuales que impulsen la educación, inspiren a otros y eliminen el miedo de crear y soñar en este país. También deseo promover el acceso a la educación, el arte y el deporte como derechos fundamentales, conectando escuelas, artistas y jóvenes para compartir saberes y soluciones a los retos sociales._x000a__x000a_La beca y la universidad EAFIT, es para mí, la puerta de entrada a ese futuro. Me permitirá crecer profesional y personalmente, y con la participación en investigación y proyectos, transformar desde la comunicación, a toda mi comunidad."/>
    <s v="Página WEB"/>
    <s v="Por la calidad académica."/>
    <s v="Vocación."/>
    <n v="3"/>
    <s v="1"/>
    <s v="SI"/>
    <s v="NO"/>
    <s v="Entre 2 y 3 millones"/>
    <s v="No"/>
    <n v="0"/>
    <n v="0"/>
    <m/>
    <s v="SI"/>
    <s v="Beca"/>
    <s v="NO"/>
    <s v=""/>
    <s v=""/>
    <s v="Si"/>
    <s v="Esteban Posada García"/>
    <s v="Casado"/>
    <s v="UNIVERSITARIOS"/>
    <s v="45"/>
    <s v="Agrónomo zootecnista"/>
    <s v="Empleado (con contrato laboral)"/>
    <s v="Auxiliar administrativo"/>
    <s v="Criadero Pahuana S.A.S"/>
    <n v="2744600"/>
    <s v="Si"/>
    <s v="NO"/>
    <s v="NO"/>
    <s v=""/>
    <s v="Si"/>
    <s v="Sandra Angel Franco"/>
    <s v="Casado"/>
    <s v="UNIVERSITARIOS"/>
    <s v="51"/>
    <s v="Psicóloga"/>
    <s v="Independiente (trabaja por cuenta propia)"/>
    <s v="Psicóloga independiente"/>
    <s v="NINGUNA"/>
    <n v="1200000"/>
    <s v="Si"/>
    <s v="NO"/>
    <s v="NO"/>
    <s v="trabaja un día a la semana"/>
    <n v="3944600"/>
    <s v="Si"/>
    <s v="Samuel Posada Angel"/>
    <s v="Hermano / Hermana"/>
    <s v="19"/>
    <s v="sin ocupación"/>
    <s v="sin institución"/>
    <n v="0"/>
    <s v="No"/>
    <s v=""/>
    <s v=""/>
    <s v=""/>
    <s v=""/>
    <s v=""/>
    <m/>
    <s v=""/>
    <s v=""/>
    <s v=""/>
    <s v=""/>
    <s v=""/>
    <s v=""/>
    <m/>
    <s v=""/>
    <s v=""/>
    <n v="35000000"/>
    <n v="0"/>
    <n v="0"/>
    <n v="0"/>
    <n v="0"/>
    <s v="Si"/>
    <s v="Renault"/>
    <s v="2022"/>
    <n v="35000000"/>
    <s v="No"/>
    <s v=""/>
    <s v=""/>
    <n v="0"/>
    <s v="No"/>
    <s v=""/>
    <s v=""/>
    <s v=""/>
    <n v="0"/>
    <m/>
    <n v="4"/>
    <n v="4"/>
    <n v="3"/>
    <n v="4"/>
    <n v="4"/>
    <n v="4"/>
    <n v="4"/>
    <n v="4"/>
    <n v="4"/>
    <n v="4"/>
    <n v="39"/>
    <s v="SI"/>
    <s v="SI, TIPO IE"/>
    <s v="PRI SIN TIPO IE"/>
    <s v="ok se completa con info conv anterior"/>
    <s v="Negada Talento"/>
    <n v="20241"/>
    <m/>
    <n v="2"/>
    <n v="10"/>
    <n v="8"/>
    <n v="10"/>
    <n v="15"/>
    <n v="15"/>
    <n v="20"/>
    <n v="17"/>
    <n v="16"/>
    <n v="86"/>
    <n v="0.5"/>
    <m/>
    <n v="3.5"/>
    <n v="3.5"/>
    <n v="6"/>
    <n v="3"/>
    <n v="3.5"/>
    <n v="3.5"/>
    <n v="7"/>
    <n v="3"/>
    <n v="85"/>
    <n v="0.6"/>
    <n v="0.6"/>
    <e v="#N/A"/>
    <m/>
    <m/>
    <s v="SI, TIPO IE"/>
    <s v="EN ORDEN"/>
    <n v="0"/>
    <s v="Comunicación Social"/>
    <s v="Pres. para revision docs nutresa"/>
    <s v="112"/>
    <e v="#N/A"/>
  </r>
  <r>
    <s v="TI"/>
    <n v="1023525914"/>
    <s v="1000406074"/>
    <s v="SOFIA AGUDELO ORREGO"/>
    <s v="Estudios por primera vez"/>
    <x v="1"/>
    <s v="Descartado por ingresos altos"/>
    <m/>
    <s v="En publico objetivo"/>
    <s v="2da Cohorte"/>
    <s v="Admitido"/>
    <s v="sagudeloo2@eafit.edu.co"/>
    <e v="#N/A"/>
    <s v="sofiagudelo148@gmail.com"/>
    <s v="305/240-3072"/>
    <d v="2025-05-16T00:00:00"/>
    <s v="Activo en Programa"/>
    <s v="112-Comunicación Social"/>
    <s v="Escuela de Artes y Humanidades"/>
    <d v="2007-08-14T00:00:00"/>
    <n v="18"/>
    <s v="Antioquia"/>
    <s v="Medellín"/>
    <s v="Mujer"/>
    <s v="Soltero"/>
    <s v="NO"/>
    <s v="NO"/>
    <n v="0"/>
    <s v="NO"/>
    <s v="NA"/>
    <s v="NO"/>
    <s v="NA"/>
    <s v="NO"/>
    <s v="NA"/>
    <s v="No"/>
    <s v="604/591-4522"/>
    <s v="305/240-3072"/>
    <s v="Estrato 3"/>
    <s v="CR 50 A #92 57"/>
    <s v="Antioquia"/>
    <s v="Medellín"/>
    <s v="No aplica, no soy foráneo"/>
    <s v="Propio"/>
    <s v="SI"/>
    <s v="2024"/>
    <s v="AC202432950533"/>
    <n v="358"/>
    <n v="70"/>
    <n v="71"/>
    <s v="Privada"/>
    <s v="COL AGUSTINIANO DE SAN NICOLAS"/>
    <n v="2024"/>
    <s v="Antioquia"/>
    <s v="Medellín"/>
    <s v="BACHILLER"/>
    <s v="ACAD"/>
    <s v="TIPO: Privada, INSTITUCION: COL AGUSTINIANO DE SAN NICOLAS, AÑO: 2024, CIUDAD: Medellín, TITULO: BACHILLER"/>
    <s v="11"/>
    <s v="Escala de 0 - 5"/>
    <s v="Escala de 0 - 5"/>
    <s v="4,6"/>
    <s v="4,7"/>
    <m/>
    <s v="5"/>
    <s v="4,8"/>
    <m/>
    <n v="4.9000000000000004"/>
    <n v="5"/>
    <m/>
    <n v="4.5"/>
    <n v="5"/>
    <m/>
    <s v="5"/>
    <s v="4,9"/>
    <m/>
    <s v="5"/>
    <s v="5"/>
    <m/>
    <s v="5"/>
    <s v="4,9"/>
    <m/>
    <s v="De 9 y 10"/>
    <n v="4.8499999999999996"/>
    <s v="NO"/>
    <s v="NA"/>
    <n v="0"/>
    <n v="0"/>
    <s v="No"/>
    <n v="40"/>
    <m/>
    <n v="40"/>
    <m/>
    <n v="40"/>
    <m/>
    <m/>
    <n v="40"/>
    <s v="Con detalle por componente"/>
    <s v="Artísticas o culturales"/>
    <s v="Me visualizo como una excelente comunicadora social, poniendo en práctica los valores y conocimientos adquiridos a lo largo de la carrera. Anhelo trabajar en alguno de los periódicos o canales regionales del país, comunicando y contando las historias de nuestra gente, compartiendo información de interés, ejerciendo la profesión que logré sacar adelante con esfuerzo y dedicación, además de notificar sobre situaciones críticas, sobre las cuales se debe tener conciencia y precaución._x000a_Lo más importante para mí, es contar con calidad humana y solidaridad, puesto que cada persona tiene vivencias diferentes, que la han marcado en todos los aspectos de su vida. La empatía y el respeto debe primar ante cualquier situación._x000a_También me visualizo como una mujer segura y capaz de sortear cualquier obstáculo que se le presente, siendo así ejemplo de resiliencia y motivo de orgullo para mis seres queridos._x000a_A través de esta beca puedo acceder a una educación de calidad, permitiéndome así formarme en un campo indispensable en mi región, en donde puedo aplicar los aprendizajes directamente. A su vez, tendría la posibilidad de crear proyectos comunitarios que impacten positivamente en el territorio, y/o emprendimientos, los cuales generan empleo y oportunidades para aquellas personas que se encuentren en una situación difícil._x000a_Por último, es una oportunidad para motivar a más jóvenes a que completen sus estudios de educación superior, se superen a sí mismos y logren todas las metas que se han propuesto en sus vidas."/>
    <s v="Amigos"/>
    <s v="Universidad reconocida."/>
    <s v="Vocación."/>
    <n v="1"/>
    <s v="0"/>
    <s v="SI"/>
    <s v="NO"/>
    <s v="Entre 1 y 2 millones"/>
    <s v="No"/>
    <n v="0"/>
    <n v="0"/>
    <m/>
    <s v="SI"/>
    <s v="Beca"/>
    <s v="NO"/>
    <s v=""/>
    <s v=""/>
    <s v="Si"/>
    <s v="Fray Dubier Agudelo Lopera"/>
    <s v="Soltero"/>
    <s v="TÉCNICA"/>
    <s v="40"/>
    <s v="vendedor"/>
    <s v="Independiente (trabaja por cuenta propia)"/>
    <s v="Vendedor"/>
    <s v="N/A"/>
    <n v="3000000"/>
    <s v="No"/>
    <s v="NO"/>
    <s v="NO"/>
    <s v=""/>
    <s v="Si"/>
    <s v="Adriana Marcela Orrego Villegas"/>
    <s v="Soltero"/>
    <s v="TÉCNICA"/>
    <s v="40"/>
    <s v="Manejo de importaciones y exportaciones"/>
    <s v="Empleado (con contrato laboral)"/>
    <s v="Directora de operaciones"/>
    <s v="Excolbi S.A.S"/>
    <n v="2860000"/>
    <s v="Si"/>
    <s v="SI"/>
    <s v="NO"/>
    <m/>
    <n v="5860000"/>
    <s v="No, solo vivo con mis padres"/>
    <s v=""/>
    <s v=""/>
    <s v=""/>
    <s v=""/>
    <s v=""/>
    <m/>
    <s v=""/>
    <s v=""/>
    <s v=""/>
    <s v=""/>
    <s v=""/>
    <s v=""/>
    <m/>
    <s v=""/>
    <s v=""/>
    <s v=""/>
    <s v=""/>
    <s v=""/>
    <s v=""/>
    <m/>
    <s v=""/>
    <s v=""/>
    <n v="163000000"/>
    <n v="0"/>
    <n v="0"/>
    <n v="0"/>
    <n v="0"/>
    <s v="No"/>
    <s v=""/>
    <s v=""/>
    <n v="0"/>
    <s v="No"/>
    <s v=""/>
    <s v=""/>
    <n v="0"/>
    <s v="No"/>
    <s v=""/>
    <s v=""/>
    <s v=""/>
    <n v="0"/>
    <m/>
    <n v="4"/>
    <n v="4"/>
    <n v="3"/>
    <n v="4"/>
    <n v="4"/>
    <n v="3"/>
    <n v="4"/>
    <n v="3"/>
    <n v="4"/>
    <n v="4"/>
    <n v="37"/>
    <s v="SI"/>
    <m/>
    <s v="SI, SON PRI"/>
    <s v="ok tienen todos los datos"/>
    <e v="#N/A"/>
    <e v="#N/A"/>
    <m/>
    <n v="2"/>
    <n v="10"/>
    <n v="8"/>
    <n v="10"/>
    <n v="20"/>
    <n v="15"/>
    <n v="10"/>
    <n v="9.5"/>
    <n v="9.5"/>
    <n v="74.5"/>
    <n v="0.4"/>
    <m/>
    <n v="2"/>
    <n v="2.5"/>
    <n v="3"/>
    <n v="2"/>
    <n v="2"/>
    <n v="2.5"/>
    <n v="3"/>
    <n v="2"/>
    <n v="72.5"/>
    <n v="0.4"/>
    <n v="0.4"/>
    <e v="#N/A"/>
    <m/>
    <m/>
    <n v="0"/>
    <m/>
    <m/>
    <s v="Comunicación Social"/>
    <e v="#N/A"/>
    <s v="112"/>
    <e v="#N/A"/>
  </r>
  <r>
    <s v="TI"/>
    <n v="1023526184"/>
    <s v="1000404715"/>
    <s v="LAURA ARANGO SUÁREZ"/>
    <s v="Estudios por primera vez"/>
    <x v="1"/>
    <s v="Descartado por est 1 e ingresos bajos"/>
    <m/>
    <s v="En publico objetivo"/>
    <s v="1er Cohorte"/>
    <s v="Admitido"/>
    <s v="larangos1@eafit.edu.co"/>
    <e v="#N/A"/>
    <s v="lauraarangosuarez70@gmail.com"/>
    <s v="573137548944"/>
    <d v="2025-04-25T00:00:00"/>
    <s v="Activo en Programa"/>
    <s v="168-Psicología"/>
    <s v="Escuela de Artes y Humanidades"/>
    <d v="2007-10-15T00:00:00"/>
    <n v="18"/>
    <s v="Antioquia"/>
    <s v="Medellín"/>
    <s v="Mujer"/>
    <s v="Soltero"/>
    <s v="NO"/>
    <s v="NO"/>
    <n v="0"/>
    <s v="NO"/>
    <s v="NA"/>
    <s v="NO"/>
    <s v="NA"/>
    <s v="NO"/>
    <s v="NA"/>
    <s v="No"/>
    <s v="064/462-1938"/>
    <s v="573137548944"/>
    <s v="Estrato 1"/>
    <s v="CR 65 #25 AA- 66"/>
    <s v="Antioquia"/>
    <s v="Bello"/>
    <s v="No aplica, no soy foráneo"/>
    <s v="Arriendo"/>
    <s v="SI"/>
    <s v="2024"/>
    <s v="AC202431629708"/>
    <n v="308"/>
    <n v="67"/>
    <n v="60"/>
    <s v="Pública"/>
    <s v="IE NMAL SUP. MARIA AUXILIADORA"/>
    <n v="2024"/>
    <s v="Antioquia"/>
    <s v="Copacabana"/>
    <s v="BACHILLER"/>
    <s v="ACAD"/>
    <s v="TIPO: Pública, INSTITUCION: IE NMAL SUP. MARIA AUXILIADORA, AÑO: 2024, CIUDAD: Copacabana, TITULO: BACHILLER"/>
    <s v="11"/>
    <s v="Escala Cualitativa"/>
    <s v="Escala de 0 - 5"/>
    <s v="4"/>
    <s v="4,5"/>
    <m/>
    <s v="4"/>
    <s v="4,5"/>
    <m/>
    <n v="4"/>
    <n v="4"/>
    <m/>
    <n v="4.5"/>
    <n v="4.5"/>
    <m/>
    <s v="5"/>
    <s v="4,5"/>
    <m/>
    <s v="4,5"/>
    <s v="4,5"/>
    <m/>
    <s v="5"/>
    <s v="5"/>
    <m/>
    <s v="De 9 y 10"/>
    <n v="4.25"/>
    <s v="NO"/>
    <s v="NA"/>
    <n v="0"/>
    <n v="0"/>
    <s v="No"/>
    <n v="45"/>
    <m/>
    <n v="45"/>
    <m/>
    <n v="50"/>
    <m/>
    <s v="Admitida al programa que se inscribió"/>
    <n v="46.666666666666664"/>
    <s v="Con detalle por componente"/>
    <s v="Trabajo social o comunitario,Artísticas o culturales"/>
    <s v="Mi mamá siempre menciona que cada persona debe seguir lo que su corazón le indique y aunque la psicología tiene un campo de estudio muy amplio y fascinante, mi corazón siempre me ha guiado por el camino de la psicología educativa, psicología clínica o neuropsicología y en el futuro me visualizo y sueño ejerciendo su labor con base a estos tres enfoques._x000a__x000a_Desde la psicología educativa, me gustaría ejercer esta en instituciones educativas, ya que deseo ser  una guía para miles de jóvenes y así poder acompañarlos en su camino de formación tanto en el ser como el hacer y brindar un apoyo para que continúen sus estudios a nivel significativo. _x000a__x000a_En muchos casos hay miles de jóvenes que terminan sus estudios y no saben que hacer, no tienen un apoyo familiar, educativo o social que los motive a seguir estudiando, entonces, con mi profesión deseo impulsar y acompañar a miles de estudiantes para que puedan alcanzar un futuro prometedor._x000a__x000a_Desde la psicología clínica me sueño teniendo mi consultorio, trabajando en fundaciones u hospitales, y a través de estos ayudar a muchas personas a encontrar su mejor versión. Considero que está labor es un acto de amor, ya que es ese soporte para que miles de personas puedan superar todos sus miedos y puedan construir ese individuo que tanto soñaron. _x000a__x000a_Con lo anterior, a través de mi labor me encantaría viajar por todo el país y ser parte de proyectos como la Unicef para poder ayudar a miles de ciudadanos colombianos a encontrar una luz en momentos de penumbra. Por otro lado, desde la neuropsicología me fascinaría participar en proyectos investigativos para comprender mejor nuestro entorno y como nuestra condición humana intercede en este. A través de la beca me gustaría transformar la sociedad colombiana y aportar mi granito de arena para un buen progreso, ya que la psicología es una herramienta clave para un buen desarrollo social."/>
    <s v="Estudiantes de EAFIT"/>
    <s v="Por la calidad académica."/>
    <s v="Vocación."/>
    <n v="2"/>
    <s v="1"/>
    <s v="SI"/>
    <s v="NO"/>
    <s v="Menos de 1millón"/>
    <s v="No"/>
    <n v="0"/>
    <n v="0"/>
    <m/>
    <s v="SI"/>
    <s v="Beca"/>
    <s v="NO"/>
    <s v=""/>
    <s v=""/>
    <s v="Si"/>
    <s v="John Fredy Arango Díaz"/>
    <s v="Otro"/>
    <s v="BACHILLERATO"/>
    <s v="49"/>
    <s v="vendedor"/>
    <s v="Otra"/>
    <s v="Desconozco"/>
    <s v="Desconozco"/>
    <n v="0"/>
    <s v="No"/>
    <s v="NO"/>
    <s v="NO"/>
    <s v="Mi papá no vive conmigo desde finales del año pasado y no aporta económicamente en el hogar"/>
    <s v="Si"/>
    <s v="Silvia Elena Suárez Montoya"/>
    <s v="Otro"/>
    <s v="BACHILLERATO"/>
    <s v="44"/>
    <s v="Mi mamá en este momento  trabaja en lo que le resulte, también vende artículos de revista"/>
    <s v="Trabajador informal"/>
    <s v="En este momento ella esta pendiente de mi hermano y de mi en el hogar y las actividades que realiza las hace en lo que resulte"/>
    <s v="NINGUNA"/>
    <n v="950000"/>
    <s v="Si"/>
    <s v="SI"/>
    <s v="NO"/>
    <s v="Desde que mis papás se separaron la situación no ha sido fácil, ya que muchas veces no contamos con todo lo necesario. A partir de ese momento mi mamá ha estado muy pendiente de nosotros y realiza actividades de acuerdo a lo que le resulte."/>
    <n v="950000"/>
    <s v="Si"/>
    <s v="Samuel Arango Suárez"/>
    <s v="Hermano / Hermana"/>
    <s v="13"/>
    <s v="Estudiante"/>
    <s v="Atanasio Girardot"/>
    <n v="0"/>
    <s v="No"/>
    <s v=""/>
    <s v=""/>
    <s v=""/>
    <s v=""/>
    <s v=""/>
    <m/>
    <s v=""/>
    <s v=""/>
    <s v=""/>
    <s v=""/>
    <s v=""/>
    <s v=""/>
    <m/>
    <s v=""/>
    <s v="El grupo familiar esta conformado por tres personas, mi mamá, mi hermano y yo"/>
    <n v="0"/>
    <n v="0"/>
    <n v="0"/>
    <n v="0"/>
    <n v="0"/>
    <s v="No"/>
    <s v=""/>
    <s v=""/>
    <n v="0"/>
    <s v="No"/>
    <s v=""/>
    <s v=""/>
    <n v="0"/>
    <s v="No"/>
    <s v=""/>
    <s v=""/>
    <s v=""/>
    <n v="0"/>
    <s v="Mi grupo familiar no posee bienes propios ni vehículos"/>
    <n v="4"/>
    <n v="4"/>
    <n v="4"/>
    <n v="4"/>
    <n v="4"/>
    <n v="4"/>
    <n v="4"/>
    <n v="4"/>
    <n v="4"/>
    <n v="4"/>
    <n v="40"/>
    <s v="SI"/>
    <m/>
    <s v="SI, SON PRI"/>
    <s v="ok tienen todos los datos"/>
    <s v="Negada"/>
    <n v="20251"/>
    <m/>
    <n v="3"/>
    <n v="6"/>
    <n v="6"/>
    <n v="5"/>
    <n v="15"/>
    <n v="15"/>
    <n v="20"/>
    <n v="20"/>
    <n v="20"/>
    <n v="81"/>
    <s v="80 - 100%"/>
    <m/>
    <n v="3.5"/>
    <n v="4.5"/>
    <n v="8"/>
    <n v="4"/>
    <n v="3.5"/>
    <n v="4"/>
    <n v="8"/>
    <n v="4.5"/>
    <n v="81"/>
    <s v="80 - 100%"/>
    <n v="1"/>
    <e v="#N/A"/>
    <m/>
    <m/>
    <n v="0"/>
    <m/>
    <m/>
    <s v="Psicología"/>
    <e v="#N/A"/>
    <s v="168"/>
    <e v="#N/A"/>
  </r>
  <r>
    <s v="TI"/>
    <n v="1023593449"/>
    <s v="1000254837"/>
    <s v="MIGUEL ANGEL ZAPATA MONCADA"/>
    <s v="Estudios por primera vez"/>
    <x v="10"/>
    <s v="No cumple, estrato 4"/>
    <s v="Ya pago matricula"/>
    <s v="En publico objetivo"/>
    <s v="3ra Cohorte"/>
    <s v="Admitido"/>
    <s v="mazapatam3@eafit.edu.co"/>
    <s v="mazapatam3@eafit.edu.co"/>
    <s v="miguelangelzapatamoncada5@gmail.com"/>
    <s v="321/954-1662"/>
    <d v="2025-05-30T00:00:00"/>
    <s v="Activo en Programa"/>
    <s v="002-Negocios Internacionales"/>
    <s v="Escuela de Administración"/>
    <d v="2007-12-17T00:00:00"/>
    <n v="17"/>
    <s v="Antioquia"/>
    <s v="Medellín"/>
    <s v="Hombre"/>
    <s v="Soltero"/>
    <s v="NO"/>
    <s v="NO"/>
    <n v="0"/>
    <s v="NO"/>
    <s v="NA"/>
    <s v="NO"/>
    <s v="NA"/>
    <s v="NO"/>
    <s v="NA"/>
    <s v="No"/>
    <s v="310/514-9370"/>
    <s v="321/954-1662"/>
    <s v="Estrato 4"/>
    <s v="Calle 40aa sur"/>
    <s v="Antioquia"/>
    <s v="Envigado"/>
    <s v="No aplica, no soy foráneo"/>
    <s v="Propio"/>
    <s v="SI"/>
    <s v="2024"/>
    <s v="AC202433290269"/>
    <n v="415"/>
    <n v="80"/>
    <n v="79"/>
    <s v="Privada"/>
    <s v="COLEGIO LA SALLE ENVIGADO"/>
    <n v="2024"/>
    <s v="Antioquia"/>
    <s v="Envigado"/>
    <s v="BACHILLER"/>
    <s v="ACAD"/>
    <s v="TIPO: Privada, INSTITUCION: COLEGIO LA SALLE ENVIGADO, AÑO: 2024, CIUDAD: Envigado, TITULO: BACHILLER"/>
    <s v="11"/>
    <s v="Escala de 0 - 5"/>
    <s v="Escala de 0 - 5"/>
    <s v="4,4"/>
    <s v="4,3"/>
    <m/>
    <s v="4"/>
    <s v="4,6"/>
    <m/>
    <n v="4.5999999999999996"/>
    <n v="5"/>
    <m/>
    <n v="4.5"/>
    <n v="4"/>
    <m/>
    <s v="4,4"/>
    <s v="4,5"/>
    <m/>
    <s v="4,5"/>
    <s v="4"/>
    <m/>
    <s v="4,2"/>
    <s v="4"/>
    <m/>
    <s v="De 9 y 10"/>
    <n v="4.5250000000000004"/>
    <s v="NO"/>
    <s v="NA"/>
    <n v="0"/>
    <n v="0"/>
    <s v="No"/>
    <n v="35"/>
    <m/>
    <n v="40"/>
    <m/>
    <n v="40"/>
    <m/>
    <m/>
    <n v="38.333333333333336"/>
    <s v="Con detalle por componente"/>
    <s v="Espacios de liderazgo o representación social,Trabajo social o comunitario"/>
    <s v="Señores y señoras de la mesa de admisión, ejercer Negocios Internacionales como se supone que debe ser, con traje y siguiendo manuales obsoletos en la actualidad, no es para mí. El mundo cambia rápido y yo no pienso quedarme atrás haciendo lo mismo de siempre. El conocimiento es lo único que nadie me puede quitar, y con o sin la beca, transformare Medellín, Colombia y el mundo a mi manera. Para mi esto es el verdadero experimento, donde el fallar o no no importa sino el ver que si funciona y el porque de esto._x000a__x000a_No me interesa esperar años ni hacer proyectos que solo suenan bien en papel y en la teoría. Quiero experimentar en el mundo bajo la práctica y no la teoría, crear conexiones de beneficio mutuo, abrir puertas que otros ni siquiera se imaginan en alcanzar, y cambiar la forma en que aquí y en el mundo se hacen los negocios, sin importar el costo, el tiempo o las desiciones que se deban tomar. Se puede tomar como exceso de confianza o ego, pero jamás como palabrería vacia, no de mi._x000a__x000a_Mi visión es que se deje de pensar siempre en pequeño, que si como cambiarias el entorno que te rodea, y pasar a como cambiarias el mundo porque, aunque muchas personas pongan sus palabras vacias, la ambición en muchas de las mentes es la que comienza las acciones para lograr esas &quot;palabras vacias&quot;. _x000a__x000a_Con lo que aprenda, hare lo que deba de hacer, y que se adapten los demás a las nuevas formas de hacer las cosas, porque yo no me conformaré con la mediocridad de este país, porque al final, eso es lo que realmente cambia nuestro juego de la vida."/>
    <s v="A través del Colegio"/>
    <s v="Internacionalización."/>
    <s v="Recomendación."/>
    <n v="4"/>
    <s v="1"/>
    <s v="NO"/>
    <s v="SI"/>
    <s v="Entre 10 y 11 millones"/>
    <s v="No"/>
    <s v="SI"/>
    <n v="0"/>
    <m/>
    <n v="0"/>
    <m/>
    <s v="NO"/>
    <s v=""/>
    <s v=""/>
    <s v="Si"/>
    <s v="John Jairo Zapata Marulanda"/>
    <s v="Casado"/>
    <s v="TECNOLOGÍA"/>
    <s v="59"/>
    <s v="Tecnólogo en topografía"/>
    <s v="Empleado (con contrato laboral)"/>
    <s v="Topógrafo"/>
    <s v="Alcaldía de Medellín"/>
    <n v="4400869"/>
    <s v="Si"/>
    <s v="SI"/>
    <s v="SI"/>
    <s v="Mi padre, en mi honesta opinión, es un hombre muy sociable, diría que excepcionalmente sociable, algo de lo cual estoy muy interesado, si embargo es alguien careciente de ambición, lo cuál es un poco decepcionante, y aunque es un hombre con una gran amabilidad, esto le ha generado más problemas que beneficios. Diria que esa amabilidad es una de las razones porque es tan sociable, pero no toda la gente agradece correctamente su amabilidad. No digo que la amabilidad este mal, sino que uno debe de conocer y analizar a quienes y cuando ofrecer tu amabilidad, si es así siempre será una ventaja para ti."/>
    <s v="Si"/>
    <s v="Luz Dary del Socorro Moncada Gallego"/>
    <s v="Casado"/>
    <m/>
    <s v="54"/>
    <s v="Administradora de empresas"/>
    <s v="Labores del hogar y cuidado"/>
    <s v="Rentadora de capital"/>
    <s v="N/A"/>
    <n v="3100000"/>
    <s v="Si"/>
    <s v="SI"/>
    <s v="SI"/>
    <s v="Mi madre es alguien de la cual estoy profundamente orgulloso, sin embargo como yo y como todos tenemos debilidades. Ella es alguien que no se caracteriza de tener la mayor ambición del mundo, sin embargo es alguien de la cual si se apasiona con algo, la frase &amp;quot;perro viejo no aprende trucos nuevos&amp;quot; no aplica en ella. Esta es algo que admiro mucho de ella, además de tener esa iniciativa que la a llevado a donde ella ha querido sin tener que esperar a que las cosas mágicamente se alineen, algo que orgullosamente admito que aprendi de ella. Sin embargo algo que si le reclamo que es su vergüenza ante cosas y personas nuevas. Hay un punto donde incluso aunque sea obvio lo que debe de hacer su vergüenza e inseguridad la hace dudar y sobre pensar sobre que hacer."/>
    <n v="7500869"/>
    <s v="Si"/>
    <s v="Juan David Zapata Moncada"/>
    <s v="Hermano / Hermana"/>
    <s v="20"/>
    <s v="Estudiante universitario"/>
    <s v="Eafit"/>
    <n v="0"/>
    <s v="No"/>
    <s v=""/>
    <s v=""/>
    <s v=""/>
    <s v=""/>
    <s v=""/>
    <m/>
    <s v=""/>
    <s v=""/>
    <s v=""/>
    <s v=""/>
    <s v=""/>
    <s v=""/>
    <m/>
    <s v=""/>
    <s v=""/>
    <n v="22589800"/>
    <n v="411834000"/>
    <n v="76519620"/>
    <n v="0"/>
    <n v="0"/>
    <s v="No"/>
    <s v=""/>
    <s v=""/>
    <n v="0"/>
    <s v="No"/>
    <s v=""/>
    <s v=""/>
    <n v="0"/>
    <s v="No"/>
    <s v=""/>
    <s v=""/>
    <s v=""/>
    <n v="0"/>
    <m/>
    <n v="4"/>
    <n v="4"/>
    <n v="4"/>
    <n v="4"/>
    <n v="4"/>
    <n v="4"/>
    <n v="4"/>
    <n v="4"/>
    <n v="4"/>
    <n v="4"/>
    <n v="40"/>
    <s v="SI"/>
    <m/>
    <s v="SI, SON PRI"/>
    <s v="ok tienen todos los datos"/>
    <e v="#N/A"/>
    <e v="#N/A"/>
    <m/>
    <n v="3"/>
    <n v="4"/>
    <n v="4"/>
    <n v="15"/>
    <n v="20"/>
    <n v="15"/>
    <n v="10"/>
    <n v="5.5"/>
    <n v="5.5"/>
    <n v="69.5"/>
    <n v="0.4"/>
    <n v="0.4"/>
    <n v="2"/>
    <n v="2.5"/>
    <n v="1"/>
    <n v="0"/>
    <n v="2"/>
    <n v="2.5"/>
    <n v="1"/>
    <n v="0"/>
    <n v="69.5"/>
    <n v="0.4"/>
    <n v="0.4"/>
    <e v="#N/A"/>
    <m/>
    <m/>
    <n v="0"/>
    <m/>
    <m/>
    <s v="Negocios Internacionales"/>
    <e v="#N/A"/>
    <m/>
    <e v="#N/A"/>
  </r>
  <r>
    <s v="CC"/>
    <n v="1023626449"/>
    <s v="1000408376"/>
    <s v="MICHELL MENDEZ GUTIERREZ"/>
    <s v="Transferencia Externa"/>
    <x v="1"/>
    <s v="No cumple, otros estudios de pregrado"/>
    <m/>
    <s v="En publico objetivo"/>
    <s v="2da Cohorte"/>
    <s v="Admitido"/>
    <s v="mmendezg2@eafit.edu.co"/>
    <e v="#N/A"/>
    <s v="michellmendezgz@gmail.com"/>
    <s v="305/479-0883"/>
    <d v="2025-05-16T00:00:00"/>
    <s v="Activo en Programa"/>
    <s v="001-Administración de Negocios"/>
    <s v="Escuela de Administración"/>
    <d v="2005-05-19T00:00:00"/>
    <n v="20"/>
    <s v="Antioquia"/>
    <s v="Medellín"/>
    <s v="Mujer"/>
    <s v="Soltero"/>
    <s v="NO"/>
    <s v="NO"/>
    <n v="0"/>
    <s v="NO"/>
    <s v="NA"/>
    <s v="NO"/>
    <s v="NA"/>
    <s v="NO"/>
    <s v="NA"/>
    <s v="No"/>
    <s v="no tenemos"/>
    <s v="305/479-0883"/>
    <s v="Estrato 2"/>
    <s v="DG 43 #34 65"/>
    <s v="Antioquia"/>
    <s v="Bello"/>
    <s v="No aplica, no soy foráneo"/>
    <s v="Propio"/>
    <s v="SI"/>
    <s v="2022"/>
    <s v="AC202241773993"/>
    <n v="320"/>
    <n v="72"/>
    <n v="67"/>
    <s v="Pública"/>
    <s v="IE LICEO ANTIOQUEÑO"/>
    <n v="2024"/>
    <m/>
    <s v="Medellín"/>
    <s v="Tecnólogo"/>
    <n v="0"/>
    <m/>
    <n v="0"/>
    <n v="0"/>
    <s v="PCA TEX"/>
    <m/>
    <m/>
    <m/>
    <m/>
    <m/>
    <m/>
    <m/>
    <m/>
    <m/>
    <m/>
    <m/>
    <m/>
    <m/>
    <m/>
    <m/>
    <m/>
    <m/>
    <m/>
    <m/>
    <m/>
    <m/>
    <s v="Ver PCA TEX"/>
    <n v="4.5"/>
    <s v="SI"/>
    <s v="TIPO: Pública, INSTITUCION: SERVICIO NACIONAL DE APRENDIZA, AÑO: 2024, CIUDAD: Medellín, TITULO: TECNOLOGIA EN GESTIÓN ADMINISTRATIVA | TIPO: Privada, INSTITUCION: FUNDACION UNV. MARIA CANO, AÑO: 0, CIUDAD: Medellín, TITULO: ADMINISTRADOR DE EMPRESAS (Medellín)"/>
    <s v="PREGRADO"/>
    <s v=" TITULO: ADMINISTRADOR DE EMPRESAS (Medellín)"/>
    <s v="No"/>
    <n v="45"/>
    <m/>
    <n v="50"/>
    <m/>
    <n v="50"/>
    <m/>
    <s v="estudia en la Maria Cano, es bailarina, porque es una pasión y esto le permite liderar su grupo, SIN RECONOCIMIENTO, mas adelante quiere tener su propia empresa"/>
    <n v="48.333333333333336"/>
    <s v="Con detalle por componente"/>
    <s v="Artísticas o culturales,Espacios de liderazgo o representación social"/>
    <s v="Cordial saludo, _x000a_Decidida a formarme desde mi propósito de vida, emprender para aportar en la transformación cultural, educativa y tecnológica. Me visualizo creando un producto o servicio con un mensaje que enriquezca la conciencia colectiva, guiada por la narrativa del individualismo (autosuficiencia) que, aunque no desvalorizo, encuentro necesaria la recuperación del valor que damos a la colaboración humana, como motor del cambio._x000a_Identifico el agotamiento por la rapidez y superficialidad obtenida actualmente (entretenimiento) y deseo aportar al interés de aprender y pensar. Percibo más preferencia por el entretenimiento sobre el conocimiento, pero sé que deseamos impactar positivamente sin limitarnos a lo aprendido. El reto es transmitir un propósito que movilice al aprendizaje y vinculación sin saturarnos de productividad. Planeo inspirar y ayudar emprendimientos, al desarrollo de pensamientos profundos para la superación, reconociendo la inequidad del país y sumando desde esta meta._x000a_Mi impulso tras la pérdida de mi madre, fue reconocer la oportunidad para agradecer y reinventarme, aprovechando el potencial transformador del cambio personal, las enseñanzas de quienes me acompañan y los retos, que forman parte de mi identidad y de la realidad colectiva, a la que quiero retribuir con gratitud._x000a_Liderar grupos de danza con personas sin experiencia me permitió ver a quienes no se sentían cómodos al sonreír o bailar inicialmente, dispuestos a aprender y compartirme sus ideas. En el escenario ver sus sonrisas, ganar el premio en presencia escénica, reconoció nuestra energía y lo que cambiamos desde adentro. _x000a_Aprendí que una visión compartida une, el esfuerzo individual trasciende a lo colectivo, inspirándome en mi propósito personal y profesional. EAFIT representa los logros de su comunidad que transforma retos en oportunidades de mejora continua, con su cultura de emprendimiento y ON.going, integra las oportunidades de contribuir desde el conocimiento y nutre mi visión para construir una Colombia equitativa."/>
    <s v="Amigos"/>
    <s v="Por la calidad académica."/>
    <s v="Vocación."/>
    <n v="3"/>
    <s v="0"/>
    <s v="SI"/>
    <s v="NO"/>
    <s v="Entre 3 y 4 millones"/>
    <s v="No"/>
    <n v="0"/>
    <n v="0"/>
    <m/>
    <s v="SI"/>
    <s v="Beca"/>
    <s v="NO"/>
    <s v=""/>
    <s v=""/>
    <s v="Si"/>
    <s v="Jairo Arturo Méndez Méndez"/>
    <s v="Casado"/>
    <s v="TÉCNICA"/>
    <s v="51"/>
    <s v="Manejo de caja, atención al cliente en puntos de pago."/>
    <s v="Empleado (con contrato laboral)"/>
    <s v="Auxiliar operativo puntos de pago"/>
    <s v="Éxito"/>
    <n v="1697300"/>
    <s v="Si"/>
    <s v="NO"/>
    <s v="NO"/>
    <s v="Mi padre es responsable de mis dos abuelos, adultos mayores que no tienen pensión y no aportan económicamente al hogar debido a que no tienen ingresos, viven con nosotros, su bienestar tanto su salud como su alimentación dependen de nosotros como familia y no contamos con los recursos suficientes para pagar la matrícula."/>
    <s v="No, fallecida"/>
    <s v=""/>
    <m/>
    <m/>
    <m/>
    <s v=""/>
    <s v=""/>
    <m/>
    <s v=""/>
    <m/>
    <s v=""/>
    <m/>
    <m/>
    <m/>
    <n v="1697300"/>
    <s v="Si"/>
    <s v="Martha Méndez de Méndez"/>
    <s v="Abuelo / Abuela"/>
    <s v="73"/>
    <s v="Ama de casa"/>
    <s v="N/A"/>
    <n v="0"/>
    <s v="No"/>
    <s v="Jairo Leon Mendez álzate"/>
    <s v="Abuelo / Abuela"/>
    <s v="72"/>
    <s v="N/a"/>
    <s v="N/A"/>
    <n v="0"/>
    <s v="No"/>
    <s v=""/>
    <s v=""/>
    <s v=""/>
    <s v=""/>
    <s v=""/>
    <m/>
    <s v=""/>
    <s v=""/>
    <n v="18255000"/>
    <n v="0"/>
    <n v="0"/>
    <n v="0"/>
    <n v="0"/>
    <s v="No"/>
    <s v=""/>
    <s v=""/>
    <n v="0"/>
    <s v="No"/>
    <s v=""/>
    <s v=""/>
    <n v="0"/>
    <s v="No"/>
    <s v=""/>
    <s v=""/>
    <s v=""/>
    <n v="0"/>
    <m/>
    <n v="4"/>
    <n v="4"/>
    <n v="4"/>
    <n v="4"/>
    <n v="4"/>
    <n v="4"/>
    <n v="4"/>
    <n v="4"/>
    <n v="4"/>
    <n v="4"/>
    <n v="40"/>
    <s v="SI"/>
    <s v="SI, TIPO IE"/>
    <s v="TEX SIN TIPO DE IE"/>
    <s v="pendiente tipo ie"/>
    <e v="#N/A"/>
    <e v="#N/A"/>
    <m/>
    <n v="3"/>
    <n v="10"/>
    <n v="10"/>
    <n v="5"/>
    <n v="20"/>
    <n v="15"/>
    <n v="20"/>
    <n v="18.5"/>
    <n v="17"/>
    <n v="87"/>
    <n v="0.5"/>
    <m/>
    <n v="3.5"/>
    <n v="2.5"/>
    <n v="8"/>
    <n v="3"/>
    <n v="3.5"/>
    <n v="2.5"/>
    <n v="8"/>
    <n v="4.5"/>
    <n v="88.5"/>
    <n v="0.7"/>
    <n v="0.8"/>
    <e v="#N/A"/>
    <m/>
    <m/>
    <s v="SI, TIPO IE"/>
    <m/>
    <m/>
    <s v="Administración de Negocios"/>
    <e v="#N/A"/>
    <s v="001"/>
    <e v="#N/A"/>
  </r>
  <r>
    <s v="CC"/>
    <n v="1023627353"/>
    <s v="1000407650"/>
    <s v="PABLO RESTREPO BOLAÑO"/>
    <s v="Estudios por primera vez"/>
    <x v="1"/>
    <s v="Descartado por PG y pregrado"/>
    <m/>
    <s v="En publico objetivo"/>
    <s v="2da Cohorte"/>
    <s v="Admitido"/>
    <s v="prestrepb1@eafit.edu.co"/>
    <e v="#N/A"/>
    <s v="pablo.bertinellyb@gmail.com"/>
    <s v="573125601642"/>
    <d v="2025-05-16T00:00:00"/>
    <s v="Activo en Programa"/>
    <s v="112-Comunicación Social"/>
    <s v="Escuela de Artes y Humanidades"/>
    <d v="2005-09-14T00:00:00"/>
    <n v="20"/>
    <s v="Antioquia"/>
    <s v="Medellín"/>
    <s v="Hombre"/>
    <s v="Soltero"/>
    <s v="NO"/>
    <s v="NO"/>
    <n v="0"/>
    <s v="NO"/>
    <s v="NA"/>
    <s v="NO"/>
    <s v="NA"/>
    <s v="NO"/>
    <s v="NA"/>
    <s v="No"/>
    <s v="456-4893"/>
    <s v="573125601642"/>
    <s v="Estrato 3"/>
    <s v="CL 64 B #65 D 52"/>
    <s v="Antioquia"/>
    <s v="Bello"/>
    <s v="No aplica, no soy foráneo"/>
    <s v="Propio"/>
    <s v="SI"/>
    <s v="2023"/>
    <s v="AC202346057327"/>
    <n v="327"/>
    <n v="56"/>
    <n v="71"/>
    <s v="Privada"/>
    <s v="COL MANO AMIGA"/>
    <n v="2023"/>
    <m/>
    <s v="Bello"/>
    <s v="Técnico"/>
    <s v="BACHILLER"/>
    <s v="TIPO: Privada, INSTITUCION: COL MANO AMIGA, AÑO: 2023, CIUDAD: Bello, TITULO: BACHILLER"/>
    <s v="11"/>
    <s v="Escala Desempeño"/>
    <s v="Escala de 0 - 5"/>
    <s v="4,5"/>
    <s v="4"/>
    <m/>
    <s v="4,5"/>
    <s v="4"/>
    <m/>
    <n v="4.5"/>
    <n v="4"/>
    <m/>
    <n v="4.5"/>
    <n v="4"/>
    <m/>
    <s v="4,5"/>
    <s v="4"/>
    <m/>
    <s v="4,5"/>
    <s v="4,5"/>
    <m/>
    <s v="4,5"/>
    <s v="4,5"/>
    <m/>
    <s v="De 9 y 10"/>
    <n v="4.25"/>
    <s v="NO"/>
    <s v="NA"/>
    <n v="0"/>
    <n v="0"/>
    <s v="No"/>
    <n v="40"/>
    <m/>
    <n v="45"/>
    <m/>
    <n v="50"/>
    <m/>
    <m/>
    <n v="45"/>
    <s v="Con detalle por componente"/>
    <s v="Artísticas o culturales,Espacios de liderazgo o representación social,Trabajo social o comunitario"/>
    <s v="Me visualizo como un ser transformador, que desde la narrativa de su entorno social se vuelve un referente de trascendencia y respeto, para mi el ser comunicador social mas que un sueño cumplido es una nueva meta para reescribir el legado de mi comunidad, que me ha visto crecer y desarrollarme como artista que vio todo mi proceso  desde muy pequeño, al mundo de la comunicación en todas sus ramas , desde ser partícipe de clubs de lectura y escritura, pasando por mi participación constante en actos cívicos con oratoria , expresión corporal   y la revista escolar , hasta llegar a ser personero estudiantil y coordinar el noticiero del colegio, un líder nato y una persona fuera de lo común, que siempre se ha destacado por trascender y perseverar, aun bajo la sombra de la opinión equivoca de una sociedad que solo nos categoriza como violentos e ignorantes, y no como lo que realmente es, un municipio lleno de artistas, de personas que quien salir adelante y que con un apoyo como una beca cambiarían el destino de todo un presente que será el mejor futuro para los que siguen nuestros pasos o encuentran un nuevo camino,  con un plan de desarrollo que se da a la apertura panorámica de otras entidades como la EAFIT, en la que no tener recursos no es una excusa o un impedimento para desarrollar todo su talento y su potencial a nivel profesional, en una universidad que proporciona un universo lleno de posibilidades de desarrollo personal y social, utilizando como bases la educación superior y la sed de conocimiento en mi comunidad para avanzar a un mejor futuro."/>
    <s v="EAFIT es una experiencia"/>
    <s v="Proyección laboral."/>
    <s v="Vocación."/>
    <n v="3"/>
    <s v="0"/>
    <s v="NO"/>
    <s v="NO"/>
    <s v="Entre 1 y 2 millones"/>
    <s v="No"/>
    <s v="NO"/>
    <n v="0"/>
    <m/>
    <s v="SI"/>
    <s v="Beca"/>
    <s v="SI"/>
    <s v="KONECTA"/>
    <s v="Asesor comercial"/>
    <s v="Si"/>
    <s v="Camilo Restrepo Arango"/>
    <s v="Soltero"/>
    <s v="UNIVERSITARIOS"/>
    <s v="39"/>
    <s v="Abogado"/>
    <s v="Independiente (trabaja por cuenta propia)"/>
    <s v="Trabajos remotos"/>
    <s v="N/A"/>
    <n v="1200000"/>
    <s v="No"/>
    <s v="NO"/>
    <s v="NO"/>
    <s v="No hace parte del núcleo familiar inmediato, poco contacto con el aspirante"/>
    <s v="Si"/>
    <s v="Tania Sofia Bolaño Hoyos"/>
    <s v="Soltero"/>
    <s v="TECNOLOGÍA"/>
    <s v="39"/>
    <s v="Tecnóloga en gestión humana"/>
    <s v="Desempleado (Se encuentra en la búsqueda activa de empleo)"/>
    <s v="N/A"/>
    <s v="N/A"/>
    <n v="200000"/>
    <s v="Si"/>
    <s v="NO"/>
    <s v="NO"/>
    <s v="Hace parte del núcleo familiar inmediato, se encuentra en la búsqueda de empelo y desarrollo académico"/>
    <n v="1400000"/>
    <s v="Si"/>
    <s v="Damiana hoyos"/>
    <s v="Abuelo / Abuela"/>
    <s v="63"/>
    <s v="Pensionada"/>
    <s v="N/A"/>
    <n v="1423500"/>
    <s v="Si"/>
    <s v=""/>
    <s v=""/>
    <s v=""/>
    <s v=""/>
    <s v=""/>
    <m/>
    <s v=""/>
    <s v=""/>
    <s v=""/>
    <s v=""/>
    <s v=""/>
    <s v=""/>
    <m/>
    <s v=""/>
    <s v="Actualmente solo aportan económicamente al hogar el aspirante y la abuela"/>
    <n v="71962000"/>
    <n v="0"/>
    <n v="0"/>
    <n v="0"/>
    <n v="0"/>
    <s v="No"/>
    <s v=""/>
    <s v=""/>
    <n v="0"/>
    <s v="No"/>
    <s v=""/>
    <s v=""/>
    <n v="0"/>
    <s v="No"/>
    <s v=""/>
    <s v=""/>
    <s v=""/>
    <n v="0"/>
    <m/>
    <n v="4"/>
    <n v="4"/>
    <n v="3"/>
    <n v="4"/>
    <n v="3"/>
    <n v="4"/>
    <n v="3"/>
    <n v="3"/>
    <n v="4"/>
    <n v="3"/>
    <n v="35"/>
    <s v="SI"/>
    <m/>
    <s v="SI, SON PRI"/>
    <s v="ok tienen todos los datos"/>
    <s v="Negada"/>
    <n v="20251"/>
    <m/>
    <n v="2"/>
    <n v="10"/>
    <n v="8"/>
    <n v="5"/>
    <n v="15"/>
    <n v="15"/>
    <n v="15"/>
    <n v="15.5"/>
    <n v="15.5"/>
    <n v="75.5"/>
    <n v="0.4"/>
    <m/>
    <n v="2"/>
    <n v="2.5"/>
    <n v="8"/>
    <n v="3"/>
    <n v="2"/>
    <n v="2.5"/>
    <n v="8"/>
    <n v="3"/>
    <n v="73.5"/>
    <n v="0.5"/>
    <n v="0.5"/>
    <e v="#N/A"/>
    <m/>
    <m/>
    <n v="0"/>
    <m/>
    <m/>
    <s v="Comunicación Social"/>
    <e v="#N/A"/>
    <s v="112"/>
    <e v="#N/A"/>
  </r>
  <r>
    <s v="CC"/>
    <n v="1023631352"/>
    <s v="1000396628"/>
    <s v="SALOME POSADA RICO"/>
    <s v="Estudios por primera vez"/>
    <x v="1"/>
    <s v="Descartado por notas"/>
    <m/>
    <s v="En publico objetivo"/>
    <s v="3ra Cohorte"/>
    <s v="Admitido"/>
    <s v="sposadar6@eafit.edu.co"/>
    <s v="sposadar6@eafit.edu.co"/>
    <s v="posadaricosalome@gmail.com"/>
    <s v="573136558416"/>
    <d v="2025-05-30T00:00:00"/>
    <s v="Activo en Programa"/>
    <s v="001-Administración de Negocios"/>
    <s v="Escuela de Administración"/>
    <d v="2006-12-30T00:00:00"/>
    <n v="18"/>
    <s v="Antioquia"/>
    <s v="Medellín"/>
    <s v="Mujer"/>
    <s v="Soltero"/>
    <s v="NO"/>
    <s v="NO"/>
    <n v="0"/>
    <s v="NO"/>
    <s v="NA"/>
    <s v="NO"/>
    <s v="NA"/>
    <s v="NO"/>
    <s v="NA"/>
    <s v="No"/>
    <s v="313/655-8416"/>
    <s v="573136558416"/>
    <s v="Estrato 3"/>
    <s v="CL 61 56 51"/>
    <s v="Antioquia"/>
    <s v="Medellín"/>
    <s v="No aplica, no soy foráneo"/>
    <s v="Arriendo"/>
    <s v="SI"/>
    <s v="2024"/>
    <s v="AC202433269032"/>
    <n v="327"/>
    <n v="65"/>
    <n v="68"/>
    <s v="Pública"/>
    <s v="INST EDUC CEFA"/>
    <n v="2024"/>
    <s v="Antioquia"/>
    <s v="Medellín"/>
    <s v="BACHILLER"/>
    <s v="TECN"/>
    <s v="TIPO: Pública, INSTITUCION: INST EDUC CEFA, AÑO: 2024, CIUDAD: Medellín, TITULO: BACHILLER"/>
    <s v="11"/>
    <s v="Escala de 0 - 5"/>
    <s v="Escala de 0 - 5"/>
    <s v="4,5"/>
    <s v="3,7"/>
    <m/>
    <s v="4,5"/>
    <s v="4,5"/>
    <m/>
    <n v="4.3"/>
    <n v="3.4"/>
    <m/>
    <n v="3.8"/>
    <n v="3.3"/>
    <m/>
    <s v="3,3"/>
    <s v="3,4"/>
    <m/>
    <s v="4"/>
    <s v="3,4"/>
    <m/>
    <s v="3,9"/>
    <s v="4"/>
    <m/>
    <s v="De 9 y 10"/>
    <n v="3.7"/>
    <s v="NO"/>
    <s v="NA"/>
    <n v="0"/>
    <n v="0"/>
    <s v="No"/>
    <n v="50"/>
    <m/>
    <n v="50"/>
    <m/>
    <n v="50"/>
    <m/>
    <s v="tiene 18 años es lider en grupos estudiantiles de colegios, le encanta el sector público y trabaja con el secretario de juventudes, quiere mas adelante estar en la gestión de la educación, es lider, se expresa bien, le gusta EAFIT por recomendaciones y egresados"/>
    <n v="50"/>
    <s v="Con detalle por componente"/>
    <s v="Espacios de liderazgo o representación social,Trabajo social o comunitario"/>
    <s v="Me visualizo ejerciendo mi carrera en administración de negocios como una profesional integral, líder y comprometida con la transformación social de mi país y cuidad. Quiero impulsar proyectos de desarrollo económico sostenible que conecten el talento local con oportunidades globales, generando alianzas entre el sector público, privado y comunitario. Desde joven he estado involucrada en procesos sociales y liderazgos juveniles, lo que me ha permitido comprender las necesidades reales de mi entorno y el potencial de los jóvenes y sus emprendimientos._x000a__x000a_La beca representa para mí mucho más que un apoyo económico, la beca me permitirá acceder a una formación de calidad, lo cual representa una herramienta poderosa para potenciar mis capacidades y construir soluciones reales para los retos de mi entorno y cuidad. Al no tener que preocuparme por barreras económicas, podré concentrarme en aprender, participar en semilleros de investigación, liderar proyectos sociales y seguir trabajando por el bienestar de las juventudes de Medellín y Antioquia. _x000a__x000a__x000a_Sueño con crear una plataforma que promueva emprendimientos liderados por jóvenes y mujeres, fortaleciendo sus capacidades en comercio y sostenibilidad. Gracias a la beca, puedo desarrollar las habilidades necesarias para liderar ese tipo de procesos. Creo profundamente en el poder de la educación y el liderazgo para transformar realidades, y aspiro a ser quien CREA, INSPIRA Y TRASFORMA a millones de jóvenes en mi cuidad, esta beca es esa oportunidad para hacerlo, y estoy lista para multiplicarla en impacto en mi región."/>
    <s v="EAFIT es una experiencia"/>
    <s v="Por la calidad académica."/>
    <s v="Alta empleabilidad."/>
    <n v="1"/>
    <s v="0"/>
    <s v="SI"/>
    <s v="NO"/>
    <s v="Entre 1 y 2 millones"/>
    <s v="No"/>
    <n v="0"/>
    <n v="0"/>
    <m/>
    <s v="SI"/>
    <s v="Beca"/>
    <s v="NO"/>
    <s v=""/>
    <s v=""/>
    <s v="Si"/>
    <s v="Joaquín posada Rodas"/>
    <s v="Soltero"/>
    <s v="BACHILLERATO"/>
    <s v="48"/>
    <s v="Independiente"/>
    <s v="Independiente (trabaja por cuenta propia)"/>
    <s v="Constructor"/>
    <s v="No aplica"/>
    <n v="1200000"/>
    <s v="No"/>
    <s v="NO"/>
    <s v="NO"/>
    <s v="no aporta económicamente en mi hogar"/>
    <s v="Si"/>
    <s v="Nataly Marcela rico suaza"/>
    <s v="Otro"/>
    <m/>
    <s v="40"/>
    <s v="Independiente"/>
    <s v="Independiente (trabaja por cuenta propia)"/>
    <s v="Mensajera"/>
    <s v="NO APLICA"/>
    <n v="1800000"/>
    <s v="Si"/>
    <s v="NO"/>
    <s v="SI"/>
    <m/>
    <n v="3000000"/>
    <s v="No, solo vivo con mis padres"/>
    <s v=""/>
    <s v=""/>
    <s v=""/>
    <s v=""/>
    <s v=""/>
    <m/>
    <s v=""/>
    <s v=""/>
    <s v=""/>
    <s v=""/>
    <s v=""/>
    <s v=""/>
    <m/>
    <s v=""/>
    <s v=""/>
    <s v=""/>
    <s v=""/>
    <s v=""/>
    <s v=""/>
    <m/>
    <s v=""/>
    <s v=""/>
    <n v="0"/>
    <n v="0"/>
    <n v="0"/>
    <n v="0"/>
    <n v="0"/>
    <s v="No"/>
    <s v=""/>
    <s v=""/>
    <n v="0"/>
    <s v="No"/>
    <s v=""/>
    <s v=""/>
    <n v="0"/>
    <s v="No"/>
    <s v=""/>
    <s v=""/>
    <s v=""/>
    <n v="0"/>
    <m/>
    <n v="4"/>
    <n v="4"/>
    <n v="4"/>
    <n v="4"/>
    <n v="3"/>
    <n v="4"/>
    <n v="3"/>
    <n v="4"/>
    <n v="4"/>
    <n v="3"/>
    <n v="37"/>
    <s v="SI"/>
    <m/>
    <s v="SI, SON PRI"/>
    <s v="ok tienen todos los datos"/>
    <s v="Negada"/>
    <n v="20251"/>
    <m/>
    <n v="3"/>
    <n v="10"/>
    <n v="8"/>
    <n v="5"/>
    <n v="10"/>
    <n v="15"/>
    <n v="20"/>
    <n v="20"/>
    <n v="20"/>
    <n v="80"/>
    <s v="80 - 100%"/>
    <m/>
    <n v="3.5"/>
    <n v="4.5"/>
    <n v="8"/>
    <n v="4"/>
    <n v="3.5"/>
    <n v="4"/>
    <n v="8"/>
    <n v="4.5"/>
    <n v="78"/>
    <s v="80 - 100%"/>
    <n v="1"/>
    <e v="#N/A"/>
    <s v="se sube para tener 1 beca del 100% en el pregrado"/>
    <m/>
    <n v="0"/>
    <m/>
    <m/>
    <s v="Administración de Negocios"/>
    <e v="#N/A"/>
    <s v="001"/>
    <e v="#N/A"/>
  </r>
  <r>
    <s v="TI"/>
    <n v="1023634882"/>
    <s v="1000390111"/>
    <s v="SUSANA SANCHEZ TABARES"/>
    <s v="Estudios por primera vez"/>
    <x v="1"/>
    <s v="Descartado por ingresos altos"/>
    <m/>
    <s v="En publico objetivo"/>
    <s v="2da Cohorte"/>
    <s v="Admitido"/>
    <s v="ssanchezt3@eafit.edu.co"/>
    <s v="ssanchezt3@eafit.edu.co"/>
    <s v="suzysancheztabares09@gmail.com"/>
    <s v="301/320-3571"/>
    <d v="2025-05-16T00:00:00"/>
    <s v="Activo en Programa"/>
    <s v="002-Negocios Internacionales"/>
    <s v="Escuela de Administración"/>
    <d v="2008-06-09T00:00:00"/>
    <n v="17"/>
    <s v="Antioquia"/>
    <s v="Medellín"/>
    <s v="Mujer"/>
    <s v="Soltero"/>
    <s v="NO"/>
    <s v="NO"/>
    <n v="0"/>
    <s v="NO"/>
    <s v="NA"/>
    <s v="NO"/>
    <s v="NA"/>
    <s v="NO"/>
    <s v="NA"/>
    <s v="No"/>
    <s v="301 3203571"/>
    <s v="301/320-3571"/>
    <s v="Estrato 1"/>
    <s v="CR 31 100 C 101"/>
    <s v="Antioquia"/>
    <s v="Medellín"/>
    <s v="No aplica, no soy foráneo"/>
    <s v="Propio"/>
    <s v="SI"/>
    <s v="2024"/>
    <s v="AC202433269602"/>
    <n v="322"/>
    <n v="68"/>
    <n v="64"/>
    <s v="Pública"/>
    <s v="INST EDUC CEFA"/>
    <n v="2024"/>
    <s v="Antioquia"/>
    <s v="Medellín"/>
    <s v="BACHILLER"/>
    <s v="TECN"/>
    <s v="TIPO: Pública, INSTITUCION: INST EDUC CEFA, AÑO: 2024, CIUDAD: Medellín, TITULO: BACHILLER"/>
    <s v="11"/>
    <s v="Escala de 0 - 5"/>
    <s v="Escala de 0 - 5"/>
    <s v="3,7"/>
    <s v="3,4"/>
    <m/>
    <s v="4,5"/>
    <s v="4,4"/>
    <m/>
    <n v="4.3"/>
    <n v="3.5"/>
    <m/>
    <n v="4.2"/>
    <n v="4.2"/>
    <m/>
    <s v="4,2"/>
    <s v="4,4"/>
    <m/>
    <s v="3"/>
    <s v="3"/>
    <m/>
    <s v="4,1"/>
    <s v="4,1"/>
    <m/>
    <s v="De 9 y 10"/>
    <n v="4.05"/>
    <s v="NO"/>
    <s v="NA"/>
    <n v="0"/>
    <n v="0"/>
    <s v="No"/>
    <n v="45"/>
    <m/>
    <n v="45"/>
    <m/>
    <n v="45"/>
    <m/>
    <m/>
    <n v="45"/>
    <s v="Con detalle por componente"/>
    <s v="Trabajo social o comunitario,Artísticas o culturales"/>
    <s v="Mi nombre es Susana Sánchez Tabares, egresada del CEFA. Ser aceptada en la convocatoria significa para mí la oportunidad de desarrollarme de una manera única en el campo de negocios, que permitiría mi evolución y crecimiento como profesional. Durante mis años de educación básica y media, me he desempeñado de una manera notable en las áreas sociales, gracias a mi personalidad extrovertida y mi capacidad para adaptarme a múltiples situaciones y estímulos, fue por esto mismo  que escogí la carrera de negocios, y la parte internacional capta la atención porque desde muy pequeña la curiosidad ha estado muy arraigada en mí; además considero que mis aprendizajes en inglés, (Escuela de Idiomas Universidad de Antioquia y Universidad EAFIT) y diseño-arte gráfico (Técnica Pascual Bravo) harían la diferencia en mi proceso formativo, junto con mis conocimientos sobre el contacto de clientes. Colombia es un país en desarrollo, con una brecha de negocios cerrada, aunque su diversidad cultural y microempresas, requieren desarrollo y un enfoque visionario, que les permita mejorar tanto ingresos como la disminución de deudas externas; _x000a_Medellín es reconocida como la ciudad de la innovación, atractiva para turismo e inversiones externas, y estudiarla desde la EAFIT me permitirá desarrollar experiencias laborales de negocio, con un alcance a gran escala a nivel internacional por innovación latinoamericana. Sabemos que tanto diferencias culturales como el negocio, siempre han ido de la mano, por esto precisamente la diversidad cultural y etnia mundial es un tema que requiere atención y manejo; participar en el programa y estudiar en esta universidad sería un buen inicio a mi carrera como profesional, adecuando mi desplegué en el mundo laboral, además de intensificar mis aprendizajes en idiomas y mi efectividad en la resolución de problemas, porque la EAFIT para mi no es solo una universidad, es un puente que me permitirá desarrollarme para ayudar socioeconómicamente a mi país en relaciones valiosas, para el mercado globalizado y la innovación de proyectos. Estudiar negocios internacionales fortalecerá mi capacidad de argumento y de adaptación a los diferentes estímulos en el mundo. Además de que me permitirá colaborar y enseñar a los diferentes negocios, emprendimientos o empresas pequeñas en sus relaciones comerciales con los extranjeros, analizando las necesidades de cada uno de los segmentos, enfocando mi visión en el mundo y la comprensión de las diferentes perspectivas, para una adecuada resolución de problemas. Mis conocimientos en el área pueden incursionar a que amplíen sus proveedores, el aumento en su competencia y posteriormente la reducción de los costos para la mejoría de sus productos."/>
    <s v="A través del Colegio"/>
    <s v="Por la oferta académica."/>
    <s v="Vocación."/>
    <n v="3"/>
    <s v="1"/>
    <s v="NO"/>
    <s v="NO"/>
    <s v="Entre 3 y 4 millones"/>
    <s v="No"/>
    <n v="0"/>
    <n v="0"/>
    <m/>
    <s v="SI"/>
    <s v="Beca"/>
    <s v="NO"/>
    <s v=""/>
    <s v=""/>
    <s v="Si"/>
    <s v="Juan Pablo Sánchez Estrada"/>
    <s v="Casado"/>
    <s v="TÉCNICA"/>
    <s v="39"/>
    <s v="Técnico en procesos recreativos y turísticos"/>
    <s v="Empleado (con contrato laboral)"/>
    <s v="Auxiliar de mantenimiento"/>
    <s v="Outsourcing &amp; soluciones"/>
    <n v="2300000"/>
    <s v="No"/>
    <s v="NO"/>
    <s v="NO"/>
    <s v="Mi residencia se alterna entre la vivienda de mis padres y la de mi abuela paterna."/>
    <s v="Si"/>
    <s v="Yulied Suleima Tabares Henao"/>
    <s v="Casado"/>
    <m/>
    <s v="40"/>
    <s v="Microbíologa bioanalista"/>
    <s v="Empleado (con contrato laboral)"/>
    <s v="Coordinadora de estudios clínicos"/>
    <s v="CIDEPRO"/>
    <n v="3300000"/>
    <s v="No"/>
    <s v="SI"/>
    <s v="SI"/>
    <s v="Mi residencia se alterna entre la vivienda de mis padres y la de mi abuela paterna.La vinculación de Yulied Tabares (madre) con la Universidad de Antioquia se realiza a través de un tercero, en este caso la Corporación CIDEPRO, ya que, por su naturaleza de ente público, la universidad no establece contrataciones directas para este tipo de servicios. La modalidad contractual puede variar entre prestación de servicios y vinculación a término fijo, con diferentes periodos de duración, según la disponibilidad de recursos asignados a los estudios o proyectos en los que participa. Esta relación contractual se ha mantenido de manera continua desde agosto de 2018 hasta la fecha, bajo las condiciones y modalidades definidas por CIDEPRO en función de los convenios suscritos con la Universidad&amp;#160;de&amp;#160;Antioquia."/>
    <n v="5600000"/>
    <s v="Si"/>
    <s v="Luz María Estrada Franco"/>
    <s v="Abuelo / Abuela"/>
    <s v="71"/>
    <s v="Pensionada"/>
    <s v="No aplica"/>
    <n v="600000"/>
    <s v="Si"/>
    <s v=""/>
    <s v=""/>
    <s v=""/>
    <s v=""/>
    <s v=""/>
    <m/>
    <s v=""/>
    <s v=""/>
    <s v=""/>
    <s v=""/>
    <s v=""/>
    <s v=""/>
    <m/>
    <s v=""/>
    <s v=""/>
    <n v="190468000"/>
    <n v="0"/>
    <n v="0"/>
    <n v="0"/>
    <n v="0"/>
    <s v="Si"/>
    <s v="Aveo"/>
    <s v="2014"/>
    <n v="15717000"/>
    <s v="No"/>
    <s v=""/>
    <s v=""/>
    <n v="0"/>
    <s v="No"/>
    <s v=""/>
    <s v=""/>
    <s v=""/>
    <n v="0"/>
    <m/>
    <n v="4"/>
    <n v="4"/>
    <n v="3"/>
    <n v="4"/>
    <n v="3"/>
    <n v="3"/>
    <n v="3"/>
    <n v="3"/>
    <n v="3"/>
    <n v="4"/>
    <n v="34"/>
    <s v="SI"/>
    <m/>
    <s v="SI, SON PRI"/>
    <s v="ok tienen todos los datos"/>
    <s v="Negada"/>
    <n v="20251"/>
    <m/>
    <n v="3"/>
    <n v="6"/>
    <n v="6"/>
    <n v="5"/>
    <n v="15"/>
    <n v="10"/>
    <n v="15"/>
    <n v="11"/>
    <n v="11"/>
    <n v="62"/>
    <n v="0.4"/>
    <m/>
    <n v="3.5"/>
    <n v="2.5"/>
    <n v="3"/>
    <n v="2"/>
    <n v="3.5"/>
    <n v="2.5"/>
    <n v="3"/>
    <n v="2"/>
    <n v="62"/>
    <n v="0.4"/>
    <n v="0.4"/>
    <e v="#N/A"/>
    <m/>
    <m/>
    <n v="0"/>
    <m/>
    <m/>
    <s v="Negocios Internacionales"/>
    <e v="#N/A"/>
    <s v="002"/>
    <e v="#N/A"/>
  </r>
  <r>
    <s v="TI"/>
    <n v="1025063314"/>
    <s v="1000406232"/>
    <s v="CAMILO ANDRES RODRIGUEZ AGUDELO"/>
    <s v="Estudios por primera vez"/>
    <x v="11"/>
    <s v="Descartados por año graduacion 2025"/>
    <s v="Año graduacion e icfes 2025 - ver colegio"/>
    <s v="En publico objetivo"/>
    <s v="2da Cohorte"/>
    <s v="Admitido"/>
    <s v="carodriga2@eafit.edu.co"/>
    <e v="#N/A"/>
    <s v="camilo.rodriguez.agudelo@gmail.com"/>
    <s v="573188026232"/>
    <d v="2025-05-16T00:00:00"/>
    <s v="Activo en Programa"/>
    <s v="010-Ingeniería de Sistemas"/>
    <s v="E Ciencias Aplic e Ingeniería"/>
    <d v="2008-06-18T00:00:00"/>
    <n v="17"/>
    <s v="Bogotá"/>
    <s v="Bogotá D.C."/>
    <s v="Hombre"/>
    <s v="Soltero"/>
    <s v="NO"/>
    <s v="NO"/>
    <n v="0"/>
    <s v="NO"/>
    <s v="NA"/>
    <s v="NO"/>
    <s v="NA"/>
    <s v="NO"/>
    <s v="NA"/>
    <s v="No"/>
    <s v="293-6348"/>
    <s v="573188026232"/>
    <s v="Estrato 3"/>
    <s v="CL 51 #28 52"/>
    <s v="Antioquia"/>
    <s v="Medellín"/>
    <s v="No aplica, no soy foráneo"/>
    <s v="Familiar"/>
    <s v="SI"/>
    <s v="2025"/>
    <s v="AC202511116938"/>
    <n v="412"/>
    <n v="79"/>
    <n v="100"/>
    <s v="Privada"/>
    <s v="ASPAEN - GIM. LOS ALCAZARES"/>
    <n v="2025"/>
    <s v="Antioquia"/>
    <s v="Sabaneta"/>
    <s v="BACHILLER"/>
    <s v="ACAD"/>
    <s v="TIPO: Privada, INSTITUCION: ASPAEN - GIM. LOS ALCAZARES, AÑO: 2025, CIUDAD: Sabaneta, TITULO: BACHILLER"/>
    <s v="11"/>
    <s v="Escala de 0 - 7"/>
    <s v="Escala de 0 - 7"/>
    <s v="5,18"/>
    <s v="5,98"/>
    <m/>
    <s v="5,15"/>
    <s v="5,43"/>
    <m/>
    <n v="5.4"/>
    <n v="5.33"/>
    <m/>
    <n v="5.3"/>
    <n v="5.42"/>
    <m/>
    <s v="5,1"/>
    <s v="5,37"/>
    <m/>
    <s v="5"/>
    <s v="5,33"/>
    <m/>
    <s v="4,7"/>
    <s v="6,3"/>
    <m/>
    <s v="De 9 y 10"/>
    <n v="5.3625000000000007"/>
    <s v="NO"/>
    <s v="NA"/>
    <n v="0"/>
    <n v="0"/>
    <s v="No"/>
    <n v="45"/>
    <m/>
    <n v="45"/>
    <m/>
    <n v="45"/>
    <m/>
    <s v="Estudiante con buena decisión por la carrera a estudiar por sus referentes familiares en la disciplina.  Buen desempeño en la entrevista aunque con cierto nerviosismo al expresarse."/>
    <n v="45"/>
    <s v="Con detalle por componente"/>
    <s v="Deportistas de alto rendimiento o representativo"/>
    <s v="Me visualizo trabajando en una empresa grande o en una que tenga una excelente proyección a futuro, aportando en el área de ingeniería de sistemas. Me considero una persona que busca mejorar constantemente y avanzar en todos los aspectos con el paso del tiempo. Me imagino trabajando con esfuerzo, pero de forma equilibrada, dando siempre lo mejor de mí y manteniendo armonía con mi vida personal y demás responsabilidades._x000a__x000a_Además, aspiro a crecer como profesional y alcanzar un mejor posicionamiento dentro de la empresa o, ya sea, crear mi propia empresa basada en los conocimientos adquiridos durante mi pregrado y de esta manera también retribuir por medio de la generación de oportunidades de empleo a jóvenes que también muestren un potencial._x000a__x000a_La obtención de esta beca me permitiría cursar mis estudios y, con ello, contribuir al desarrollo del entorno tecnológico que se proyecta para el futuro de la ciudad de Medellín, asi como crear una red de relaciones con personas que tengan también una visión similar de innovación y aporte para el crecimiento y desarrollo de Medellín.   La tecnología es uno de los pilares fundamentales de las nuevas generaciones, y estudiar en esta universidad con el apoyo de la beca me brindaría la oportunidad de acceder a un trabajo directamente relacionado con el mejoramiento tecnológico de Medellín, ya sea en el ámbito educativo o en otras áreas."/>
    <s v="A través del Colegio"/>
    <s v="Por la calidad académica."/>
    <s v="Alta empleabilidad."/>
    <n v="2"/>
    <s v="1"/>
    <s v="SI"/>
    <s v="NO"/>
    <s v="Más de 16 millones"/>
    <s v="No"/>
    <s v="SI"/>
    <n v="0"/>
    <m/>
    <s v="SI"/>
    <s v="Beca"/>
    <s v="NO"/>
    <s v=""/>
    <s v=""/>
    <s v="Si"/>
    <s v="RONALD JOSE RODRIGUEZ RAMOS"/>
    <s v="Soltero"/>
    <s v="MAESTRÍA"/>
    <s v="53"/>
    <s v="Ingeniero Electrónico"/>
    <s v="Empleado (con contrato laboral)"/>
    <s v="GERENTE DE NEGOCIOS"/>
    <s v="INFORMATION SYSTEMS SUDAMERICANA SAS"/>
    <n v="18505500"/>
    <s v="No"/>
    <s v="SI"/>
    <s v="NO"/>
    <s v="Del ingreso total de mi papá, la mayor parte se va para pagar deudas adquiridas por una crisis financiera, que apenas esta permitiendole ponerse al dia, y además apoya financieramente a mis abuelos.  Esto hace que lo que le queda mensualmente no sea lo suficiente como para apoyar con el pago de la universidad.  Adicionalmente debido a que mis padres son divorciados, el apoyo económico de mi papá no es tan significativo"/>
    <s v="Si"/>
    <s v="YASMIN ASTRID AGUDELO ARBOLEDA"/>
    <s v="Soltero"/>
    <s v="UNIVERSITARIOS"/>
    <s v="52"/>
    <s v="Ingeniera de Sistemas"/>
    <s v="Empleado (con contrato laboral)"/>
    <s v="CONSULTOR"/>
    <s v="AVVALE SAS"/>
    <n v="8000000"/>
    <s v="Si"/>
    <s v="NO"/>
    <s v="NO"/>
    <s v="Los ingresos son para gastos familiares, incluyendo la educación de mi hermana menor en preescolar.  Mi mamá tiene toda la voluntad para apoyarme debido a mi desepemño académico y se esfuerza por darme la mejor educación posible, sin embargo sus ingresos no son suficiente."/>
    <n v="26505500"/>
    <s v="Si"/>
    <s v="AVE LUZ AGUDELO AGUDELO"/>
    <s v="Hermano / Hermana"/>
    <s v="6"/>
    <s v="ESTUDIANTE PREESCOLAR"/>
    <s v="Colegio Ruldolf Steiner"/>
    <n v="0"/>
    <s v="No"/>
    <s v=""/>
    <s v=""/>
    <s v=""/>
    <s v=""/>
    <s v=""/>
    <m/>
    <s v=""/>
    <s v=""/>
    <s v=""/>
    <s v=""/>
    <s v=""/>
    <s v=""/>
    <m/>
    <s v=""/>
    <s v=""/>
    <n v="0"/>
    <n v="0"/>
    <n v="0"/>
    <n v="0"/>
    <n v="0"/>
    <s v="No"/>
    <s v=""/>
    <s v=""/>
    <n v="0"/>
    <s v="No"/>
    <s v=""/>
    <s v=""/>
    <n v="0"/>
    <s v="No"/>
    <s v=""/>
    <s v=""/>
    <s v=""/>
    <n v="0"/>
    <s v="Sin propiedades ni vehículos"/>
    <n v="4"/>
    <n v="4"/>
    <n v="3"/>
    <n v="4"/>
    <n v="4"/>
    <n v="4"/>
    <n v="4"/>
    <n v="4"/>
    <n v="3"/>
    <n v="4"/>
    <n v="38"/>
    <s v="SI"/>
    <m/>
    <s v="SI, SON PRI"/>
    <s v="ok tienen todos los datos"/>
    <e v="#N/A"/>
    <e v="#N/A"/>
    <m/>
    <n v="3"/>
    <n v="10"/>
    <n v="8"/>
    <n v="15"/>
    <n v="10"/>
    <n v="15"/>
    <n v="15"/>
    <n v="10"/>
    <n v="9.5"/>
    <n v="74.5"/>
    <n v="0.4"/>
    <m/>
    <n v="2"/>
    <n v="3.5"/>
    <n v="0"/>
    <n v="4"/>
    <n v="2"/>
    <n v="3.5"/>
    <n v="0"/>
    <n v="4.5"/>
    <n v="73"/>
    <n v="0.4"/>
    <s v="Negado"/>
    <e v="#N/A"/>
    <m/>
    <m/>
    <n v="0"/>
    <m/>
    <m/>
    <s v="Ingeniería de Sistemas"/>
    <e v="#N/A"/>
    <m/>
    <e v="#N/A"/>
  </r>
  <r>
    <s v="TI"/>
    <n v="1025523975"/>
    <s v="1000287941"/>
    <s v="CRISTIAN DAVID RAMIREZ RUBIANO"/>
    <s v="Estudios por primera vez"/>
    <x v="1"/>
    <s v="Descartado por baja prioridad pregrado"/>
    <m/>
    <s v="En publico objetivo"/>
    <s v="3ra Cohorte"/>
    <s v="Admitido"/>
    <s v="cdramirez2@eafit.edu.co"/>
    <s v="cdramirez2@eafit.edu.co"/>
    <s v="cdramirez2@eafit.edu.co"/>
    <s v="573208072596"/>
    <d v="2025-05-30T00:00:00"/>
    <s v="Activo en Programa"/>
    <s v="083-Música"/>
    <s v="Escuela de Artes y Humanidades"/>
    <d v="2004-10-26T00:00:00"/>
    <n v="21"/>
    <s v="Bogotá"/>
    <s v="Bogotá D.C."/>
    <s v="Hombre"/>
    <s v="Soltero"/>
    <s v="NO"/>
    <s v="NO"/>
    <n v="0"/>
    <s v="NO"/>
    <s v="NA"/>
    <s v="NO"/>
    <s v="NA"/>
    <s v="NO"/>
    <s v="NA"/>
    <s v="No"/>
    <s v="573208072596"/>
    <s v="573208072596"/>
    <s v="Estrato 3"/>
    <s v="CL 18 SUR 39 A 235"/>
    <s v="Antioquia"/>
    <s v="Medellín"/>
    <s v="Si"/>
    <s v="Arriendo"/>
    <s v="SI"/>
    <s v="2020"/>
    <s v="AC202043299872"/>
    <n v="309"/>
    <n v="61"/>
    <n v="66"/>
    <s v="Privada"/>
    <s v="Coglobal"/>
    <n v="2021"/>
    <m/>
    <s v="Bogotá D.C."/>
    <s v="Bachillerato"/>
    <s v="Académico"/>
    <m/>
    <s v="11"/>
    <s v="Escala de 0 - 10"/>
    <s v="Escala de 0 - 5"/>
    <s v="4"/>
    <s v="5"/>
    <m/>
    <s v="4"/>
    <s v="5"/>
    <m/>
    <n v="4"/>
    <n v="5"/>
    <m/>
    <n v="4"/>
    <n v="5"/>
    <m/>
    <s v="4"/>
    <s v="5"/>
    <m/>
    <s v="4"/>
    <s v="5"/>
    <m/>
    <s v="4"/>
    <s v="5"/>
    <m/>
    <s v="De 9 y 10"/>
    <n v="4.5"/>
    <s v="NO"/>
    <s v="NA"/>
    <n v="0"/>
    <n v="0"/>
    <s v="No"/>
    <s v="Sin informacion"/>
    <s v="Sin informacion"/>
    <s v="Sin informacion"/>
    <s v="Sin informacion"/>
    <s v="Sin informacion"/>
    <s v="Sin informacion"/>
    <s v="Docente informa que es talento excepcional, podría ser de maestría. Es de otra ciudad y sería de gran valor tenerlo en nuestro programa."/>
    <s v="10 "/>
    <s v="Audicion musica"/>
    <s v="Artísticas o culturales,Deportistas de alto rendimiento o representativo,Otras (por ejemplo, un talento extraordinario)"/>
    <s v="Me imagino a mis 25 años, egresado del pregrado en musica EAFIT, participando en la escena pianistica nacional e internacional._x000a_Tengo la intención de usar los conocimientos aprendidos en el programa para desarrollarme de acuerdo al perfil musical que deseo tener._x000a_A traves de ello, compartir mis experiencias y conocimientos a los niños y jovenes interesados en comenzar una formación musical y aportar con mis participaciones un enriquecimiento cultural y musical a aquellos publicos qué no suelen estar relacionados con esta categoría de eventos._x000a_Quiero ser beneficiario de la beca porque mis ambiciones y sueños suponen un compromiso de tiempo completo, y sería un gran detalle tener solvencia económica."/>
    <s v="Empleados o profesores EAFIT"/>
    <s v="Por la calidad académica."/>
    <s v="Nivel académico de docentes."/>
    <n v="0"/>
    <s v="1"/>
    <s v="NO"/>
    <s v="NO"/>
    <s v="Entre 2 y 3 millones"/>
    <s v="Si"/>
    <n v="0"/>
    <s v="N"/>
    <m/>
    <s v="Y"/>
    <m/>
    <s v="NO"/>
    <s v="NA"/>
    <s v="NA"/>
    <s v="Sin información"/>
    <n v="0"/>
    <m/>
    <m/>
    <m/>
    <s v=""/>
    <s v=""/>
    <m/>
    <s v=""/>
    <m/>
    <s v=""/>
    <m/>
    <m/>
    <s v="No lo conozco, padre ausente."/>
    <s v="Si"/>
    <s v="Blanca Aurora Rubiano Novoa"/>
    <s v="Soltero"/>
    <s v="BACHILLERATO"/>
    <s v="47"/>
    <s v="Independiente"/>
    <s v="Independiente (trabaja por cuenta propia)"/>
    <s v="Independiente (Codigo 1410)"/>
    <s v="Independiente"/>
    <n v="3000000"/>
    <s v="No"/>
    <s v="NO"/>
    <s v="NO"/>
    <s v="El valor de ingresos es un aproximado."/>
    <n v="3000000"/>
    <s v="No, vivo solo"/>
    <s v=""/>
    <s v=""/>
    <s v=""/>
    <s v=""/>
    <s v=""/>
    <m/>
    <s v=""/>
    <s v=""/>
    <s v=""/>
    <s v=""/>
    <s v=""/>
    <s v=""/>
    <m/>
    <s v=""/>
    <s v=""/>
    <s v=""/>
    <s v=""/>
    <s v=""/>
    <s v=""/>
    <m/>
    <s v=""/>
    <s v=""/>
    <n v="0"/>
    <n v="0"/>
    <n v="0"/>
    <n v="0"/>
    <n v="0"/>
    <s v="Si"/>
    <s v="Volkswagen"/>
    <s v="2018"/>
    <n v="38000000"/>
    <s v="No"/>
    <s v=""/>
    <s v=""/>
    <n v="0"/>
    <s v="No"/>
    <s v=""/>
    <s v=""/>
    <s v=""/>
    <n v="0"/>
    <s v="Se está realizando el pago del crédito del vehículo"/>
    <n v="4"/>
    <n v="4"/>
    <n v="3"/>
    <n v="3"/>
    <n v="3"/>
    <n v="4"/>
    <n v="3"/>
    <n v="4"/>
    <n v="3"/>
    <n v="3"/>
    <n v="34"/>
    <s v="SI"/>
    <s v="SI, TIPO IE"/>
    <s v="PRI SIN PUNTAJE ENTREVISTA Y SIN TIPO IE"/>
    <s v="ok es de musica, se deja puntaje del pregrado de 1 a 10 y comentario"/>
    <s v="Negada Talento"/>
    <n v="20242"/>
    <m/>
    <n v="1"/>
    <n v="10"/>
    <n v="8"/>
    <n v="5"/>
    <n v="20"/>
    <n v="10"/>
    <n v="20"/>
    <n v="18.5"/>
    <n v="18.5"/>
    <n v="83.5"/>
    <n v="0.6"/>
    <m/>
    <n v="2"/>
    <n v="4.5"/>
    <n v="8"/>
    <n v="4"/>
    <n v="2"/>
    <n v="4"/>
    <n v="8"/>
    <n v="4.5"/>
    <n v="81.5"/>
    <n v="0.7"/>
    <n v="1"/>
    <e v="#N/A"/>
    <s v="considerando los comentarios del pregrado, se propone otorgar beca del 100%"/>
    <m/>
    <s v="SI, TIPO IE"/>
    <m/>
    <m/>
    <s v="Música"/>
    <e v="#N/A"/>
    <s v="083"/>
    <e v="#N/A"/>
  </r>
  <r>
    <s v="TI"/>
    <n v="1025534796"/>
    <s v="1000407927"/>
    <s v="MARIA JOSE ALVIS VARGAS"/>
    <s v="Estudios por primera vez"/>
    <x v="1"/>
    <s v="Descartado por ingresos altos"/>
    <m/>
    <s v="En publico objetivo"/>
    <s v="2da Cohorte"/>
    <s v="Admitido"/>
    <s v="mjalvisv@eafit.edu.co"/>
    <e v="#N/A"/>
    <s v="mariajosealvisvargas96@gmail.com"/>
    <s v="573127337693"/>
    <d v="2025-05-16T00:00:00"/>
    <s v="Activo en Programa"/>
    <s v="013-Ingeniería Civil"/>
    <s v="E Ciencias Aplic e Ingeniería"/>
    <d v="2007-06-27T00:00:00"/>
    <n v="18"/>
    <s v="Bogotá"/>
    <s v="Bogotá D.C."/>
    <s v="Mujer"/>
    <s v="Soltero"/>
    <s v="NO"/>
    <s v="NO"/>
    <n v="0"/>
    <s v="NO"/>
    <s v="NA"/>
    <s v="NO"/>
    <s v="NA"/>
    <s v="NO"/>
    <s v="NA"/>
    <s v="No"/>
    <s v="312/733-7693"/>
    <s v="573127337693"/>
    <s v="Estrato 3"/>
    <s v="CL 49#17 C AP 1202"/>
    <s v="Antioquia"/>
    <s v="Medellín"/>
    <s v="No aplica, no soy foráneo"/>
    <s v="Propio"/>
    <s v="SI"/>
    <s v="2024"/>
    <s v="AC202430031315"/>
    <n v="300"/>
    <n v="56"/>
    <n v="58"/>
    <s v="Privada"/>
    <s v="COL SAN JUAN BOSCO"/>
    <n v="2024"/>
    <m/>
    <s v="Medellín"/>
    <s v="Bachillerato"/>
    <s v="BACHILLER"/>
    <s v="TIPO: Privada, INSTITUCION: COL SAN JUAN BOSCO, AÑO: 2024, CIUDAD: Medellín, TITULO: BACHILLER"/>
    <s v="11"/>
    <s v="Escala de 0 - 5"/>
    <s v="Escala de 0 - 5"/>
    <s v="4,1"/>
    <s v="4,5"/>
    <m/>
    <s v="4"/>
    <s v="4"/>
    <m/>
    <n v="4"/>
    <n v="4"/>
    <m/>
    <n v="4"/>
    <n v="4.3"/>
    <m/>
    <s v="4,5"/>
    <s v="4,5"/>
    <m/>
    <s v="4,5"/>
    <s v="4"/>
    <m/>
    <s v="4"/>
    <s v="4"/>
    <m/>
    <s v="De 9 y 10"/>
    <n v="4.0750000000000002"/>
    <s v="NO"/>
    <s v="NA"/>
    <n v="0"/>
    <n v="0"/>
    <s v="No"/>
    <n v="50"/>
    <m/>
    <n v="50"/>
    <m/>
    <n v="50"/>
    <m/>
    <s v="Se admite al programa"/>
    <n v="50"/>
    <s v="Con detalle por componente"/>
    <s v="Trabajo social o comunitario"/>
    <s v="Lo primero que me hizo querer estudiar esta carrera fue darme cuenta de la gran importancia que tiene un ingeniero civil en el desarrollo urbano y social de una comunidad, generándome una gran necesidad de observar y detallar cada infraestructura que veía, ya sean calles, edificios, el pavimento por el que caminaba, creándome una motivación muy grande para estudiar esta carrera, como buscar y crear soluciones a las múltiples problemáticas de ingeniería que se encuentra en los sectores no tan favorecidos de Medellín, como la infraestructura vial deficiente, pues hay muchas calles estrechas y empinadas que dificultan el acceso vehicular, el pavimento deteriorado en el que no se tiene en cuenta el trafico, los problemas de alcantarillado y drenaje, el cual vemos que cada vez que llueve fuerte en la ciudad, muchos sectores se inundan, especialmente los menos favorecidos, siendo una finalidad eminentemente social en favor de mi comunidad._x000a__x000a_Todo esto me hizo querer estudiarla y buscar una universidad la cual me ayudara a dar estos enfoques en mi formación académica y personal, lo cual me hizo escoger EAFIT, pues su enfoque de la carrera va a favor de mis ideales y propósitos, teniendo la idea de impactar positivamente en la vida de las personas y en el desarrollo de una sociedad como bien esta en la descripción de la carrera en su página Web, y me encantaría potenciar en mi una cultura a favor de los demás, en búsqueda de la innovación y la mejora de la ingeniería civil en la ciudad de Medellin. Llevándome a querer participar por la beca, pues me encantaría tener la posibilidad de estudiar en una universidad que me ayude en mi plan de vida, siendo esta EAFIT y sería un paso gigante en mi desarrollo social y profesional como ingeniera."/>
    <s v="Amigos"/>
    <s v="Por la oferta académica."/>
    <s v="Vocación."/>
    <n v="3"/>
    <s v="2"/>
    <s v="NO"/>
    <s v="NO"/>
    <s v="Entre 8 y 9 millones"/>
    <s v="No"/>
    <n v="0"/>
    <s v="Y"/>
    <m/>
    <s v="Y"/>
    <m/>
    <s v="NO"/>
    <s v="NA"/>
    <s v="NA"/>
    <s v="Si"/>
    <s v="Jhon Fredy Alvis Caviedes"/>
    <s v="Soltero"/>
    <s v="ESPECIALIZACIÓN"/>
    <s v="46"/>
    <s v="Abogado"/>
    <s v="Empleado (con contrato laboral)"/>
    <s v="Abogado"/>
    <s v="C &amp; M Consultores sas"/>
    <n v="7000000"/>
    <s v="Si"/>
    <s v="SI"/>
    <s v="NO"/>
    <s v=""/>
    <s v="Si"/>
    <s v="Alix Johana Vargas Banda"/>
    <s v="Casado"/>
    <s v="UNIVERSITARIOS"/>
    <s v="42"/>
    <s v="ama de casa"/>
    <s v="Desempleado (Se encuentra en la búsqueda activa de empleo)"/>
    <s v="Ama de casa"/>
    <s v="N/A"/>
    <n v="0"/>
    <s v="Si"/>
    <s v="NO"/>
    <s v="NO"/>
    <m/>
    <n v="7000000"/>
    <s v="Si"/>
    <s v="Maria Camila Alvis Vargas"/>
    <s v="Hermano / Hermana"/>
    <s v="19"/>
    <s v="Estudiante"/>
    <s v="UPB"/>
    <n v="0"/>
    <s v="No"/>
    <s v=""/>
    <s v=""/>
    <s v=""/>
    <s v=""/>
    <s v=""/>
    <m/>
    <s v=""/>
    <s v=""/>
    <s v=""/>
    <s v=""/>
    <s v=""/>
    <s v=""/>
    <m/>
    <s v=""/>
    <s v=""/>
    <n v="0"/>
    <n v="150000000"/>
    <n v="0"/>
    <n v="0"/>
    <n v="0"/>
    <s v="Si"/>
    <s v="Mazda"/>
    <s v="2023"/>
    <n v="65000000"/>
    <s v="No"/>
    <s v=""/>
    <s v=""/>
    <n v="0"/>
    <s v="No"/>
    <s v=""/>
    <s v=""/>
    <s v=""/>
    <n v="0"/>
    <s v="El apartamento es familiar."/>
    <n v="4"/>
    <n v="4"/>
    <n v="4"/>
    <n v="4"/>
    <n v="4"/>
    <n v="4"/>
    <n v="4"/>
    <n v="4"/>
    <n v="4"/>
    <n v="4"/>
    <n v="40"/>
    <s v="SI"/>
    <m/>
    <s v="SI, SON PRI"/>
    <s v="ok tienen todos los datos"/>
    <e v="#N/A"/>
    <e v="#N/A"/>
    <m/>
    <n v="2"/>
    <n v="10"/>
    <n v="8"/>
    <n v="5"/>
    <n v="15"/>
    <n v="15"/>
    <n v="20"/>
    <n v="9.5"/>
    <n v="7.5"/>
    <n v="72.5"/>
    <n v="0.4"/>
    <m/>
    <n v="2"/>
    <n v="2.5"/>
    <n v="1"/>
    <n v="2"/>
    <n v="2"/>
    <n v="2.5"/>
    <n v="3"/>
    <n v="2"/>
    <n v="72.5"/>
    <n v="0.4"/>
    <n v="0.4"/>
    <e v="#N/A"/>
    <m/>
    <m/>
    <n v="0"/>
    <m/>
    <m/>
    <s v="Ingeniería Civil"/>
    <e v="#N/A"/>
    <s v="013"/>
    <e v="#N/A"/>
  </r>
  <r>
    <s v="CC"/>
    <n v="1025648905"/>
    <s v="1000407319"/>
    <s v="SOFIA PALACIO AGUIAR"/>
    <s v="Estudios por primera vez"/>
    <x v="1"/>
    <s v="Descartado por notas"/>
    <m/>
    <s v="En publico objetivo"/>
    <s v="3ra Cohorte"/>
    <s v="Admitido"/>
    <s v="spalacioa3@eafit.edu.co"/>
    <e v="#N/A"/>
    <s v="sofiapalacio781@gmail.com"/>
    <s v="573013646154"/>
    <d v="2025-05-30T00:00:00"/>
    <s v="Activo en Programa"/>
    <s v="112-Comunicación Social"/>
    <s v="Escuela de Artes y Humanidades"/>
    <d v="2007-02-13T00:00:00"/>
    <n v="18"/>
    <s v="Antioquia"/>
    <s v="Medellín"/>
    <s v="Mujer"/>
    <s v="Soltero"/>
    <s v="NO"/>
    <s v="NO"/>
    <n v="0"/>
    <s v="NO"/>
    <s v="NA"/>
    <s v="NO"/>
    <s v="NA"/>
    <s v="NO"/>
    <s v="NA"/>
    <s v="No"/>
    <s v="301/364-6154"/>
    <s v="573013646154"/>
    <s v="Estrato 3"/>
    <s v="CL 57 C #31 116"/>
    <s v="Antioquia"/>
    <s v="Medellín"/>
    <s v="No aplica, no soy foráneo"/>
    <s v="Familiar"/>
    <s v="SI"/>
    <s v="2023"/>
    <s v="AC202341784644"/>
    <n v="321"/>
    <n v="63"/>
    <n v="61"/>
    <s v="Privada"/>
    <s v="Colegio La Anunciación"/>
    <n v="2023"/>
    <m/>
    <s v="Medellín"/>
    <s v="Bachillerato"/>
    <s v="Académico"/>
    <m/>
    <s v="11"/>
    <s v="Escala de 0 - 5"/>
    <s v="Escala de 0 - 5"/>
    <s v="4,3"/>
    <s v="4,2"/>
    <m/>
    <s v="4,2"/>
    <s v="3,2"/>
    <m/>
    <n v="4"/>
    <n v="3.7"/>
    <m/>
    <n v="3.6"/>
    <n v="4.2"/>
    <m/>
    <s v="4,4"/>
    <s v="3,8"/>
    <m/>
    <s v="4,4"/>
    <s v="4,4"/>
    <m/>
    <s v="4,2"/>
    <s v="3,6"/>
    <m/>
    <s v="De 9 y 10"/>
    <n v="3.875"/>
    <s v="NO"/>
    <s v="NA"/>
    <n v="0"/>
    <n v="0"/>
    <s v="No"/>
    <n v="35"/>
    <m/>
    <n v="40"/>
    <m/>
    <n v="40"/>
    <m/>
    <m/>
    <n v="38.333333333333336"/>
    <s v="Con detalle por componente"/>
    <s v="Ninguna"/>
    <s v="La comunicación social implica grandes responsabilidades, pero una de las más importantes es el compromiso ético y moral que se tiene con la comunidad, me proyecto como una profesional con la capacidad  y el don de escuchar, comprender y transmitir desde el respeto, pero sobre todo, viendo la comunicación como una poderosa herramienta de transformación social desde una mirada profundamente humana. Aspiro a ser una voz que conecte realidades, despierte conciencias, construya puentes entre comunidades y oportunidades y transmita paz._x000a_Esta beca, representa la oportunidad de formarme personalmente y de crecer como profesional, para desarrollar todos los conocimientos adquiridos en la universidad en forma positiva, y de esta manera impulsar la transformación de mi región, la cual ha enfrentado situaciones adversas, como la violencia, estigmatización, desinformación y la falta de representación en los medios. _x000a_Sueño con conectar a la comunidad con su propia verdad, donde se reconozca la desigualdad, se fomente una ciudadanía más incluyente, más crítica y más informada, en la que todos seamos escuchados y comprendidos, para así, fortalecer los lazos sociales en una tierra de esperanza y resiliencia._x000a_Comunicar es mi forma de aportar a un futuro más justo, más empático y más consiente. Porque cuando se comunica con un propósito, se siembran ideas que transforman realidades."/>
    <s v="Página WEB"/>
    <s v="Por la calidad académica."/>
    <s v="Vocación."/>
    <n v="4"/>
    <s v="2"/>
    <s v="SI"/>
    <s v="NO"/>
    <s v="Entre 2 y 3 millones"/>
    <s v="No"/>
    <n v="0"/>
    <n v="0"/>
    <m/>
    <s v="SI"/>
    <s v="Beca"/>
    <s v="NO"/>
    <s v=""/>
    <s v=""/>
    <s v="Si"/>
    <s v="JUAN ESTEBAN PALACIO ORTIZ"/>
    <s v="Soltero"/>
    <s v="UNIVERSITARIOS"/>
    <s v="41"/>
    <s v="Asesor de planes turísticos"/>
    <s v="Independiente (trabaja por cuenta propia)"/>
    <s v="Asesor turístico"/>
    <s v="Independiente"/>
    <n v="2000000"/>
    <s v="Si"/>
    <s v="NO"/>
    <s v="NO"/>
    <s v=""/>
    <s v="Si"/>
    <s v="MARIA FERNANDA AGUIAR SUÁREZ"/>
    <s v="Otro"/>
    <s v="UNIVERSITARIOS"/>
    <s v="36"/>
    <s v="Instrumentación quirúrgica"/>
    <s v="Independiente (trabaja por cuenta propia)"/>
    <s v="Instrumentadora quirúrgica"/>
    <s v="Independiente"/>
    <n v="1423500"/>
    <s v="Si"/>
    <s v="NO"/>
    <s v="NO"/>
    <s v="Pasa su mayor parte de la semana en casa cuidando a sus hijas menores"/>
    <n v="3423500"/>
    <s v="Si"/>
    <s v="Juanita  Aguiar"/>
    <s v="Hermano / Hermana"/>
    <s v="6"/>
    <s v="Estudiante"/>
    <s v="Colegio La Anunciación"/>
    <n v="0"/>
    <s v="No"/>
    <s v="Elena  Aguiar"/>
    <s v="Hermano / Hermana"/>
    <s v="3"/>
    <s v="Estudiante"/>
    <s v="El mundo de los niños"/>
    <n v="0"/>
    <s v="No"/>
    <s v=""/>
    <s v=""/>
    <s v=""/>
    <s v=""/>
    <s v=""/>
    <m/>
    <s v=""/>
    <s v=""/>
    <n v="120000000"/>
    <n v="0"/>
    <n v="0"/>
    <n v="0"/>
    <n v="0"/>
    <s v="No"/>
    <s v=""/>
    <s v=""/>
    <n v="0"/>
    <s v="No"/>
    <s v=""/>
    <s v=""/>
    <n v="0"/>
    <s v="No"/>
    <s v=""/>
    <s v=""/>
    <s v=""/>
    <n v="0"/>
    <s v="Solo poseemos la casa en la que vivimos que es y está a nombre de mi abuela"/>
    <n v="4"/>
    <n v="4"/>
    <n v="4"/>
    <n v="4"/>
    <n v="3"/>
    <n v="4"/>
    <n v="4"/>
    <n v="4"/>
    <n v="4"/>
    <n v="4"/>
    <n v="39"/>
    <s v="SI"/>
    <s v="SI, TIPO IE"/>
    <s v="PRI SIN TIPO IE"/>
    <s v="pendiente tipo ie"/>
    <e v="#N/A"/>
    <e v="#N/A"/>
    <m/>
    <n v="2"/>
    <n v="10"/>
    <n v="8"/>
    <n v="5"/>
    <n v="10"/>
    <n v="15"/>
    <n v="10"/>
    <n v="15.5"/>
    <n v="15.5"/>
    <n v="65.5"/>
    <n v="0.4"/>
    <m/>
    <n v="2"/>
    <n v="3.5"/>
    <n v="8"/>
    <n v="2"/>
    <n v="2"/>
    <n v="3.5"/>
    <n v="8"/>
    <n v="2"/>
    <n v="63.5"/>
    <n v="0.5"/>
    <n v="0.4"/>
    <e v="#N/A"/>
    <m/>
    <m/>
    <s v="SI, TIPO IE"/>
    <m/>
    <m/>
    <s v="Comunicación Social"/>
    <e v="#N/A"/>
    <s v="112"/>
    <e v="#N/A"/>
  </r>
  <r>
    <s v="TI"/>
    <n v="1025649540"/>
    <s v="1000403384"/>
    <s v="SAMUEL GOMEZ VANEGAS"/>
    <s v="Estudios por primera vez"/>
    <x v="7"/>
    <s v="Descartado por ingresos altos"/>
    <m/>
    <s v="En publico objetivo"/>
    <s v="1er Cohorte"/>
    <s v="Admitido"/>
    <s v="sgomezv22@eafit.edu.co"/>
    <s v="sgomezv22@eafit.edu.co"/>
    <s v="samugv09@gmail.com"/>
    <s v="300/236-7087"/>
    <d v="2025-04-25T00:00:00"/>
    <s v="Activo en Programa"/>
    <s v="085-Ingeniería Diseño de Producto"/>
    <s v="E Ciencias Aplic e Ingeniería"/>
    <d v="2007-05-09T00:00:00"/>
    <n v="18"/>
    <s v="Antioquia"/>
    <s v="Medellín"/>
    <s v="Hombre"/>
    <s v="Soltero"/>
    <s v="NO"/>
    <s v="NO"/>
    <n v="0"/>
    <s v="NO"/>
    <s v="NA"/>
    <s v="NO"/>
    <s v="NA"/>
    <s v="NO"/>
    <s v="NA"/>
    <s v="No"/>
    <s v="300/236-7087"/>
    <s v="NA"/>
    <s v="Estrato 3"/>
    <s v="CL 45 34 A 25"/>
    <s v="Antioquia"/>
    <s v="Medellín"/>
    <s v="No aplica, no soy foráneo"/>
    <s v="Familiar"/>
    <s v="SI"/>
    <s v="2024"/>
    <s v="AC202433190394"/>
    <n v="342"/>
    <n v="64"/>
    <n v="72"/>
    <s v="Privada"/>
    <s v="COLEGIO SAN JOSÉ DE LA SALLE"/>
    <n v="2024"/>
    <s v="Antioquia"/>
    <s v="Medellín"/>
    <s v="BACHILLER"/>
    <s v="ACAD"/>
    <s v="TIPO: Privada, INSTITUCION: COLEGIO SAN JOSÉ DE LA SALLE, AÑO: 2024, CIUDAD: Medellín, TITULO: BACHILLER"/>
    <s v="11"/>
    <s v="Escala de 0 - 5"/>
    <s v="Escala de 0 - 5"/>
    <s v="4"/>
    <s v="4"/>
    <m/>
    <s v="4,5"/>
    <s v="4"/>
    <m/>
    <n v="4"/>
    <n v="4"/>
    <m/>
    <n v="4"/>
    <n v="4"/>
    <m/>
    <s v="4"/>
    <s v="4"/>
    <m/>
    <s v="4,5"/>
    <s v="4,5"/>
    <m/>
    <s v="4,5"/>
    <s v="4"/>
    <m/>
    <s v="De 9 y 10"/>
    <n v="4"/>
    <s v="NO"/>
    <s v="NA"/>
    <n v="0"/>
    <n v="0"/>
    <s v="No"/>
    <n v="40"/>
    <m/>
    <n v="45"/>
    <m/>
    <n v="50"/>
    <m/>
    <m/>
    <n v="45"/>
    <s v="Con detalle por componente"/>
    <s v="Artísticas o culturales,Trabajo social o comunitario"/>
    <s v="Hola, soy Samuel Gómez Vanegas, de Medellín, Colombia. Estoy muy agradecido con la Universidad EAFIT por haberme admitido en el programa de Ingeniería de Diseño de Producto. Me emociona tener la oportunidad de formarme en una institución reconocida a nivel nacional y comenzar una carrera que me apasiona._x000a__x000a_Mi sueño es convertirme en un ingeniero diseñador capaz de crear productos y soluciones innovadores, sostenibles y con impacto positivo en la sociedad. Quiero desarrollar habilidades que me permitan liderar proyectos transformadores y, en el futuro, tener la capacidad de apoyar a otros jóvenes emprendedores de mi región. Creo firmemente que el diseño es una herramienta poderosa para resolver problemas reales y mejorar la vida de las personas._x000a__x000a_Me gustaría liderar proyectos que preparen a Medellín para afrontar problemáticas relacionadas con el cambio climático, como las inundaciones, sequías entre otros. También deseo trabajar en soluciones que mejoren la movilidad de personas con discapacidad que viven en zonas de baja accesibilidad en la ciudad._x000a__x000a_Vengo de una familia trabajadora que siempre me ha respaldado en mis estudios, sin embargo, para hacer realidad este sueño necesito apoyo. Esta beca no es solo una ayuda económica, es la oportunidad que me permitirá construir mi futuro profesional_x000a__x000a_Si me brindan esta oportunidad, la aprovecharé al máximo. Estoy listo para aprender, crecer y aportar con proyectos que beneficien a mi comunidad._x000a_Gracias por considerar mi postulación."/>
    <s v="Otro"/>
    <s v="Por la calidad académica."/>
    <s v="Vocación."/>
    <n v="6"/>
    <s v="3"/>
    <s v="NO"/>
    <s v="NO"/>
    <s v="Entre 5 y 6 millones"/>
    <s v="No"/>
    <n v="0"/>
    <n v="0"/>
    <m/>
    <s v="SI"/>
    <s v="Beca"/>
    <s v="NO"/>
    <s v=""/>
    <s v=""/>
    <s v="Si"/>
    <s v="Andres Felipe Gómez Zuluaga"/>
    <s v="Unión marital"/>
    <s v="MAESTRÍA"/>
    <s v="43"/>
    <s v="Medico"/>
    <s v="Empleado (con contrato laboral)"/>
    <s v="Medico"/>
    <s v="Productos Roche"/>
    <n v="12000000"/>
    <s v="Si"/>
    <s v="SI"/>
    <s v="NO"/>
    <s v="no tengo ninguna observación"/>
    <s v="Si"/>
    <s v="Andrea Vanegas Jaramillo"/>
    <m/>
    <m/>
    <m/>
    <s v="Docente"/>
    <s v="Empleado (con contrato laboral)"/>
    <s v="Docente tutor"/>
    <s v="Secretaria de educación de Medellín"/>
    <n v="5454620"/>
    <s v="No"/>
    <m/>
    <m/>
    <s v="Es la que se hará cargo de mis estudios universitarios"/>
    <n v="17454620"/>
    <s v="Si"/>
    <s v="Jerónimo Gómez Vásquez"/>
    <s v="Hermano / Hermana"/>
    <s v="8"/>
    <s v="Estudiante"/>
    <s v="Colegio San Jose de la Salle"/>
    <n v="0"/>
    <s v="No"/>
    <s v="Martin Gómez Vásquez"/>
    <s v="Hermano / Hermana"/>
    <s v="5"/>
    <s v="Estudiante"/>
    <s v="Colegio San Jose de la Salle"/>
    <n v="0"/>
    <s v="No"/>
    <s v="Catalina Vásquez"/>
    <s v="Madrastra"/>
    <s v="40"/>
    <s v="Ama de Casa"/>
    <s v="Ninguna"/>
    <n v="0"/>
    <s v="No"/>
    <s v="Mis dos hermanos menores tienen enfermedades huérfanas de alto costo genéticas. También viven con nosotros mis dos abuelos paternos."/>
    <n v="120000000"/>
    <n v="0"/>
    <n v="0"/>
    <n v="0"/>
    <n v="0"/>
    <s v="No"/>
    <s v=""/>
    <s v=""/>
    <n v="0"/>
    <s v="No"/>
    <s v=""/>
    <s v=""/>
    <n v="0"/>
    <s v="No"/>
    <s v=""/>
    <s v=""/>
    <s v=""/>
    <n v="0"/>
    <m/>
    <n v="4"/>
    <n v="4"/>
    <n v="3"/>
    <n v="4"/>
    <n v="4"/>
    <n v="4"/>
    <n v="4"/>
    <n v="3"/>
    <n v="4"/>
    <n v="4"/>
    <n v="38"/>
    <s v="SI"/>
    <m/>
    <s v="SI, SON PRI"/>
    <s v="ok tienen todos los datos"/>
    <e v="#N/A"/>
    <e v="#N/A"/>
    <m/>
    <n v="3"/>
    <n v="10"/>
    <n v="8"/>
    <n v="10"/>
    <n v="15"/>
    <n v="15"/>
    <n v="15"/>
    <n v="7.5"/>
    <n v="7.5"/>
    <n v="72.5"/>
    <n v="0.4"/>
    <m/>
    <n v="2"/>
    <n v="3.5"/>
    <n v="0"/>
    <n v="2"/>
    <n v="2"/>
    <n v="3.5"/>
    <n v="0"/>
    <n v="2"/>
    <n v="70.5"/>
    <n v="0.4"/>
    <s v="Negado"/>
    <e v="#N/A"/>
    <m/>
    <m/>
    <n v="0"/>
    <m/>
    <m/>
    <s v="Ingeniería Diseño de Producto"/>
    <e v="#N/A"/>
    <m/>
    <e v="#N/A"/>
  </r>
  <r>
    <s v="TI"/>
    <n v="1025649838"/>
    <s v="1000404626"/>
    <s v="EMMANUEL CAMPIÑO ESTRADA"/>
    <s v="Estudios por primera vez"/>
    <x v="1"/>
    <s v="Descartado por baja prioridad pregrado"/>
    <m/>
    <s v="En publico objetivo"/>
    <s v="3ra Cohorte"/>
    <s v="Admitido"/>
    <s v="ecampinoe@eafit.edu.co"/>
    <e v="#N/A"/>
    <s v="campiemma2007@gmail.com"/>
    <s v="573207697515"/>
    <d v="2025-06-06T00:00:00"/>
    <s v="Activo en Programa"/>
    <s v="083-Música"/>
    <s v="Escuela de Artes y Humanidades"/>
    <d v="2007-06-28T00:00:00"/>
    <n v="18"/>
    <s v="Antioquia"/>
    <s v="Medellín"/>
    <s v="Hombre"/>
    <s v="Soltero"/>
    <s v="NO"/>
    <s v="NO"/>
    <n v="0"/>
    <s v="NO"/>
    <s v="NA"/>
    <s v="NO"/>
    <s v="NA"/>
    <s v="NO"/>
    <s v="NA"/>
    <s v="No"/>
    <s v="323/393-3219"/>
    <s v="573207697515"/>
    <s v="Estrato 2"/>
    <s v="CL 63#61 138 TERCER PISO"/>
    <s v="Antioquia"/>
    <s v="Itagui"/>
    <s v="No aplica, no soy foráneo"/>
    <s v="Propio"/>
    <s v="SI"/>
    <s v="2024"/>
    <s v="AC202433239332"/>
    <n v="323"/>
    <n v="68"/>
    <n v="60"/>
    <s v="Privada"/>
    <s v="INSTITUCION EDUCATVA SAN JOSE"/>
    <n v="2024"/>
    <s v="Antioquia"/>
    <s v="Itagui"/>
    <s v="BACHILLER"/>
    <s v="COME"/>
    <s v="TIPO: Privada, INSTITUCION: INSTITUCION EDUCATVA SAN JOSE, AÑO: 2024, CIUDAD: Itagui, TITULO: BACHILLER"/>
    <s v="11"/>
    <s v="Escala de 0 - 5"/>
    <s v="Escala de 0 - 5"/>
    <s v="4,1"/>
    <s v="3,8"/>
    <m/>
    <s v="3,8"/>
    <s v="3,8"/>
    <m/>
    <n v="4.0999999999999996"/>
    <n v="4"/>
    <m/>
    <n v="4.0999999999999996"/>
    <n v="4.2"/>
    <m/>
    <s v="4,1"/>
    <s v="4,1"/>
    <m/>
    <s v="4,5"/>
    <s v="3,9"/>
    <m/>
    <s v="4"/>
    <s v="4"/>
    <m/>
    <s v="De 9 y 10"/>
    <n v="4.0999999999999996"/>
    <s v="NO"/>
    <s v="NA"/>
    <n v="0"/>
    <n v="0"/>
    <s v="No"/>
    <s v="Sin informacion"/>
    <s v="Sin informacion"/>
    <s v="Sin informacion"/>
    <s v="Sin informacion"/>
    <s v="Sin informacion"/>
    <s v="Sin informacion"/>
    <n v="0"/>
    <n v="8"/>
    <s v="Audicion musica"/>
    <s v="Artísticas o culturales,Trabajo social o comunitario,Otras (por ejemplo, un talento extraordinario)"/>
    <s v="Es muy natural cuando pienso en seguir siendo músico, pero ahora de una manera profesional, siendo capaz de demostrar lo importante que es la música para nosotros. Me veo también como ese músico que crece constantemente, no solo técnica y profesionalmente, sino también personal y emocionalmente._x000a_No me interesa tocar por tocar, sino poder construir un camino donde lo que interpreto tenga el mismo sentido para los que me escuchan que para mí. Me imagino en escenarios, sí, pero también en espacios íntimos donde realmente pueda transformar a mi audiencia por lo que comparto, porque creo en el arte, y sé que es algo que nos va a mantener, en los próximos años, un poco más humanos._x000a_Con la ayuda de esta beca, quiero empezar a formarme de verdad, con profundidad, y tener las herramientas para hacer posible todo este sueño. Para mí no es solo un apoyo económico, es una oportunidad real para empezar a construir este camino como músico, con más claridad y con el respaldo que a veces uno necesita._x000a_Gracias a eso, también me gustaría crear espacios y encuentros sociales y culturales donde más comunidades puedan acercarse a la música. Me sueño impulsando proyectos como talleres, conciertos o ferias que permitan que la música sea más accesible, más cercana para todos._x000a_Por último, quiero que mi profesión no solo me forme como artista, sino también como alguien que contribuye al crecimiento social; en una persona sensible que abre caminos a otras personas para que puedan encontrar en la música una forma de vivir, así como lo hago yo."/>
    <s v="Estudiantes de EAFIT"/>
    <s v="Por la calidad académica."/>
    <s v="Vocación."/>
    <n v="3"/>
    <s v="1"/>
    <s v="SI"/>
    <s v="NO"/>
    <s v="Entre 5 y 6 millones"/>
    <s v="No"/>
    <n v="0"/>
    <s v="SI"/>
    <s v="Crédito ICETEX"/>
    <s v="SI"/>
    <s v="Beca"/>
    <s v="NO"/>
    <s v=""/>
    <s v=""/>
    <s v="Si"/>
    <s v="John Henry Campiño Estrada"/>
    <s v="Casado"/>
    <s v="BACHILLERATO"/>
    <s v="51"/>
    <s v="Oficios varios"/>
    <s v="Empleado (con contrato laboral)"/>
    <s v="Oficios varios"/>
    <s v="Edificio Palmacera"/>
    <n v="1520000"/>
    <s v="Si"/>
    <s v="NO"/>
    <s v="NO"/>
    <s v="Persona con estabilidad laboral, responsable, cariñoso y comprometido con el bienestar de su familia, apoya y comparte los proyectos de vida de los miembros de la familia."/>
    <s v="Si"/>
    <s v="Carolina Estrada Urrego"/>
    <s v="Casado"/>
    <s v="MAESTRÍA"/>
    <s v="39"/>
    <s v="Trabajadora social"/>
    <s v="Empleado (con contrato laboral)"/>
    <s v="Coordinadora Fondo de Solidaridad de la Institución donde labora"/>
    <s v="El Comité de Rehabilitación de Antioquia"/>
    <n v="4204200"/>
    <s v="Si"/>
    <s v="SI"/>
    <s v="NO"/>
    <s v="Mujer comprometida con su familia, responsable y sensible.Estable laboralmente.Acompaña los proyectos de vida de los miembros de la familia."/>
    <n v="5724200"/>
    <s v="Si"/>
    <s v="Nicolás Campiño Estrada"/>
    <s v="Hermano / Hermana"/>
    <s v="9"/>
    <s v="Estudiante"/>
    <s v="Institución Educativa San José Manyanet"/>
    <n v="0"/>
    <s v="No"/>
    <s v=""/>
    <s v=""/>
    <s v=""/>
    <s v=""/>
    <s v=""/>
    <m/>
    <s v=""/>
    <s v=""/>
    <s v=""/>
    <s v=""/>
    <s v=""/>
    <s v=""/>
    <m/>
    <s v=""/>
    <s v="Somos una familia muy unida, compartimos el gusto de compartir momentos con las familias materna y paterna."/>
    <n v="180000000"/>
    <n v="0"/>
    <n v="0"/>
    <n v="0"/>
    <n v="0"/>
    <s v="Si"/>
    <s v="Renault"/>
    <s v="2006"/>
    <n v="1100000"/>
    <s v="No"/>
    <s v=""/>
    <s v=""/>
    <n v="0"/>
    <s v="No"/>
    <s v=""/>
    <s v=""/>
    <s v=""/>
    <n v="0"/>
    <s v="La casa es propia, se encuentra al día en obligaciones, posee una adecuación de un aparta estudio, que se encuentra alquilado."/>
    <n v="4"/>
    <n v="4"/>
    <n v="3"/>
    <n v="4"/>
    <n v="4"/>
    <n v="4"/>
    <n v="4"/>
    <n v="4"/>
    <n v="4"/>
    <n v="4"/>
    <n v="39"/>
    <s v="SI"/>
    <m/>
    <s v="PRI SIN PUNTAJE ENTREVISTA"/>
    <s v="ok es de musica, se deja puntaje del pregrado de 1 a 10 y comentario"/>
    <e v="#N/A"/>
    <e v="#N/A"/>
    <m/>
    <n v="1"/>
    <n v="10"/>
    <n v="10"/>
    <n v="5"/>
    <n v="15"/>
    <n v="15"/>
    <n v="10"/>
    <n v="9.5"/>
    <n v="9.5"/>
    <n v="64.5"/>
    <n v="0.4"/>
    <m/>
    <n v="2"/>
    <n v="2.5"/>
    <n v="3"/>
    <n v="2"/>
    <n v="2"/>
    <n v="2.5"/>
    <n v="3"/>
    <n v="2"/>
    <n v="64.5"/>
    <n v="0.4"/>
    <n v="0.4"/>
    <e v="#N/A"/>
    <m/>
    <m/>
    <n v="0"/>
    <m/>
    <m/>
    <s v="Música"/>
    <e v="#N/A"/>
    <s v="083"/>
    <e v="#N/A"/>
  </r>
  <r>
    <s v="TI"/>
    <n v="1025649921"/>
    <s v="1000391064"/>
    <s v="SAMUEL LONDOÑO ARANGO"/>
    <s v="Estudios por primera vez"/>
    <x v="1"/>
    <s v="Duda, cursando o graduado de tecnica o tecnologia"/>
    <m/>
    <s v="En publico objetivo"/>
    <s v="2da Cohorte"/>
    <s v="Admitido"/>
    <s v="slondona11@eafit.edu.co"/>
    <s v="slondona11@eafit.edu.co"/>
    <s v="samuarango987@gmail.com"/>
    <s v="573115156012"/>
    <d v="2025-05-16T00:00:00"/>
    <s v="Activo en Programa"/>
    <s v="199-Finanzas"/>
    <s v="E.Finanzas, Economía, Gobierno"/>
    <d v="2007-06-20T00:00:00"/>
    <n v="18"/>
    <s v="Antioquia"/>
    <s v="Medellín"/>
    <s v="Hombre"/>
    <s v="Soltero"/>
    <s v="NO"/>
    <s v="NO"/>
    <n v="0"/>
    <s v="NO"/>
    <s v="NA"/>
    <s v="NO"/>
    <s v="NA"/>
    <s v="NO"/>
    <s v="NA"/>
    <s v="No"/>
    <s v="311/515-6012"/>
    <s v="573115156012"/>
    <s v="Estrato 3"/>
    <s v="CR 52 A #72 30"/>
    <s v="Antioquia"/>
    <s v="Medellín"/>
    <s v="No aplica, no soy foráneo"/>
    <s v="Arriendo"/>
    <s v="SI"/>
    <s v="2024"/>
    <s v="AC202437039175"/>
    <n v="345"/>
    <n v="79"/>
    <n v="72"/>
    <s v="Pública"/>
    <s v="INSTITUCION EDUCATIVA MANUEL U"/>
    <n v="2024"/>
    <m/>
    <s v="Envigado"/>
    <s v="Bachillerato"/>
    <s v="BACHILLER"/>
    <s v="TIPO: Pública, INSTITUCION: INSTITUCION EDUCATIVA MANUEL U, AÑO: 2024, CIUDAD: Envigado, TITULO: BACHILLER"/>
    <s v="11"/>
    <s v="Escala de 0 - 5"/>
    <s v="Escala de 0 - 5"/>
    <s v="4,5"/>
    <s v="5"/>
    <m/>
    <s v="4,5"/>
    <s v="4,5"/>
    <m/>
    <n v="4"/>
    <n v="4.5999999999999996"/>
    <m/>
    <n v="4.4000000000000004"/>
    <n v="4.7"/>
    <m/>
    <s v="4"/>
    <s v="4,4"/>
    <m/>
    <s v="4"/>
    <s v="4,5"/>
    <m/>
    <s v="4,5"/>
    <s v="4,5"/>
    <m/>
    <s v="De 9 y 10"/>
    <n v="4.4249999999999998"/>
    <s v="SI"/>
    <s v="TIPO: Pública, INSTITUCION: SERVICIO NACIONAL DE APRENDIZA, AÑO: 2024, CIUDAD: Medellín, TITULO: TÉCNICO EN SISTEMAS"/>
    <s v="TECNICA"/>
    <s v=" TITULO: TÉCNICO EN SISTEMAS"/>
    <s v="No"/>
    <n v="50"/>
    <s v="Robótica, hizo media técnica en robótica"/>
    <n v="50"/>
    <m/>
    <n v="50"/>
    <m/>
    <s v="se graduó en el 2024_x000a_buen estudiante_x000a_puntaje saber 11_x000a_está estudiando en inglés"/>
    <n v="50"/>
    <s v="Con detalle por componente"/>
    <s v="Deportistas de alto rendimiento o representativo"/>
    <s v="Mi propósito en EAFIT: Inspirar, Crear y Transformar con las Finanzas_x000a_Samuel Londoño Arango_x000a__x000a_Comité de becas Univerdad EAFIT_x000a__x000a_Cordial saludo para todos los interesados._x000a__x000a_Me visualizo como un profesional en Finanzas liderando con responsabilidad y visión estratégica el desarrollo económico de empresas y comunidades, tanto en el ámbito público como privado. La formación en EAFIT me permitirá desarrollar habilidades analíticas, éticas y humanas, esenciales para generar impacto en un mundo en constante transformación._x000a__x000a_Desde temprana edad descubrí una fuerte afinidad por las matemáticas, la lógica y la estrategia. Estas habilidades, unidas a mi pasión por el aprendizaje continuo, me impulsan a querer liderar proyectos que mejoren la salud financiera de pequeñas y medianas empresas, promuevan el emprendimiento y fortalezcan la educación financiera en contextos vulnerables. Como decía Benjamin Graham, “la inversión inteligente no es producto de la inteligencia, sino del carácter” (Graham, 2003). Aspiro a ejercer mi profesión con ese carácter: íntegro, responsable y comprometido con el bienestar colectivo._x000a__x000a_Acceder al porcentaje de beca necesario no solo representaría para mí la posibilidad de recibir una formación académica de excelencia, sino también el compromiso de retribuir ese conocimiento a mi comunidad, a la universidad y al país.  A través de iniciativas que combinen conocimiento financiero, innovación y sensibilidad social, quiero impactar positivamente mi región y convertirla en un ejemplo de transformación._x000a__x000a_Con el respaldo de EAFIT y su lema “Inspira, Crea y Transforma”, quiero inspirar a otros a confiar en sus capacidades, crear soluciones reales a problemas económicos locales, y transformar mi entorno mediante el servicio y el liderazgo. Esta beca sería el primer paso para hacer realidad ese propósito: demostrar que los sueños, cuando se trabajan con esfuerzo y visión, pueden trascender barreras y construir un mejor futuro para todos."/>
    <s v="Redes sociales"/>
    <s v="Por la oferta académica."/>
    <s v="Vocación."/>
    <n v="1"/>
    <s v="1"/>
    <s v="SI"/>
    <s v="NO"/>
    <s v="Entre 7 y 8 millones"/>
    <s v="No"/>
    <s v="NO"/>
    <s v="NO"/>
    <m/>
    <s v="SI"/>
    <m/>
    <s v="NO"/>
    <s v=""/>
    <s v=""/>
    <s v="Si"/>
    <s v="Fabio Andres Londoño Villa"/>
    <s v="Soltero"/>
    <s v="MAESTRÍA"/>
    <s v="41"/>
    <s v="Docente"/>
    <s v="Empleado (con contrato laboral)"/>
    <s v="Profesor de música"/>
    <s v="Colegio Marymount"/>
    <n v="7049000"/>
    <s v="Si"/>
    <s v="SI"/>
    <s v="NO"/>
    <s v=""/>
    <s v="Si"/>
    <s v="Adriana Maria Arango Henao"/>
    <s v="Soltero"/>
    <s v="LINCENCIATURA"/>
    <s v="39"/>
    <s v="Profesional en salud ocupacional"/>
    <s v="Desempleado (Se encuentra en la búsqueda activa de empleo)"/>
    <s v="Actualmente dedicada a su hogar y a la maternidad"/>
    <s v="No aplica (desempleada actualmente)"/>
    <n v="1200000"/>
    <s v="No"/>
    <s v="NO"/>
    <s v="NO"/>
    <s v="No reside en el país actualmente"/>
    <n v="8249000"/>
    <s v="No, solo vivo con mis padres"/>
    <s v=""/>
    <s v=""/>
    <s v=""/>
    <s v=""/>
    <s v=""/>
    <m/>
    <s v=""/>
    <s v=""/>
    <s v=""/>
    <s v=""/>
    <s v=""/>
    <s v=""/>
    <m/>
    <s v=""/>
    <s v=""/>
    <s v=""/>
    <s v=""/>
    <s v=""/>
    <s v=""/>
    <m/>
    <s v=""/>
    <s v=""/>
    <n v="190000000"/>
    <n v="0"/>
    <n v="0"/>
    <n v="0"/>
    <n v="0"/>
    <s v="No"/>
    <s v=""/>
    <s v=""/>
    <n v="0"/>
    <s v="No"/>
    <s v=""/>
    <s v=""/>
    <n v="0"/>
    <s v="No"/>
    <s v=""/>
    <s v=""/>
    <s v=""/>
    <n v="0"/>
    <s v="Aunque mi madre es propietaria de una vivienda, actualmente no vivo con ella; resido únicamente con mi padre en casa arrendada."/>
    <n v="4"/>
    <n v="4"/>
    <n v="4"/>
    <n v="4"/>
    <n v="4"/>
    <n v="3"/>
    <n v="3"/>
    <n v="4"/>
    <n v="4"/>
    <n v="4"/>
    <n v="38"/>
    <s v="SI"/>
    <m/>
    <s v="SI, SON PRI"/>
    <s v="ok tienen todos los datos"/>
    <n v="0.4"/>
    <n v="20251"/>
    <m/>
    <n v="2"/>
    <n v="10"/>
    <n v="8"/>
    <n v="10"/>
    <n v="15"/>
    <n v="15"/>
    <n v="20"/>
    <n v="9.5"/>
    <n v="10"/>
    <n v="80"/>
    <n v="0.4"/>
    <m/>
    <n v="3.5"/>
    <n v="3.5"/>
    <n v="1"/>
    <n v="2"/>
    <n v="3.5"/>
    <n v="3"/>
    <n v="1"/>
    <n v="2"/>
    <n v="77.5"/>
    <n v="0.4"/>
    <n v="0.4"/>
    <e v="#N/A"/>
    <m/>
    <m/>
    <n v="0"/>
    <m/>
    <m/>
    <s v="Finanzas"/>
    <e v="#N/A"/>
    <s v="199"/>
    <e v="#N/A"/>
  </r>
  <r>
    <s v="TI"/>
    <n v="1025650331"/>
    <s v="1000398866"/>
    <s v="SOFIA GIRALDO RESTREPO"/>
    <s v="Estudios por primera vez"/>
    <x v="12"/>
    <s v="Descartado por ingresos altos"/>
    <m/>
    <s v="En publico objetivo"/>
    <s v="2da Cohorte"/>
    <s v="Admitido"/>
    <s v="sgiraldr11@eafit.edu.co"/>
    <s v="sgiraldr11@eafit.edu.co"/>
    <s v="sofiagiraldorestrepo@gmail.com"/>
    <s v="573156066512"/>
    <d v="2025-05-16T00:00:00"/>
    <s v="Activo en Programa"/>
    <s v="002-Negocios Internacionales"/>
    <s v="Escuela de Administración"/>
    <d v="2007-09-05T00:00:00"/>
    <n v="18"/>
    <s v="Antioquia"/>
    <s v="Medellín"/>
    <s v="Mujer"/>
    <s v="Soltero"/>
    <s v="NO"/>
    <s v="NO"/>
    <n v="0"/>
    <s v="NO"/>
    <s v="NA"/>
    <s v="NO"/>
    <s v="NA"/>
    <s v="NO"/>
    <s v="NA"/>
    <s v="No"/>
    <s v="604/582-5738"/>
    <s v="573156066512"/>
    <s v="Estrato 3"/>
    <s v="CL 43 33 74"/>
    <s v="Antioquia"/>
    <s v="Medellín"/>
    <s v="No aplica, no soy foráneo"/>
    <s v="Familiar"/>
    <s v="SI"/>
    <s v="2024"/>
    <s v="AC202430092668"/>
    <n v="300"/>
    <n v="58"/>
    <n v="54"/>
    <s v="Privada"/>
    <s v="COMUNIDAD COLEGIO JESUS MARIA"/>
    <n v="2024"/>
    <s v="Antioquia"/>
    <s v="Medellín"/>
    <s v="BACHILLER"/>
    <s v="ACAD"/>
    <s v="TIPO: Privada, INSTITUCION: COMUNIDAD COLEGIO JESUS MARIA, AÑO: 2024, CIUDAD: Medellín, TITULO: BACHILLER"/>
    <s v="11"/>
    <s v="Escala Desempeño"/>
    <s v="Escala de 0 - 5"/>
    <s v="4"/>
    <s v="4"/>
    <m/>
    <s v="4"/>
    <s v="4"/>
    <m/>
    <n v="4"/>
    <n v="4"/>
    <m/>
    <n v="4"/>
    <n v="4"/>
    <m/>
    <s v="4,5"/>
    <s v="4"/>
    <m/>
    <s v="4"/>
    <s v="4"/>
    <m/>
    <s v="4"/>
    <s v="4"/>
    <m/>
    <s v="De 9 y 10"/>
    <n v="4"/>
    <s v="NO"/>
    <s v="NA"/>
    <n v="0"/>
    <n v="0"/>
    <s v="No"/>
    <n v="45"/>
    <m/>
    <n v="40"/>
    <m/>
    <n v="35"/>
    <m/>
    <m/>
    <n v="40"/>
    <s v="Con detalle por componente"/>
    <s v="Artísticas o culturales,Deportistas de alto rendimiento o representativo,Espacios de liderazgo o representación social"/>
    <s v="Me visualizo ejerciendo mi carrera con un propósito más allá de lo profesional, queriendo generar impacto. Por eso, al formarme como negociadora internacional no solo busco adquirir conocimientos, sino también crecer como persona comprometida con su entorno, valores y su comunidad, ya sea local o global. Hoy más que nunca, somos parte de un mundo interconectado, y mi meta es actuar con ética, responsabilidad y pasión en todo lo que haga._x000a__x000a_Quiero que lo que aprenda en la universidad me sirva para aportar de forma real, llevando adelante proyectos que ayuden a transformar vidas. Sea desde una empresa privada, el sector público o trabajando en conjunto, mi sueño es poder crear oportunidades especialmente en lugares como Cocorná, Antioquia, donde nacieron mis padres. Este municipio tiene un gran potencial turístico y ambiental, y me gustaría ser parte de un proceso que atraiga inversión extranjera a Colombia y beneficie a las comunidades más vulnerables."/>
    <s v="Estudiantes de EAFIT"/>
    <s v="Por la calidad académica."/>
    <s v="Alta empleabilidad."/>
    <n v="3"/>
    <s v="0"/>
    <s v="SI"/>
    <s v="NO"/>
    <s v="Entre 15 y 16 millones"/>
    <s v="No"/>
    <n v="0"/>
    <s v="SI"/>
    <s v="Crédito educativo propio"/>
    <n v="0"/>
    <m/>
    <s v="NO"/>
    <s v=""/>
    <s v=""/>
    <s v="Si"/>
    <s v="Keny Willer Giraldo Serna"/>
    <s v="Soltero"/>
    <s v="MAESTRÍA"/>
    <s v="52"/>
    <s v="Abogado"/>
    <s v="Otra"/>
    <s v="Contralor Auxiliar de Responsabilidad Fiscal y Jurisdicción Coactiva"/>
    <s v="Contraloría Municipal de Itagüi"/>
    <n v="9959046"/>
    <s v="Si"/>
    <s v="SI"/>
    <s v="SI"/>
    <s v="Ninguna."/>
    <s v="Si"/>
    <s v="Diana Milena Restrepo Giraldo"/>
    <s v="Casado"/>
    <s v="TÉCNICA"/>
    <s v="46"/>
    <s v="Técnica en Diseño de Modas"/>
    <s v="Labores del hogar y cuidado"/>
    <s v="Ninguna."/>
    <s v="Ninguna."/>
    <n v="0"/>
    <s v="Si"/>
    <s v="NO"/>
    <s v="NO"/>
    <s v="Ninguna."/>
    <n v="9959046"/>
    <s v="No, solo vivo con mis padres"/>
    <s v=""/>
    <s v=""/>
    <s v=""/>
    <s v=""/>
    <s v=""/>
    <m/>
    <s v=""/>
    <s v=""/>
    <s v=""/>
    <s v=""/>
    <s v=""/>
    <s v=""/>
    <m/>
    <s v=""/>
    <s v=""/>
    <s v=""/>
    <s v=""/>
    <s v=""/>
    <s v=""/>
    <m/>
    <s v=""/>
    <s v=""/>
    <n v="0"/>
    <n v="133154000"/>
    <n v="0"/>
    <n v="0"/>
    <n v="0"/>
    <s v="Si"/>
    <s v="Renault Sandero"/>
    <s v="2014"/>
    <n v="30000000"/>
    <s v="No"/>
    <s v=""/>
    <s v=""/>
    <n v="0"/>
    <s v="No"/>
    <s v=""/>
    <s v=""/>
    <s v=""/>
    <n v="0"/>
    <s v="Ninguna."/>
    <n v="4"/>
    <n v="4"/>
    <n v="4"/>
    <n v="4"/>
    <n v="4"/>
    <n v="4"/>
    <n v="4"/>
    <n v="4"/>
    <n v="3"/>
    <n v="4"/>
    <n v="39"/>
    <s v="SI"/>
    <m/>
    <s v="SI, SON PRI"/>
    <s v="ok tienen todos los datos"/>
    <e v="#N/A"/>
    <e v="#N/A"/>
    <m/>
    <n v="3"/>
    <n v="10"/>
    <n v="8"/>
    <n v="5"/>
    <n v="15"/>
    <n v="15"/>
    <n v="10"/>
    <n v="8.5"/>
    <n v="8.5"/>
    <n v="63.5"/>
    <n v="0.4"/>
    <m/>
    <n v="2"/>
    <n v="3.5"/>
    <n v="1"/>
    <n v="2"/>
    <n v="2"/>
    <n v="3.5"/>
    <n v="1"/>
    <n v="2"/>
    <n v="61.5"/>
    <n v="0.4"/>
    <s v="Negado"/>
    <e v="#N/A"/>
    <m/>
    <m/>
    <n v="0"/>
    <m/>
    <m/>
    <s v="Negocios Internacionales"/>
    <e v="#N/A"/>
    <m/>
    <e v="#N/A"/>
  </r>
  <r>
    <s v="TI"/>
    <n v="1025650426"/>
    <s v="1000406875"/>
    <s v="MARIA FERNANDA MONSALVE ROJAS"/>
    <s v="Estudios por primera vez"/>
    <x v="1"/>
    <s v="Descartado por bajo icfes"/>
    <m/>
    <s v="En publico objetivo"/>
    <s v="2da Cohorte"/>
    <s v="Admitido"/>
    <s v="mfmonsalvr@eafit.edu.co"/>
    <e v="#N/A"/>
    <s v="alejandrarojas1030@yahoo.es"/>
    <s v="573127068503"/>
    <d v="2025-05-16T00:00:00"/>
    <s v="Activo en Programa"/>
    <s v="010-Ingeniería de Sistemas"/>
    <s v="E Ciencias Aplic e Ingeniería"/>
    <d v="2007-09-04T00:00:00"/>
    <n v="18"/>
    <s v="Antioquia"/>
    <s v="Medellín"/>
    <s v="Mujer"/>
    <s v="Soltero"/>
    <s v="NO"/>
    <s v="NO"/>
    <n v="0"/>
    <s v="NO"/>
    <s v="NA"/>
    <s v="NO"/>
    <s v="NA"/>
    <s v="NO"/>
    <s v="NA"/>
    <s v="No"/>
    <s v="577-9880"/>
    <s v="573127068503"/>
    <s v="Estrato 3"/>
    <s v="TV 65 E 41 B 210 BL 6 AP 201"/>
    <s v="Antioquia"/>
    <s v="Medellín"/>
    <s v="No aplica, no soy foráneo"/>
    <s v="Propio"/>
    <s v="SI"/>
    <s v="2024"/>
    <s v="AC202432934867"/>
    <n v="300"/>
    <n v="69"/>
    <n v="64"/>
    <s v="Privada"/>
    <s v="COL EUCARISTICO DE LA MILAGROS"/>
    <n v="2024"/>
    <s v="Antioquia"/>
    <s v="Medellín"/>
    <s v="BACHILLER"/>
    <s v="TECN"/>
    <s v="TIPO: Privada, INSTITUCION: COL EUCARISTICO DE LA MILAGROS, AÑO: 2024, CIUDAD: Medellín, TITULO: BACHILLER"/>
    <s v="11"/>
    <s v="Escala de 0 - 5"/>
    <s v="Escala de 0 - 5"/>
    <s v="5"/>
    <s v="4,5"/>
    <m/>
    <s v="4,7"/>
    <s v="4,7"/>
    <m/>
    <n v="4.5"/>
    <n v="5"/>
    <m/>
    <n v="4.5"/>
    <n v="4.7"/>
    <m/>
    <s v="5"/>
    <s v="4,9"/>
    <m/>
    <s v="5"/>
    <s v="5"/>
    <m/>
    <s v="5"/>
    <s v="4,8"/>
    <m/>
    <s v="De 9 y 10"/>
    <n v="4.6749999999999998"/>
    <s v="NO"/>
    <s v="NA"/>
    <n v="0"/>
    <n v="0"/>
    <s v="No"/>
    <n v="45"/>
    <m/>
    <n v="50"/>
    <m/>
    <n v="45"/>
    <m/>
    <s v="Buen desempeño en la entrevista.  Demuestra decisión firme en su elección de pregrado"/>
    <n v="46.666666666666664"/>
    <s v="Con detalle por componente"/>
    <s v="Trabajo social o comunitario,Espacios de liderazgo o representación social"/>
    <s v="Me visualizo siendo una excelente Ingeniera de Sistemas, que ha sido formada en diferentes valores, tanto en el hogar como los que me brindaron en la Universidad; también me visualizo liderando mi propia empresa, donde pueda brindar diversas ayudas a mi región. Todo esto sería posible gracias a la beca otorgada por EAFIT, ya que me gustaría hacer uso de los conocimientos adquiridos y ayudar a mi comunidad con la generación de empleo, en especial a las comunidades menos favorecidas y mujeres cabeza de hogar, como lo ha sido mi madre en todos estos años, donde me ha contado cómo fue su infancia en la pobreza y que gracias al estudio y la formación en valores ha podido superarse. _x000a__x000a_Además, identificando algunas necesidades de la población, deseo contribuir a su desarrollo y facilitar procesos de la vida cotidiana, aprovechando el conocimiento dado por la Universidad EAFIT y haciendo uso de las herramientas brindadas por la tecnología; logrando así, desarrollar softwares que simplifiquen y optimicen procesos._x000a__x000a_La beca es mi primer paso para iniciar mi mundo universitario, ya que sin ella no será posible mi progreso académico, debido a nuestra situación financiera. Al terminar mi pregrado en Ingeniería de Sistemas, éste me abrirá las puertas para un mejor futuro, donde realizaré mi Especialización en Diseño Integrado de Sistemas Técnicos (Mecatrónica)."/>
    <s v="Amigos"/>
    <s v="Por la calidad académica."/>
    <s v="Alta empleabilidad."/>
    <n v="2"/>
    <s v="0"/>
    <s v="SI"/>
    <s v="NO"/>
    <s v="Entre 2 y 3 millones"/>
    <s v="No"/>
    <n v="0"/>
    <n v="0"/>
    <m/>
    <s v="SI"/>
    <s v="Beca"/>
    <s v="NO"/>
    <s v=""/>
    <s v=""/>
    <s v="Sin información"/>
    <n v="0"/>
    <m/>
    <m/>
    <m/>
    <s v=""/>
    <s v=""/>
    <m/>
    <s v=""/>
    <m/>
    <s v=""/>
    <m/>
    <m/>
    <s v=""/>
    <s v="Si"/>
    <s v="Alejandra Rojas Marín"/>
    <s v="Soltero"/>
    <s v="UNIVERSITARIOS"/>
    <s v="35"/>
    <s v="Administradora de empresas"/>
    <s v="Empleado (con contrato laboral)"/>
    <s v="Subgerente"/>
    <s v="Granada Software S.A.S"/>
    <n v="3000000"/>
    <s v="Si"/>
    <s v="SI"/>
    <s v="NO"/>
    <s v="Mi madre es cabeza de hogar"/>
    <n v="3000000"/>
    <s v="Si"/>
    <s v="Luz Stella Marín"/>
    <s v="Abuelo / Abuela"/>
    <s v="62"/>
    <s v="Ama de casa"/>
    <s v="No aplica"/>
    <n v="0"/>
    <s v="No"/>
    <s v=""/>
    <s v=""/>
    <s v=""/>
    <s v=""/>
    <s v=""/>
    <m/>
    <s v=""/>
    <s v=""/>
    <s v=""/>
    <s v=""/>
    <s v=""/>
    <s v=""/>
    <m/>
    <s v=""/>
    <s v=""/>
    <n v="0"/>
    <n v="150000000"/>
    <n v="0"/>
    <n v="0"/>
    <n v="0"/>
    <s v="Si"/>
    <s v="Kia picanto"/>
    <s v="2023"/>
    <n v="50000000"/>
    <s v="No"/>
    <s v=""/>
    <s v=""/>
    <n v="0"/>
    <s v="No"/>
    <s v=""/>
    <s v=""/>
    <s v=""/>
    <n v="0"/>
    <m/>
    <n v="4"/>
    <n v="4"/>
    <n v="3"/>
    <n v="3"/>
    <n v="4"/>
    <n v="3"/>
    <n v="4"/>
    <n v="3"/>
    <n v="4"/>
    <n v="4"/>
    <n v="36"/>
    <s v="SI"/>
    <m/>
    <s v="SI, SON PRI"/>
    <s v="ok tienen todos los datos"/>
    <e v="#N/A"/>
    <e v="#N/A"/>
    <m/>
    <n v="3"/>
    <n v="10"/>
    <n v="8"/>
    <n v="5"/>
    <n v="20"/>
    <n v="15"/>
    <n v="20"/>
    <n v="14.5"/>
    <n v="14.5"/>
    <n v="84.5"/>
    <n v="0.4"/>
    <m/>
    <n v="2"/>
    <n v="2.5"/>
    <n v="8"/>
    <n v="2"/>
    <n v="2"/>
    <n v="2.5"/>
    <n v="8"/>
    <n v="2"/>
    <n v="82.5"/>
    <n v="0.5"/>
    <n v="0.5"/>
    <e v="#N/A"/>
    <m/>
    <m/>
    <n v="0"/>
    <m/>
    <m/>
    <s v="Ingeniería de Sistemas"/>
    <e v="#N/A"/>
    <s v="010"/>
    <e v="#N/A"/>
  </r>
  <r>
    <s v="TI"/>
    <n v="1025650635"/>
    <s v="1000409908"/>
    <s v="JUAN PABLO GONZALEZ BUILES"/>
    <s v="Transferencia Externa"/>
    <x v="7"/>
    <s v="No cumple, estrato 4"/>
    <s v="Se esta revisando ingresos contra doc"/>
    <s v="En publico objetivo"/>
    <s v="3ra Cohorte"/>
    <s v="Admitido"/>
    <s v="jpgonzaleb@eafit.edu.co"/>
    <e v="#N/A"/>
    <s v="jg507043@gmail.com"/>
    <s v="573003298591"/>
    <d v="2025-06-06T00:00:00"/>
    <s v="Matrícula"/>
    <s v="001-Administración de Negocios"/>
    <s v="Escuela de Administración"/>
    <s v="10/10/2007"/>
    <n v="18"/>
    <s v="Antioquia"/>
    <s v="Medellín"/>
    <s v="Hombre"/>
    <s v="Soltero"/>
    <s v="NO"/>
    <s v="NO"/>
    <s v="NA"/>
    <s v="NO"/>
    <s v="NA"/>
    <s v="NO"/>
    <s v="NA"/>
    <s v="NO"/>
    <s v="NA"/>
    <s v="No"/>
    <s v="604/447-7256"/>
    <s v="573003298591"/>
    <s v="Estrato 4"/>
    <s v="CL 51 #65 208"/>
    <s v="Antioquia"/>
    <s v="Medellín"/>
    <s v="No aplica, no soy foráneo"/>
    <s v="Propio"/>
    <s v="SI"/>
    <s v="2024"/>
    <s v="AC202430134655"/>
    <n v="288"/>
    <n v="64"/>
    <n v="62"/>
    <s v="Pública"/>
    <s v="INST EDUC MARCO FIDEL SUAREZ"/>
    <n v="2024"/>
    <m/>
    <s v="Medellín"/>
    <s v="Bachillerato"/>
    <s v="BACHILLER"/>
    <s v="TIPO: Pública, INSTITUCION: INST EDUC MARCO FIDEL SUAREZ, AÑO: 2024, CIUDAD: Medellín, TITULO: BACHILLER"/>
    <n v="0"/>
    <n v="0"/>
    <s v="PCA TEX"/>
    <m/>
    <m/>
    <m/>
    <m/>
    <m/>
    <m/>
    <m/>
    <m/>
    <m/>
    <m/>
    <m/>
    <m/>
    <m/>
    <m/>
    <m/>
    <m/>
    <m/>
    <m/>
    <m/>
    <m/>
    <m/>
    <s v="Ver PCA TEX"/>
    <n v="4.3"/>
    <s v="SI"/>
    <s v="TIPO: Privada, INSTITUCION: UNV. CATÓLICA LUIS AMIGÓFUNLAM, AÑO: 0, CIUDAD: Medellín, TITULO: ADMINISTRADOR DE EMPRESAS (Medellín)"/>
    <s v="PREGRADO"/>
    <s v=" TITULO: ADMINISTRADOR DE EMPRESAS (Medellín)"/>
    <s v="No"/>
    <s v="Sin informacion"/>
    <s v="Sin informacion"/>
    <s v="Sin informacion"/>
    <s v="Sin informacion"/>
    <s v="Sin informacion"/>
    <s v="Sin informacion"/>
    <s v="Sin informacion"/>
    <n v="41.667000000000002"/>
    <s v="Sin detalle por componente"/>
    <s v="Espacios de liderazgo o representación social,Trabajo social o comunitario"/>
    <s v="Quiero ser un administrador integral, liderando proyectos que impulsen el desarrollo económico, desde siempre he sentido una gran pasión por el liderazgo y es lo que me motiva a estudiar en una universidad que fomenta esta capacidad, no solo como una habilidad sino como una forma de generar un impacto social. quiero convertirme en un agente de cambio, capaz de crear empresas sostenibles generar empleo y fomentar una cultura empresarial basada en la ética, la innovación y el compromiso social. obtener esta beca representaría una oportunidad clave para acceder a una formación de calidad, desarrollar mis habilidades y sobre todo demostrar que con esfuerzo es posible marcar la diferencia."/>
    <s v="Redes sociales"/>
    <s v="Por recomendación."/>
    <s v="Alta empleabilidad."/>
    <n v="3"/>
    <s v="1"/>
    <s v="SI"/>
    <s v="NO"/>
    <s v="Entre 10 y 11 millones"/>
    <s v="Si"/>
    <s v="N"/>
    <s v="Y"/>
    <m/>
    <s v="N"/>
    <m/>
    <s v="NO"/>
    <s v="NA"/>
    <s v="NA"/>
    <s v="Si"/>
    <s v="Juan David González Monsalve"/>
    <m/>
    <m/>
    <m/>
    <s v="Comerciante"/>
    <s v="Independiente (trabaja por cuenta propia)"/>
    <s v="Propietario"/>
    <s v="JD Diesel"/>
    <n v="76400000"/>
    <s v="Si"/>
    <m/>
    <m/>
    <s v=""/>
    <s v="Si"/>
    <s v="Silvia Patricia Builes Álzate"/>
    <m/>
    <m/>
    <m/>
    <s v="Auxiliar contable"/>
    <s v="Empleado (con contrato laboral)"/>
    <s v="Auxiliar contable"/>
    <s v="JD Diesel"/>
    <n v="7800000"/>
    <s v="Si"/>
    <m/>
    <m/>
    <m/>
    <n v="84200000"/>
    <s v="Si"/>
    <s v="Ana Lucia González Builes"/>
    <s v="Hermano / Hermana"/>
    <s v="10"/>
    <s v="Estudiante"/>
    <s v="Colegio Madrid campestre"/>
    <n v="0"/>
    <s v="No"/>
    <s v=""/>
    <s v=""/>
    <s v=""/>
    <s v=""/>
    <s v=""/>
    <m/>
    <s v=""/>
    <s v=""/>
    <s v=""/>
    <s v=""/>
    <s v=""/>
    <s v=""/>
    <m/>
    <s v=""/>
    <s v=""/>
    <n v="250000000"/>
    <n v="250000000"/>
    <n v="0"/>
    <n v="0"/>
    <n v="150000000"/>
    <s v="Si"/>
    <s v="Toyota"/>
    <s v="2025"/>
    <n v="400000000"/>
    <s v="No"/>
    <s v=""/>
    <s v=""/>
    <n v="0"/>
    <s v="Si"/>
    <s v="Carro"/>
    <s v="Mazda"/>
    <s v="2026"/>
    <n v="92000000"/>
    <m/>
    <n v="4"/>
    <n v="4"/>
    <n v="4"/>
    <n v="4"/>
    <n v="4"/>
    <n v="4"/>
    <n v="4"/>
    <n v="3"/>
    <n v="3"/>
    <n v="4"/>
    <n v="38"/>
    <s v="SI"/>
    <m/>
    <s v="ES TEX, TIENE ES PROMEDIO DE ENTREVISTA, NO DISCRIMINADO"/>
    <s v="ok se ajusta matriz con promedio entrevista"/>
    <e v="#N/A"/>
    <e v="#N/A"/>
    <m/>
    <n v="3"/>
    <n v="4"/>
    <n v="4"/>
    <n v="0"/>
    <n v="15"/>
    <n v="15"/>
    <n v="10"/>
    <n v="6"/>
    <n v="6"/>
    <n v="50"/>
    <n v="0.4"/>
    <m/>
    <n v="3.5"/>
    <n v="2.5"/>
    <n v="0"/>
    <n v="0"/>
    <n v="3.5"/>
    <n v="2.5"/>
    <n v="0"/>
    <n v="0"/>
    <n v="50"/>
    <n v="0.4"/>
    <s v="Negado"/>
    <e v="#N/A"/>
    <m/>
    <m/>
    <n v="0"/>
    <m/>
    <m/>
    <s v="Administración de Negocios"/>
    <e v="#N/A"/>
    <m/>
    <e v="#N/A"/>
  </r>
  <r>
    <s v="TI"/>
    <n v="1025650640"/>
    <s v="1000398930"/>
    <s v="ALICIA RAMOS PIEDRAHITA"/>
    <s v="Estudios por primera vez"/>
    <x v="1"/>
    <s v="Descartado por ingresos altos"/>
    <m/>
    <s v="En publico objetivo"/>
    <s v="2da Cohorte"/>
    <s v="Admitido"/>
    <s v="aramosp2@eafit.edu.co"/>
    <s v="aramosp2@eafit.edu.co"/>
    <s v="aramosp2@eafit.edu.co"/>
    <s v="573052303522"/>
    <d v="2025-05-16T00:00:00"/>
    <s v="Activo en Programa"/>
    <s v="168-Psicología"/>
    <s v="Escuela de Artes y Humanidades"/>
    <d v="2007-10-15T00:00:00"/>
    <n v="18"/>
    <s v="Antioquia"/>
    <s v="Medellín"/>
    <s v="Mujer"/>
    <s v="Soltero"/>
    <s v="NO"/>
    <s v="NO"/>
    <n v="0"/>
    <s v="NO"/>
    <s v="NA"/>
    <s v="NO"/>
    <s v="NA"/>
    <s v="NO"/>
    <s v="NA"/>
    <s v="No"/>
    <s v="305/230-3522"/>
    <s v="573052303522"/>
    <s v="Estrato 3"/>
    <s v="CL 54 86 A 35"/>
    <s v="Antioquia"/>
    <s v="Medellín"/>
    <s v="No aplica, no soy foráneo"/>
    <s v="Arriendo"/>
    <s v="SI"/>
    <s v="2024"/>
    <s v="AC202431954551"/>
    <n v="342"/>
    <n v="64"/>
    <n v="70"/>
    <s v="Privada"/>
    <s v="COL NUESTRA MADRE DE MERCEDES"/>
    <n v="2024"/>
    <s v="Antioquia"/>
    <s v="Medellín"/>
    <s v="BACHILLER"/>
    <s v="ACAD"/>
    <s v="TIPO: Privada, INSTITUCION: COL NUESTRA MADRE DE MERCEDES, AÑO: 2024, CIUDAD: Medellín, TITULO: BACHILLER"/>
    <s v="11"/>
    <s v="Escala de 0 - 5"/>
    <s v="Escala de 0 - 5"/>
    <s v="4,5"/>
    <s v="4,5"/>
    <m/>
    <s v="4"/>
    <s v="4,5"/>
    <m/>
    <n v="3.7"/>
    <n v="4"/>
    <m/>
    <n v="4.2"/>
    <n v="5"/>
    <m/>
    <s v="5"/>
    <s v="5"/>
    <m/>
    <s v="5"/>
    <s v="5"/>
    <m/>
    <s v="5"/>
    <s v="5"/>
    <m/>
    <s v="De 9 y 10"/>
    <n v="4.2249999999999996"/>
    <s v="NO"/>
    <s v="NA"/>
    <n v="0"/>
    <n v="0"/>
    <s v="No"/>
    <n v="45"/>
    <m/>
    <n v="50"/>
    <m/>
    <n v="50"/>
    <m/>
    <s v="Admitida al programa que se inscribió"/>
    <n v="48.333333333333336"/>
    <s v="Con detalle por componente"/>
    <s v="Artísticas o culturales,Espacios de liderazgo o representación social,Otras (por ejemplo, un talento extraordinario)"/>
    <s v="Me visualizo ejerciendo la psicología como una herramienta de transformación personal y colectiva, especialmente en contextos sociales vulnerables. Sueño con ser el apoyo de personas que lo necesiten y liderar proyectos que promuevan la salud mental, la prevención de violencias y la inclusión, generando entornos seguros para niños, jóvenes y mujeres que han vivido situaciones de pobreza, exclusión o maltrato. Quiero ser una psicóloga que ayude a sus pacientes a reforzar sus emociones y mentalidad para encontrar salidas ante las dificultades del mundo, para que así mejoren sus capacidades y autopercepción, a través de procesos de sanación y fortalecimiento. Asimismo, aspiro a promover entornos laborales más humanos, donde el bienestar, la equidad y la salud mental sean pilares para el desarrollo sostenible de las comunidades y sus instituciones._x000a__x000a_Obener esta beca es para mí una oportunidad única de formarme con calidad, sin que las limitaciones económicas detengan mi sueño de estudiar para convertirme en una gran profesional en psicología, comprometida con el cambio social y la transformación. La vida de muchas personas de mi región, Medellín, ha sido marcada por la guerra y la inequidad, en ese sentido, quiero ejercer la psicología como un impulso para transformar profundamente la realidad de quienes pongan su salud mental en mis manos. A través de mi profesión lideraré proyectos psicosociales locales que promuevan la prevención y resolución de problemáticas humanas, construyendo espacios seguros para todos. Desde la escucha y la empatía, quiero sembrar bienestar, dignidad y oportunidades, apostando por un futuro más justo, saludable e inclusivo. Esta beca me permitirá, no solo alcanzar mi sueño profesional, sino llenar de esperanza la vida de muchas personas."/>
    <s v="A través del Colegio"/>
    <s v="Por la calidad académica."/>
    <s v="Vocación."/>
    <n v="1"/>
    <s v="0"/>
    <s v="SI"/>
    <s v="NO"/>
    <s v="Entre 3 y 4 millones"/>
    <s v="No"/>
    <n v="0"/>
    <n v="0"/>
    <m/>
    <s v="SI"/>
    <s v="Beca"/>
    <s v="NO"/>
    <s v=""/>
    <s v=""/>
    <s v="Si"/>
    <s v="Andrés Alberto Ramos Arango"/>
    <s v="Soltero"/>
    <s v="TÉCNICA"/>
    <s v="45"/>
    <s v="Diseñador gráfico e instructor de buceo"/>
    <s v="Independiente (trabaja por cuenta propia)"/>
    <s v="Instructor de buceo"/>
    <s v="Independiente"/>
    <n v="1900000"/>
    <s v="Si"/>
    <s v="NO"/>
    <s v="NO"/>
    <s v=""/>
    <s v="Si"/>
    <s v="Maria Natalia Piedrahita Tamayo"/>
    <s v="Soltero"/>
    <s v="MAESTRÍA"/>
    <s v="40"/>
    <s v="Periodista"/>
    <s v="Empleado (con contrato laboral)"/>
    <s v="Periodista de ciencia"/>
    <s v="Universidad Nacional de Colombia- Facultad de Minas"/>
    <n v="4500000"/>
    <s v="Si"/>
    <s v="SI"/>
    <s v="NO"/>
    <m/>
    <n v="6400000"/>
    <s v="No, solo vivo con mis padres"/>
    <s v=""/>
    <s v=""/>
    <s v=""/>
    <s v=""/>
    <s v=""/>
    <m/>
    <s v=""/>
    <s v=""/>
    <s v=""/>
    <s v=""/>
    <s v=""/>
    <s v=""/>
    <m/>
    <s v=""/>
    <s v=""/>
    <s v=""/>
    <s v=""/>
    <s v=""/>
    <s v=""/>
    <m/>
    <s v=""/>
    <s v=""/>
    <n v="1250000"/>
    <n v="0"/>
    <n v="0"/>
    <n v="0"/>
    <n v="0"/>
    <s v="Si"/>
    <s v="Renault Sandero"/>
    <s v="2019"/>
    <n v="40000000"/>
    <s v="No"/>
    <s v=""/>
    <s v=""/>
    <n v="0"/>
    <s v="No"/>
    <s v=""/>
    <s v=""/>
    <s v=""/>
    <n v="0"/>
    <m/>
    <n v="4"/>
    <n v="4"/>
    <n v="4"/>
    <n v="4"/>
    <n v="4"/>
    <n v="4"/>
    <n v="4"/>
    <n v="3"/>
    <n v="4"/>
    <n v="4"/>
    <n v="39"/>
    <s v="SI"/>
    <m/>
    <s v="SI, SON PRI"/>
    <s v="ok tienen todos los datos"/>
    <e v="#N/A"/>
    <e v="#N/A"/>
    <m/>
    <n v="3"/>
    <n v="10"/>
    <n v="8"/>
    <n v="10"/>
    <n v="15"/>
    <n v="15"/>
    <n v="20"/>
    <n v="12.5"/>
    <n v="11.5"/>
    <n v="81.5"/>
    <n v="0.4"/>
    <m/>
    <n v="2"/>
    <n v="3.5"/>
    <n v="3"/>
    <n v="3"/>
    <n v="2"/>
    <n v="3"/>
    <n v="3"/>
    <n v="4.5"/>
    <n v="80.5"/>
    <n v="0.4"/>
    <n v="0.5"/>
    <e v="#N/A"/>
    <m/>
    <m/>
    <n v="0"/>
    <m/>
    <m/>
    <s v="Psicología"/>
    <e v="#N/A"/>
    <s v="168"/>
    <e v="#N/A"/>
  </r>
  <r>
    <s v="TI"/>
    <n v="1025650973"/>
    <s v="1000366731"/>
    <s v="KARIL MILDRED MOSQUERA LEDEZMA"/>
    <s v="Estudios por primera vez"/>
    <x v="1"/>
    <s v="Descartado por ingresos altos"/>
    <m/>
    <s v="En publico objetivo"/>
    <s v="3ra Cohorte"/>
    <s v="Admitido"/>
    <s v="kmmosquerl@eafit.edu.co"/>
    <s v="kmmosquerl@eafit.edu.co"/>
    <s v="kmmosquerl@eafit.edu.co"/>
    <s v="573235844268"/>
    <d v="2025-05-30T00:00:00"/>
    <s v="Activo en Programa"/>
    <s v="260-Ingeniería Industrial"/>
    <s v="E Ciencias Aplic e Ingeniería"/>
    <d v="2007-11-12T00:00:00"/>
    <n v="18"/>
    <s v="Antioquia"/>
    <s v="Medellín"/>
    <s v="Mujer"/>
    <s v="Soltero"/>
    <s v="NO"/>
    <s v="NO"/>
    <n v="0"/>
    <s v="NO"/>
    <s v="NA"/>
    <s v="SI"/>
    <s v="Afrocolombianos"/>
    <s v="SI"/>
    <s v="Afrocolombianos"/>
    <s v="No"/>
    <s v="310/545-3337"/>
    <s v="573235844268"/>
    <s v="Estrato 3"/>
    <s v="CR 87 #39 127"/>
    <s v="Antioquia"/>
    <s v="Copacabana"/>
    <s v="No aplica, no soy foráneo"/>
    <s v="Arriendo"/>
    <s v="SI"/>
    <s v="2024"/>
    <s v="AC202432221927"/>
    <n v="326"/>
    <n v="65"/>
    <n v="62"/>
    <s v="Pública"/>
    <s v="I. E. LA TRINIDAD"/>
    <n v="2024"/>
    <s v="Antioquia"/>
    <s v="Copacabana"/>
    <s v="BACHILLER"/>
    <s v="ACAD"/>
    <s v="TIPO: Pública, INSTITUCION: I. E. LA TRINIDAD, AÑO: 2024, CIUDAD: Copacabana, TITULO: BACHILLER"/>
    <s v="11"/>
    <s v="Escala de 0 - 5"/>
    <s v="Escala de 0 - 5"/>
    <s v="3,6"/>
    <s v="4"/>
    <m/>
    <s v="4"/>
    <s v="4,5"/>
    <m/>
    <n v="3.6"/>
    <n v="4"/>
    <m/>
    <n v="4"/>
    <n v="4"/>
    <m/>
    <s v="3,3"/>
    <s v="4"/>
    <m/>
    <s v="4,8"/>
    <s v="4,8"/>
    <m/>
    <s v="4,5"/>
    <s v="4,5"/>
    <m/>
    <s v="De 9 y 10"/>
    <n v="3.9"/>
    <s v="NO"/>
    <s v="NA"/>
    <n v="0"/>
    <n v="0"/>
    <s v="No"/>
    <n v="45"/>
    <m/>
    <n v="45"/>
    <m/>
    <n v="45"/>
    <m/>
    <s v="La aspirante tiene claridad que desea estudiar esta carrera y los motivos de su selección. Se recomienda sea admitida"/>
    <n v="45"/>
    <s v="Con detalle por componente"/>
    <s v="Espacios de liderazgo o representación social"/>
    <s v="Como aspirante a ingeniería industrial, me visualizo aplicando una mirada analítica, practica y tecnológica para la mejorar y/o transformar los procesos y recursos, aportar a que las organizaciones sean más eficientes y humanas. Además, Sueño con emprender en un proyecto que rescate y visibilice la riqueza de mi cultura afro, demostrando que desde nuestras raíces también se puede innovar y generar desarrollo. Esta oportunidad es clave para fortalecer mi formación y convertir todo esto en una realidad."/>
    <s v="Página WEB"/>
    <s v="Por la calidad académica."/>
    <s v="Vocación."/>
    <n v="2"/>
    <s v="0"/>
    <s v="NO"/>
    <s v="NO"/>
    <s v="Entre 4 y 5 millones"/>
    <s v="No"/>
    <n v="0"/>
    <n v="0"/>
    <m/>
    <s v="SI"/>
    <s v="Beca"/>
    <s v="NO"/>
    <s v=""/>
    <s v=""/>
    <s v="Si"/>
    <s v="Carlos Mario Mosquera Mosquera"/>
    <s v="Casado"/>
    <s v="BACHILLERATO"/>
    <s v="44"/>
    <s v="Coordinador logístico"/>
    <s v="Empleado (con contrato laboral)"/>
    <s v="Coordinador logístico"/>
    <s v="Energy Logística"/>
    <n v="2906500"/>
    <s v="Si"/>
    <s v="SI"/>
    <s v="NO"/>
    <s v=""/>
    <s v="Si"/>
    <s v="Mariana Ibeth Ledezma Cuesta"/>
    <s v="Casado"/>
    <s v="UNIVERSITARIOS"/>
    <s v="40"/>
    <s v="Contadora Pública"/>
    <s v="Independiente (trabaja por cuenta propia)"/>
    <s v="Contadora pública"/>
    <s v="NO APLICA"/>
    <n v="3000000"/>
    <s v="No"/>
    <s v="NO"/>
    <s v="NO"/>
    <m/>
    <n v="5906500"/>
    <s v="No, solo vivo con mis padres"/>
    <s v=""/>
    <s v=""/>
    <s v=""/>
    <s v=""/>
    <s v=""/>
    <m/>
    <s v=""/>
    <s v=""/>
    <s v=""/>
    <s v=""/>
    <s v=""/>
    <s v=""/>
    <m/>
    <s v=""/>
    <s v=""/>
    <s v=""/>
    <s v=""/>
    <s v=""/>
    <s v=""/>
    <m/>
    <s v=""/>
    <s v=""/>
    <n v="0"/>
    <n v="0"/>
    <n v="0"/>
    <n v="0"/>
    <n v="0"/>
    <s v="No"/>
    <s v=""/>
    <s v=""/>
    <n v="0"/>
    <s v="No"/>
    <s v=""/>
    <s v=""/>
    <n v="0"/>
    <s v="Si"/>
    <s v="Moto"/>
    <s v="YAMAHA N-MAX"/>
    <s v="2025"/>
    <n v="16000000"/>
    <m/>
    <n v="4"/>
    <n v="3"/>
    <n v="3"/>
    <n v="4"/>
    <n v="3"/>
    <n v="3"/>
    <n v="3"/>
    <n v="4"/>
    <n v="3"/>
    <n v="3"/>
    <n v="33"/>
    <s v="SI"/>
    <m/>
    <s v="SI, SON PRI"/>
    <s v="ok tienen todos los datos"/>
    <e v="#N/A"/>
    <e v="#N/A"/>
    <m/>
    <n v="3"/>
    <n v="10"/>
    <n v="8"/>
    <n v="5"/>
    <n v="10"/>
    <n v="10"/>
    <n v="15"/>
    <n v="15"/>
    <n v="15"/>
    <n v="65"/>
    <n v="0.4"/>
    <m/>
    <n v="3.5"/>
    <n v="4.5"/>
    <n v="3"/>
    <n v="4"/>
    <n v="3.5"/>
    <n v="4"/>
    <n v="3"/>
    <n v="4.5"/>
    <n v="63"/>
    <n v="0.5"/>
    <n v="0.4"/>
    <e v="#N/A"/>
    <m/>
    <m/>
    <n v="0"/>
    <m/>
    <m/>
    <s v="Ingeniería Industrial"/>
    <e v="#N/A"/>
    <m/>
    <e v="#N/A"/>
  </r>
  <r>
    <s v="TI"/>
    <n v="1025651575"/>
    <s v="1000388486"/>
    <s v="SIMONE MURILLO PALACIOS"/>
    <s v="Estudios por primera vez"/>
    <x v="1"/>
    <s v="Descartado por ingresos altos"/>
    <m/>
    <s v="En publico objetivo"/>
    <s v="2da Cohorte"/>
    <s v="Admitido"/>
    <s v="smurillop@eafit.edu.co"/>
    <s v="smurillop@eafit.edu.co"/>
    <s v="simonemurillopalacios21@gmail.com"/>
    <s v="573147854868"/>
    <d v="2025-05-16T00:00:00"/>
    <s v="Activo en Programa"/>
    <s v="084-Derecho"/>
    <s v="Escuela de Derecho"/>
    <d v="2007-12-21T00:00:00"/>
    <n v="17"/>
    <s v="Antioquia"/>
    <s v="Medellín"/>
    <s v="Mujer"/>
    <s v="Soltero"/>
    <s v="NO"/>
    <s v="NO"/>
    <n v="0"/>
    <s v="NO"/>
    <s v="NA"/>
    <s v="SI"/>
    <s v="Afrocolombianos"/>
    <s v="SI"/>
    <s v="Afrocolombianos"/>
    <s v="No"/>
    <s v="314/785-4868"/>
    <s v="573147854868"/>
    <s v="Estrato 1"/>
    <s v="LA COHIMBRA"/>
    <s v="Chocó"/>
    <s v="Quibdó"/>
    <s v="Si"/>
    <s v="Arriendo"/>
    <s v="SI"/>
    <s v="2024"/>
    <s v="AC202435789144"/>
    <n v="359"/>
    <n v="66"/>
    <n v="72"/>
    <s v="Pública"/>
    <s v="IE TECNICA INTEGRADO CARRASQUI"/>
    <n v="2024"/>
    <s v="Chocó"/>
    <s v="Quibdó"/>
    <s v="BACHILLER"/>
    <n v="0"/>
    <s v="TIPO: Pública, INSTITUCION: IE TECNICA INTEGRADO CARRASQUI, AÑO: 2024, CIUDAD: Quibdó, TITULO: BACHILLER"/>
    <s v="11"/>
    <s v="Escala de 0 - 50"/>
    <s v="Escala de 0 - 50"/>
    <s v="5"/>
    <s v="4"/>
    <m/>
    <s v="50"/>
    <s v="34"/>
    <m/>
    <n v="50"/>
    <n v="40"/>
    <m/>
    <n v="50"/>
    <n v="40"/>
    <m/>
    <s v="4,5"/>
    <s v="5"/>
    <m/>
    <s v="50"/>
    <s v="40"/>
    <m/>
    <s v="50"/>
    <s v="4"/>
    <m/>
    <s v="De 9 y 10"/>
    <n v="45"/>
    <s v="NO"/>
    <s v="NA"/>
    <n v="0"/>
    <n v="0"/>
    <s v="No"/>
    <n v="50"/>
    <m/>
    <n v="50"/>
    <m/>
    <n v="50"/>
    <m/>
    <s v="Es una muy buena candidata con toda las aptitudes para estudiar Derecho en EAFIT"/>
    <n v="50"/>
    <s v="Con detalle por componente"/>
    <s v="Ninguna"/>
    <s v="Soy una joven de origen chocoano con un profundo compromiso social y firme propósito de formarme como abogada para contribuir a mi región a fin de estrechar las brechas de injusticia e inequidad social existentes._x000a__x000a_A mi corta edad he sido testigo directo de esta realidad, la cual me despertó un profundo interés por el Derecho como herramienta de transformación social. Quiero ser una jurista integral, formada desde el amor, la transparencia, el mérito, la disciplina y la empatía, valores que han marcado mi trasegar como estudiante; y, así, adquirir un entendimiento global de cómo funciona la noción de justicia y poder aportar para lograr los cambios necesarios que la hagan pronta y efectiva. Quiero explorar nuevos caminos judiciales que contribuyan a la integración de herramientas como el pluralismo jurídico para un mejor conocimiento de nuestras realidades y la vigencia de un orden social justo._x000a__x000a_Los profesionales chocoanos debemos formarnos bajo la sombra de todos los valores y principios arriba descritos, así alcanzaremos una sociedad que junto con sus instituciones propenda por el bien común y la satisfacción de las necesidades básicas de sus integrantes._x000a_Soy consciente del gran aporte que la universidad EAFIT haría para mi vida en caso de otorgarme la beca a la que aspiro humildemente, también soy vehemente al garantizarles que estarán adquiriendo un activo que les hará sentirse orgullosos, porque honraré los mas caros principios de esta gran institución, por eso, la considero el lugar propicio para desarrollar mis estudios de pregrado en Derecho ya que cuenta con un ambiente altamente diverso e inclusivo; resaltando la calidad humana y profesional de sus docentes y comunidad administrativa._x000a__x000a_“No estoy aceptando las cosas que no puedo cambiar, estoy cambiando las cosas que no puedo aceptar” Angela Davis._x000a__x000a_SIMONE MURILLO PALACIOS_x000a_T.I. 1025651575."/>
    <s v="Referencias familiares"/>
    <s v="Por la calidad académica."/>
    <s v="Vocación."/>
    <n v="2"/>
    <s v="2"/>
    <s v="NO"/>
    <s v="NO"/>
    <s v="Entre 1 y 2 millones"/>
    <s v="Si"/>
    <s v="SI"/>
    <s v="SI"/>
    <s v="Crédito ICETEX"/>
    <s v="SI"/>
    <m/>
    <s v="NO"/>
    <s v=""/>
    <s v=""/>
    <s v="Si"/>
    <s v="Pablo Andres Murillo Posso"/>
    <s v="Otro"/>
    <s v="MAESTRÍA"/>
    <s v="45"/>
    <s v="Abogado"/>
    <s v="Independiente (trabaja por cuenta propia)"/>
    <s v="Defensor publico"/>
    <s v="Defensoria del pueblo"/>
    <n v="5000000"/>
    <s v="No"/>
    <s v="NO"/>
    <s v="NO"/>
    <s v="Mi papá ha sido una figura fundamental en mi vida. Es un hombre amoroso, presente y comprometido con mi formación tanto profesional como académica. Además de ser un gran padre, también es abogado y un profesional admirable, dedicado y ético. Siempre ha estado a mi lado en momentos importantes, brindándome su apoyo incondicional y guiándome con amor, respeto y sabiduría. Su manera de estar conmigo, de escucharme con paciencia y de motivarme a dar lo mejor de mí ha sido clave en mi desarrollo. Gracias a su ejemplo, a pesar de haber vivido con el la mayoría de mi vida porque mis padres son divorciados, he aprendido el valor del esfuerzo, empatía, la disciplina y la responsabilidad. Estoy profundamente agradecida por contar con un padre que no solo cuida, sino que también inspira."/>
    <s v="Si"/>
    <s v="Samara Palacios Gonzalez"/>
    <s v="Soltero"/>
    <s v="UNIVERSITARIOS"/>
    <s v="44"/>
    <s v="Trabajadora social"/>
    <s v="Empleado (con contrato laboral)"/>
    <s v="Auxiliar administrativo"/>
    <s v="Registraduria Especial del choco"/>
    <n v="2953056"/>
    <s v="Si"/>
    <s v="SI"/>
    <s v="NO"/>
    <s v="Mi mamá es una mujer increíblemente resiliente y una inspiración constante en mi vida. Juntas hemos atravesado momentos difíciles, pero su fortaleza, amor y determinación siempre nos han permitido salir adelante. Ha sido un pilar fundamentalmente para mí, no solo como madre, sino también como ejemplo de valentía y entrega incondicional. A pesar de las adversidades, nunca ha dejado de apoyarme, impulsarme y creer en mí. Su capacidad para mantenerse firme, con amor y esperanza, me ha demostrado a ser fuerte, agradecida y a no rendirme. Gracias a ella, sé que es posible superar obstáculos con dignidad y amor."/>
    <n v="7953056"/>
    <s v="Si"/>
    <s v="Nohelly Yamara Mena Palacios"/>
    <s v="Hermano / Hermana"/>
    <s v="2"/>
    <s v="No tiene"/>
    <s v="No trabaja"/>
    <n v="0"/>
    <s v="No"/>
    <s v=""/>
    <s v=""/>
    <s v=""/>
    <s v=""/>
    <s v=""/>
    <m/>
    <s v=""/>
    <s v=""/>
    <s v=""/>
    <s v=""/>
    <s v=""/>
    <s v=""/>
    <m/>
    <s v=""/>
    <s v=""/>
    <n v="0"/>
    <n v="280000000"/>
    <n v="0"/>
    <n v="0"/>
    <n v="0"/>
    <s v="Si"/>
    <s v="Toyota"/>
    <s v="2023"/>
    <n v="100000000"/>
    <s v="No"/>
    <s v=""/>
    <s v=""/>
    <n v="0"/>
    <s v="No"/>
    <s v=""/>
    <s v=""/>
    <s v=""/>
    <n v="0"/>
    <s v="El apartamento se adquirió a través de crédito hipotecario con el FNA a 20 años, se han pagado 2 años. El vehículo, a través de crédito de vehículo con Toyota, también se está pagando y fueron adquiridos por mi papá que vive separado de mi madre hace más de 10 años."/>
    <n v="4"/>
    <n v="4"/>
    <n v="4"/>
    <n v="4"/>
    <n v="4"/>
    <n v="4"/>
    <n v="4"/>
    <n v="4"/>
    <n v="3"/>
    <n v="4"/>
    <n v="39"/>
    <s v="SI"/>
    <m/>
    <s v="SI, SON PRI"/>
    <s v="ok tienen todos los datos"/>
    <e v="#N/A"/>
    <e v="#N/A"/>
    <m/>
    <n v="2"/>
    <n v="6"/>
    <n v="6"/>
    <n v="10"/>
    <n v="20"/>
    <n v="15"/>
    <n v="20"/>
    <n v="8.5"/>
    <n v="9"/>
    <n v="80"/>
    <n v="0.4"/>
    <m/>
    <n v="3.5"/>
    <n v="3.5"/>
    <n v="1"/>
    <n v="1"/>
    <n v="3.5"/>
    <n v="3"/>
    <n v="1"/>
    <n v="1"/>
    <n v="79.5"/>
    <n v="0.4"/>
    <n v="0.4"/>
    <e v="#N/A"/>
    <m/>
    <m/>
    <n v="0"/>
    <m/>
    <m/>
    <s v="Derecho"/>
    <e v="#N/A"/>
    <s v="084"/>
    <e v="#N/A"/>
  </r>
  <r>
    <s v="TI"/>
    <n v="1025652524"/>
    <s v="1000387384"/>
    <s v="DILAN ACEVEDO RIVERA"/>
    <s v="Estudios por primera vez"/>
    <x v="13"/>
    <s v="Descartado por pregrado"/>
    <m/>
    <s v="En publico objetivo"/>
    <s v="2da Cohorte"/>
    <s v="Admitido"/>
    <s v="dacevedor@eafit.edu.co"/>
    <s v="dacevedor@eafit.edu.co"/>
    <s v="dilanacevedo015@gmail.com"/>
    <s v="573197364323"/>
    <d v="2025-05-16T00:00:00"/>
    <s v="Activo en Programa"/>
    <s v="010-Ingeniería de Sistemas"/>
    <s v="E Ciencias Aplic e Ingeniería"/>
    <d v="2008-05-01T00:00:00"/>
    <n v="17"/>
    <s v="Antioquia"/>
    <s v="Medellín"/>
    <s v="Hombre"/>
    <s v="Soltero"/>
    <s v="NO"/>
    <s v="NO"/>
    <n v="0"/>
    <s v="NO"/>
    <s v="NA"/>
    <s v="NO"/>
    <s v="NA"/>
    <s v="NO"/>
    <s v="NA"/>
    <s v="No"/>
    <s v="604/322-6635"/>
    <s v="573197364323"/>
    <s v="Estrato 2"/>
    <s v="BARBOSA CL 4 A N 21 46 AP 105"/>
    <s v="Antioquia"/>
    <s v="Barbosa"/>
    <s v="No aplica, no soy foráneo"/>
    <s v="Familiar"/>
    <s v="SI"/>
    <s v="2024"/>
    <s v="AC202433692217"/>
    <n v="357"/>
    <n v="68"/>
    <n v="76"/>
    <s v="Pública"/>
    <s v="I.E. LUIS EDUARDO ARIAS REINEL"/>
    <n v="2024"/>
    <s v="Antioquia"/>
    <s v="Barbosa"/>
    <s v="BACHILLER"/>
    <n v="0"/>
    <s v="TIPO: Pública, INSTITUCION: I.E. LUIS EDUARDO ARIAS REINEL, AÑO: 2024, CIUDAD: Barbosa, TITULO: BACHILLER"/>
    <s v="11"/>
    <s v="Escala Desempeño"/>
    <s v="Escala de 0 - 5"/>
    <s v="4,5"/>
    <s v="4,5"/>
    <m/>
    <s v="4,5"/>
    <s v="5"/>
    <m/>
    <n v="4.5"/>
    <n v="4.5"/>
    <m/>
    <n v="4.5"/>
    <n v="4"/>
    <m/>
    <s v="5"/>
    <s v="5"/>
    <m/>
    <s v="4,5"/>
    <s v="4,5"/>
    <m/>
    <s v="4,5"/>
    <s v="5"/>
    <m/>
    <s v="De 9 y 10"/>
    <n v="4.375"/>
    <s v="NO"/>
    <s v="NA"/>
    <n v="0"/>
    <n v="0"/>
    <s v="No"/>
    <n v="50"/>
    <m/>
    <n v="50"/>
    <m/>
    <n v="50"/>
    <m/>
    <m/>
    <n v="50"/>
    <s v="Con detalle por componente"/>
    <s v="Deportistas de alto rendimiento o representativo,Espacios de liderazgo o representación social,Trabajo social o comunitario"/>
    <s v="Soy una persona lider capaz de llevar a cabo proyectos relacionados con la tecnología, el uso adecuado de la inteligencia artificial y la ciberseguridad integrando todos los conceptos que haya adquirido en mi paso como estudiante de pregrado en ingenieria de sistemas de la universidad EAFIT, ayudándome a crecer como persona como tambien a la sociedad mediante la implementación, diseño y desarollo de sistemas tecnologicos que hagan mas llevadera y segura la vida de las personas en el mundo digital. Por eso, considero que la obtención de esta beca no solo me beneficiaria a mi, sino también a todo mi entorno ya que soy un joven poseedor de cualidades como la responsabilidad, liderazgo, compromiso y con una visión a futuro de planes que generarán un gran cambio, no solo para la región en la que habito, sino también, y espero que asi sea, ayudar a sociedades enteras en su desarrollo tanto, tecnológico, económico y social. Ademas, aspiro que al conseguir la beca pueda a parte de enfocarme en mis estudios e intentar ser el mejor día tras día, tambien enfocarme en la especialización en ciberseguridad y en inteligencia artificial lo cual facilitará el cambio y serán de gran valor para la sociedad, haciendo que todo el entorno digital al que estén expuestas todas las personas sea más seguro y fácil de manejar. En lo personal espero y aspiro poder obtener la beca para con esto contribuir al mejoramiento de la sociedad y en la medida de lo posible ser de gran valor para afrontar toda esta transformación tecnológica en la que apenas estamos adentrándonos."/>
    <s v="Estudiantes de EAFIT"/>
    <s v="Por la calidad académica."/>
    <s v="Vocación."/>
    <n v="3"/>
    <s v="2"/>
    <s v="NO"/>
    <s v="NO"/>
    <s v="Entre 1 y 2 millones"/>
    <s v="No"/>
    <n v="0"/>
    <n v="0"/>
    <m/>
    <s v="SI"/>
    <s v="Beca"/>
    <s v="NO"/>
    <s v=""/>
    <s v=""/>
    <s v="Si"/>
    <s v="Cesar Alberto Acevedo Orrego"/>
    <s v="Soltero"/>
    <s v="BACHILLERATO"/>
    <s v="47"/>
    <s v="Cerrajería"/>
    <s v="Empleado (con contrato laboral)"/>
    <s v="Cerrajero"/>
    <s v="Montaje y estructura HERSAN"/>
    <n v="1300000"/>
    <s v="Si"/>
    <s v="NO"/>
    <s v="NO"/>
    <s v=""/>
    <s v="Si"/>
    <s v="Kleymer Sorani Rivera Henao"/>
    <s v="Soltero"/>
    <s v="BACHILLERATO"/>
    <s v="36"/>
    <s v="Asesora Comercial"/>
    <s v="Empleado (con contrato laboral)"/>
    <s v="Asesora comercial"/>
    <s v="Colombia Móvil S.A E.S.P"/>
    <n v="1423800"/>
    <s v="No"/>
    <s v="SI"/>
    <s v="NO"/>
    <m/>
    <n v="2723800"/>
    <s v="Si"/>
    <s v="Owen Farley Acevedo Rivera"/>
    <s v="Hermano / Hermana"/>
    <s v="20"/>
    <s v="Estudiante"/>
    <s v="I.U Digital de Antioquia"/>
    <n v="0"/>
    <s v="No"/>
    <s v="Katerin Acevedo Rivera"/>
    <s v="Hermano / Hermana"/>
    <s v="18"/>
    <s v="Estudiante"/>
    <s v="ITM"/>
    <n v="700000"/>
    <s v="No"/>
    <s v=""/>
    <s v=""/>
    <s v=""/>
    <s v=""/>
    <s v=""/>
    <m/>
    <s v=""/>
    <s v=""/>
    <n v="0"/>
    <n v="0"/>
    <n v="0"/>
    <n v="0"/>
    <n v="0"/>
    <s v="No"/>
    <s v=""/>
    <s v=""/>
    <n v="0"/>
    <s v="No"/>
    <s v=""/>
    <s v=""/>
    <n v="0"/>
    <s v="No"/>
    <s v=""/>
    <s v=""/>
    <s v=""/>
    <n v="0"/>
    <m/>
    <n v="4"/>
    <n v="4"/>
    <n v="4"/>
    <n v="4"/>
    <n v="4"/>
    <n v="4"/>
    <n v="3"/>
    <n v="4"/>
    <n v="3"/>
    <n v="3"/>
    <n v="37"/>
    <s v="SI"/>
    <m/>
    <s v="SI, SON PRI"/>
    <s v="ok tienen todos los datos"/>
    <e v="#N/A"/>
    <e v="#N/A"/>
    <m/>
    <n v="3"/>
    <n v="10"/>
    <n v="10"/>
    <n v="10"/>
    <n v="15"/>
    <n v="15"/>
    <n v="20"/>
    <n v="19.5"/>
    <n v="19"/>
    <n v="89"/>
    <n v="0.7"/>
    <m/>
    <n v="3.5"/>
    <n v="3.5"/>
    <n v="8"/>
    <n v="4"/>
    <n v="3.5"/>
    <n v="3.5"/>
    <n v="8"/>
    <n v="4.5"/>
    <n v="89.5"/>
    <s v="80 - 100%"/>
    <n v="1"/>
    <e v="#N/A"/>
    <m/>
    <s v="KYSKAS"/>
    <n v="0"/>
    <s v="EN ORDEN"/>
    <n v="0"/>
    <s v="Ingeniería de Sistemas"/>
    <s v="Pres. para revision docs nutresa"/>
    <m/>
    <s v="KYSKAS"/>
  </r>
  <r>
    <s v="TI"/>
    <n v="1025764785"/>
    <s v="1000407379"/>
    <s v="MIGUEL ANGEL GAVIRIA TORRES"/>
    <s v="Estudios por primera vez"/>
    <x v="1"/>
    <s v="Descartado por ingresos altos"/>
    <m/>
    <s v="En publico objetivo"/>
    <s v="3ra Cohorte"/>
    <s v="Admitido"/>
    <s v="magavirit1@eafit.edu.co"/>
    <e v="#N/A"/>
    <s v="magt3110@gmail.com"/>
    <s v="573178479706"/>
    <d v="2025-06-06T00:00:00"/>
    <s v="Activo en Programa"/>
    <s v="010-Ingeniería de Sistemas"/>
    <s v="E Ciencias Aplic e Ingeniería"/>
    <d v="2007-12-15T00:00:00"/>
    <n v="17"/>
    <s v="Antioquia"/>
    <s v="Medellín"/>
    <s v="Hombre"/>
    <s v="Soltero"/>
    <s v="NO"/>
    <s v="NO"/>
    <n v="0"/>
    <s v="NO"/>
    <s v="NA"/>
    <s v="NO"/>
    <s v="NA"/>
    <s v="NO"/>
    <s v="NA"/>
    <s v="No"/>
    <s v="604/680-6273"/>
    <s v="573178479706"/>
    <s v="Estrato 2"/>
    <s v="CL 123#49 B- 31"/>
    <s v="Antioquia"/>
    <s v="Medellín"/>
    <s v="No aplica, no soy foráneo"/>
    <s v="Familiar"/>
    <s v="SI"/>
    <s v="2024"/>
    <s v="AC202435922000"/>
    <n v="363"/>
    <n v="76"/>
    <n v="72"/>
    <s v="Pública"/>
    <s v="I.E. FEDERICO SIERRA ARANGO"/>
    <n v="2024"/>
    <m/>
    <s v="Bello"/>
    <s v="Bachillerato"/>
    <s v="BACHILLER"/>
    <s v="TIPO: Pública, INSTITUCION: I.E. FEDERICO SIERRA ARANGO, AÑO: 2024, CIUDAD: Bello, TITULO: BACHILLER | TIPO: Pública, INSTITUCION: I.E. FEDERICO SIERRA ARANGO, AÑO: 2024, CIUDAD: Bello, TITULO: BACHILLER"/>
    <s v="11"/>
    <s v="Escala de 0 - 5"/>
    <s v="Escala de 0 - 5"/>
    <s v="4"/>
    <s v="4"/>
    <m/>
    <s v="3,4"/>
    <s v="3,4"/>
    <m/>
    <n v="4"/>
    <n v="4.5"/>
    <m/>
    <n v="3.4"/>
    <n v="3"/>
    <m/>
    <s v="4"/>
    <s v="3,9"/>
    <m/>
    <s v="4"/>
    <s v="3,4"/>
    <m/>
    <s v="4"/>
    <s v="4"/>
    <m/>
    <s v="De 9 y 10"/>
    <n v="3.7250000000000001"/>
    <s v="NA"/>
    <s v="NA"/>
    <n v="0"/>
    <n v="0"/>
    <s v="No"/>
    <s v="Sin informacion"/>
    <s v="Sin informacion"/>
    <s v="Sin informacion"/>
    <s v="Sin informacion"/>
    <s v="Sin informacion"/>
    <s v="Sin informacion"/>
    <s v="Sin informacion"/>
    <n v="40"/>
    <s v="Sin detalle por componente"/>
    <s v="Artísticas o culturales,Otras (por ejemplo, un talento extraordinario)"/>
    <s v="Me veo ejerciendo la Ingeniería en Sistemas como un profesional libre, trabajando de forma virtual con grandes empresas, desde cualquier lugar del mundo. Siempre me ha atraído la idea de tener esa libertad: poder cumplir con mis responsabilidades, pero también disfrutar de la vida, moverme, conocer, aprender. _x000a_Desde hace tiempo, me veo viajando a lugares con escasez económica y ayudando directamente, con lo que esté a mi alcance. Aunque eso es una meta más a largo plazo, de por sí me gustaría comenzar por mi barrio, por la gente que tengo cerca y que también necesita apoyo. _x000a_Estudiar en una universidad como EAFIT sería una oportunidad enorme. No solo por la calidad académica, sino porque me permitiría crecer, prepararme y abrirme paso hacia esa vida que quiero: una vida donde mi trabajo tenga sentido, donde pueda ayudar de verdad, y donde logre un equilibrio entre lo profesional, lo humano y lo personal."/>
    <s v="A través del Colegio"/>
    <s v="Por la calidad académica."/>
    <s v="Vocación."/>
    <n v="3"/>
    <s v="0"/>
    <s v="SI"/>
    <s v="NO"/>
    <s v="Entre 3 y 4 millones"/>
    <s v="No"/>
    <n v="0"/>
    <n v="0"/>
    <m/>
    <s v="SI"/>
    <s v="Beca"/>
    <s v="NO"/>
    <s v=""/>
    <s v=""/>
    <s v="Si"/>
    <s v="Fabio Alonso Gaviria"/>
    <s v="Soltero"/>
    <s v="BACHILLERATO"/>
    <s v="44"/>
    <s v="Independiente"/>
    <s v="Independiente (trabaja por cuenta propia)"/>
    <s v="Trabjador autónomo"/>
    <s v="No está relacionado con ninguna empresa."/>
    <n v="1800000"/>
    <s v="No"/>
    <s v="NO"/>
    <s v="NO"/>
    <s v="Tiene muy poco contacto con el aspirante de la beca."/>
    <s v="Si"/>
    <s v="Eliana Llorley Torres Muñoz"/>
    <s v="Soltero"/>
    <s v="TECNOLOGÍA"/>
    <s v="39"/>
    <s v="Tecnica en gestion empresarial"/>
    <s v="Empleado (con contrato laboral)"/>
    <s v="Analista de operaciones"/>
    <s v="Willis Tower Watson"/>
    <n v="3545850"/>
    <s v="Si"/>
    <s v="SI"/>
    <s v="NO"/>
    <s v="Responsable del aspirante a la beca, tiene un apartamento del cual recibe 1000000 mensual, pero no tiene constancia de este."/>
    <n v="5345850"/>
    <s v="Si"/>
    <s v="Saralía De las Misericordias Muñoz Sea"/>
    <s v="Abuelo / Abuela"/>
    <s v="66"/>
    <s v="Ama de casa"/>
    <s v="N/A"/>
    <n v="560000"/>
    <s v="No"/>
    <s v="Jose Porfirio Torres"/>
    <s v="Abuelo / Abuela"/>
    <s v="74"/>
    <s v="Mecanico Automotriz"/>
    <s v="Dismar Limitada"/>
    <n v="1400000"/>
    <s v="No"/>
    <s v=""/>
    <s v=""/>
    <s v=""/>
    <s v=""/>
    <s v=""/>
    <m/>
    <s v=""/>
    <s v=""/>
    <n v="0"/>
    <n v="81767340"/>
    <n v="0"/>
    <n v="0"/>
    <n v="0"/>
    <s v="No"/>
    <s v=""/>
    <s v=""/>
    <n v="0"/>
    <s v="No"/>
    <s v=""/>
    <s v=""/>
    <n v="0"/>
    <s v="No"/>
    <s v=""/>
    <s v=""/>
    <s v=""/>
    <n v="0"/>
    <m/>
    <n v="4"/>
    <n v="4"/>
    <n v="3"/>
    <n v="3"/>
    <n v="3"/>
    <n v="4"/>
    <n v="3"/>
    <n v="3"/>
    <n v="4"/>
    <n v="3"/>
    <n v="34"/>
    <s v="SI"/>
    <m/>
    <s v="PRI SOLO CON PROMEDIO ENTREVISTA"/>
    <s v="ok se ajusta matriz con promedio entrevista"/>
    <e v="#N/A"/>
    <e v="#N/A"/>
    <m/>
    <n v="3"/>
    <n v="10"/>
    <n v="10"/>
    <n v="15"/>
    <n v="10"/>
    <n v="10"/>
    <n v="10"/>
    <n v="16"/>
    <n v="13"/>
    <n v="68"/>
    <n v="0.4"/>
    <m/>
    <n v="3.5"/>
    <n v="3.5"/>
    <n v="3"/>
    <n v="3"/>
    <n v="3.5"/>
    <n v="3.5"/>
    <n v="6"/>
    <n v="3"/>
    <n v="71"/>
    <n v="0.5"/>
    <n v="0.5"/>
    <e v="#N/A"/>
    <m/>
    <m/>
    <n v="0"/>
    <m/>
    <m/>
    <s v="Ingeniería de Sistemas"/>
    <e v="#N/A"/>
    <s v="010"/>
    <e v="#N/A"/>
  </r>
  <r>
    <s v="TI"/>
    <n v="1025883316"/>
    <s v="1000028387"/>
    <s v="DAVID CASTAÑO CASTRO"/>
    <s v="Transferencia Externa"/>
    <x v="7"/>
    <s v="Duda, cursando o graduado de tecnica o tecnologia"/>
    <m/>
    <s v="En publico objetivo"/>
    <s v="3ra Cohorte"/>
    <s v="Admitido"/>
    <s v="dcastanoc2@eafit.edu.co"/>
    <s v="dcastanoc2@eafit.edu.co"/>
    <s v="davidcc18122004@gmail.com"/>
    <s v="312/245-8513"/>
    <d v="2025-06-06T00:00:00"/>
    <s v="Activo en Programa"/>
    <s v="169-Mercadeo"/>
    <s v="Escuela de Administración"/>
    <d v="2004-12-18T00:00:00"/>
    <n v="20"/>
    <s v="Antioquia"/>
    <s v="Medellín"/>
    <s v="Hombre"/>
    <s v="Soltero"/>
    <s v="NO"/>
    <s v="NO"/>
    <n v="0"/>
    <s v="NO"/>
    <s v="NA"/>
    <s v="NO"/>
    <s v="NA"/>
    <s v="NO"/>
    <s v="NA"/>
    <s v="No"/>
    <s v="312/245-8513"/>
    <s v="312/245-8513"/>
    <s v="Estrato 2"/>
    <s v="CR 49 A #98 A SUR- 232"/>
    <s v="Antioquia"/>
    <s v="La Estrella"/>
    <s v="No aplica, no soy foráneo"/>
    <s v="Arriendo"/>
    <s v="SI"/>
    <s v="2022"/>
    <s v="AC202241207703"/>
    <n v="367"/>
    <n v="82"/>
    <n v="75"/>
    <s v="Privada"/>
    <s v="COL CALASANZ"/>
    <n v="2022"/>
    <m/>
    <s v="Medellín"/>
    <s v="Bachillerato"/>
    <s v="BACHILLER"/>
    <s v="TIPO: Privada, INSTITUCION: COL CALASANZ, AÑO: 2022, CIUDAD: Medellín, TITULO: BACHILLER"/>
    <n v="0"/>
    <n v="0"/>
    <s v="PCA TEX"/>
    <m/>
    <m/>
    <m/>
    <m/>
    <m/>
    <m/>
    <m/>
    <m/>
    <m/>
    <m/>
    <m/>
    <m/>
    <m/>
    <m/>
    <m/>
    <m/>
    <m/>
    <m/>
    <m/>
    <m/>
    <m/>
    <s v="Sin informacion"/>
    <n v="0"/>
    <s v="SI"/>
    <s v="TIPO: Pública, INSTITUCION: INST. TECNOLOGICO METROPOLITAN, AÑO: 0, CIUDAD: Medellín, TITULO: TECNÓLOGO(A) EN DISEÑO Y PROGRAMACIÓN DE SOLUCIONES DE SOFTWARE COMO SERVICIO (Medellín) Virtual"/>
    <s v="TECNOLOGIA"/>
    <s v=" TITULO: TECNÓLOGO(A) EN DISEÑO Y PROGRAMACIÓN DE SOLUCIONES DE SOFTWARE COMO SERVICIO (Medellín) Virtual"/>
    <s v="No"/>
    <n v="45"/>
    <m/>
    <n v="45"/>
    <m/>
    <n v="45"/>
    <m/>
    <m/>
    <n v="45"/>
    <s v="Con detalle por componente"/>
    <s v="Ninguna"/>
    <s v="Me visualizo ejerciendo como profesional en mercadeo de varias maneras, digo que de varias maneras porque para mí esta carrera no conoce techos ni límites, me veo liderando un proyecto en una marca que me guste, me veo aportando todo mi conocimiento sobre mercados a las campañas publicitarias de las que haga parte. También, como todo joven con ánimo de emprender me visualizo materializando cada aprendizaje en mi propio negocio, marca o empresa; me encantaría explotar toda mi creatividad para así encontrar la forma de cautivar a los consumidores, transmitir confianza en la marca, abarcar las tendencias del mercado y cumplir con todas las necesidades de los clientes. _x000a__x000a_Por otro lado, siento que soy afortunado por ser de Medellín. Para mí es una ciudad que lo tiene todo, pero, lo que más resalta, es la cultura. La cultura de su gente, su carisma y lo bien que hacen sentir a quienes la visitan, todo esto me hace querer hacer parte de su crecimiento a través del mercadeo, teniendo o haciendo parte de una marca que bien puede ser de ropa, alimentos o lo que sea que me depare el futuro, pero, haciéndola sobresalir entre las demás y claramente, teniendo su huella paisa. Una ciudad así de acogedora para quienes la habitan y visitan es un lugar idóneo para potenciar un negocio propio y orgullosamente paisa, que deje el nombre de Medellín en alto y el de la Universidad Eafit a través de las oportunidades que genera al otorgar estas becas a estudiantes ejemplares, como en este caso, yo podría ser uno de ellos."/>
    <s v="Estudiantes de EAFIT"/>
    <s v="Por la calidad académica."/>
    <s v="Vocación."/>
    <n v="2"/>
    <s v="1"/>
    <s v="NO"/>
    <s v="NO"/>
    <s v="Entre 3 y 4 millones"/>
    <s v="No"/>
    <s v="Y"/>
    <s v="N"/>
    <m/>
    <s v="Y"/>
    <m/>
    <s v="NO"/>
    <s v="NA"/>
    <s v="NA"/>
    <s v="Si"/>
    <s v="Gildardo Castaño Monsalve"/>
    <s v="Casado"/>
    <s v="TECNOLOGÍA"/>
    <s v="58"/>
    <s v="Tecnólogo en Sistemas"/>
    <s v="Empleado (con contrato laboral)"/>
    <s v="Tecnólogo en Sistemas"/>
    <s v="colanta"/>
    <n v="12992000"/>
    <s v="No"/>
    <s v="NO"/>
    <s v="NO"/>
    <s v="A pesar de tener un salario &amp;quot;alto&amp;quot; tiene varias deudas con entidades bancarias que son verificables por un valor aproximado de 200000000. Su sueldo neto después del pago total de obligaciones bancarias y deudas externas es de aproximadamente 3000000, de estos 3000000 hace un aporte al hogar donde vivimos, mi mamá, mi hermano y yo."/>
    <s v="Si"/>
    <s v="Zoraida Castro Cárdenas"/>
    <s v="Casado"/>
    <s v="UNIVERSITARIOS"/>
    <s v="63"/>
    <s v="Ingeniera de Sistemas"/>
    <s v="Pensionado"/>
    <s v="Ama de casa"/>
    <s v="No labora"/>
    <n v="2594787"/>
    <s v="Si"/>
    <s v="NO"/>
    <s v="NO"/>
    <s v="Es la cabeza del hogar aunque recibe apoyo alimentario y económico por parte de mi padre para el hogar."/>
    <n v="15586787"/>
    <s v="Si"/>
    <s v="Esteban Castaño Castro"/>
    <s v="Hermano / Hermana"/>
    <s v="22"/>
    <s v="Estudiante / Empleado"/>
    <s v="Tecnológico de Antioquia / AyC Colanta"/>
    <n v="2869669"/>
    <s v="No"/>
    <s v=""/>
    <s v=""/>
    <s v=""/>
    <s v=""/>
    <s v=""/>
    <m/>
    <s v=""/>
    <s v=""/>
    <s v=""/>
    <s v=""/>
    <s v=""/>
    <s v=""/>
    <m/>
    <s v=""/>
    <s v=""/>
    <n v="0"/>
    <n v="0"/>
    <n v="0"/>
    <n v="0"/>
    <n v="0"/>
    <s v="Si"/>
    <s v="Chevrolet"/>
    <s v="1997"/>
    <n v="8000000"/>
    <s v="No"/>
    <s v=""/>
    <s v=""/>
    <n v="0"/>
    <s v="No"/>
    <s v=""/>
    <s v=""/>
    <s v=""/>
    <n v="0"/>
    <s v="Vehículo Chevrolet Swift modelo 1997 con bastante desgaste."/>
    <n v="4"/>
    <n v="4"/>
    <n v="3"/>
    <n v="4"/>
    <n v="4"/>
    <n v="4"/>
    <n v="4"/>
    <n v="4"/>
    <n v="4"/>
    <n v="4"/>
    <n v="39"/>
    <s v="SI"/>
    <s v="SI, PROMEDIO"/>
    <s v="ES TEX, SIN NOTAS NI PCA"/>
    <s v="ok no darles punto por notas ni pca"/>
    <e v="#N/A"/>
    <e v="#N/A"/>
    <m/>
    <n v="3"/>
    <n v="10"/>
    <n v="10"/>
    <n v="15"/>
    <n v="0"/>
    <n v="15"/>
    <n v="15"/>
    <n v="10.5"/>
    <n v="10.5"/>
    <n v="65.5"/>
    <n v="0.4"/>
    <m/>
    <n v="2"/>
    <n v="4.5"/>
    <n v="0"/>
    <n v="4"/>
    <n v="2"/>
    <n v="4"/>
    <n v="0"/>
    <n v="4.5"/>
    <n v="65.5"/>
    <n v="0.4"/>
    <s v="Negado"/>
    <e v="#N/A"/>
    <m/>
    <m/>
    <s v="SI, PROMEDIO"/>
    <m/>
    <m/>
    <s v="Mercadeo"/>
    <e v="#N/A"/>
    <m/>
    <e v="#N/A"/>
  </r>
  <r>
    <s v="CC"/>
    <n v="1025884019"/>
    <s v="1000409779"/>
    <s v="DANIEL RUIZ MARTINEZ"/>
    <s v="Estudios por primera vez"/>
    <x v="1"/>
    <s v="No cumple, puntaje ICFES menor a 300"/>
    <m/>
    <s v="En publico objetivo"/>
    <s v="3ra Cohorte"/>
    <s v="Admitido"/>
    <s v="druizm3@eafit.edu.co"/>
    <e v="#N/A"/>
    <s v="danielruizmartinez282@gmail.com"/>
    <s v="573004959509"/>
    <d v="2025-05-30T00:00:00"/>
    <s v="Activo en Programa"/>
    <s v="010-Ingeniería de Sistemas"/>
    <s v="E Ciencias Aplic e Ingeniería"/>
    <d v="2005-03-08T00:00:00"/>
    <n v="20"/>
    <s v="Antioquia"/>
    <s v="Medellín"/>
    <s v="Hombre"/>
    <s v="Soltero"/>
    <s v="NO"/>
    <s v="NO"/>
    <n v="0"/>
    <s v="NO"/>
    <s v="NA"/>
    <s v="NO"/>
    <s v="NA"/>
    <s v="NO"/>
    <s v="NA"/>
    <s v="No"/>
    <s v="604 5801945"/>
    <s v="573004959509"/>
    <s v="Estrato 2"/>
    <s v="MEDELLÍN"/>
    <s v="Antioquia"/>
    <s v="Medellín"/>
    <s v="No aplica, no soy foráneo"/>
    <s v="Arriendo"/>
    <s v="SI"/>
    <s v="2024"/>
    <s v="AC202433500741"/>
    <n v="293"/>
    <n v="57"/>
    <n v="62"/>
    <s v="Pública"/>
    <s v="INST EDUC BELLO HORIZONTE"/>
    <n v="2024"/>
    <s v="Antioquia"/>
    <s v="Medellín"/>
    <s v="BACHILLER"/>
    <s v="ACAD"/>
    <s v="TIPO: Pública, INSTITUCION: INST EDUC BELLO HORIZONTE, AÑO: 2024, CIUDAD: Medellín, TITULO: BACHILLER"/>
    <s v="11"/>
    <s v="Escala de 0 - 5"/>
    <s v="Escala de 0 - 5"/>
    <s v="3,6"/>
    <s v="3,6"/>
    <m/>
    <s v="3,3"/>
    <s v="3,3"/>
    <m/>
    <n v="3.9"/>
    <n v="3.6"/>
    <m/>
    <n v="4.4000000000000004"/>
    <n v="4"/>
    <m/>
    <s v="4"/>
    <s v="3,8"/>
    <m/>
    <s v="4"/>
    <s v="4"/>
    <m/>
    <s v="4"/>
    <s v="3,9"/>
    <m/>
    <s v="De 9 y 10"/>
    <n v="3.9750000000000001"/>
    <s v="NO"/>
    <s v="NA"/>
    <n v="0"/>
    <n v="0"/>
    <s v="No"/>
    <n v="40"/>
    <m/>
    <n v="40"/>
    <m/>
    <n v="40"/>
    <m/>
    <s v="Aspirante admitido a le programa con autorización de paola andrea vallejo, en compañia de la auxiliar alixon gallego."/>
    <n v="40"/>
    <s v="Con detalle por componente"/>
    <s v="Trabajo social o comunitario"/>
    <s v="Me visualizo como un ingeniero de sistemas que no solo entiende la tecnologia, sino que la pone al servicio de los demás. Desde que era niño me ha fascinado como un aparato o un software puede facilitar la vida, resolver problemas reales o incluso abrir nuevas oportunidades. Sueño con crear una empresa que se dedique justamente a eso, usar la tecnologia para mejorar la calidad de vida de las personas y apoyar a pequeñas empresas que, como muchas en mi barrio, luchan cada dia por salir adelante._x000a__x000a_Esta beca representa para mi muchisimo mas que una ayuda economica, pues vivo en Medellin con mi mamá, quien es la unica que trabaja en la casa, vivimos arrendados y aunque ella siempre ha hecho lo posible por darme lo mejor, sé que pagar una universidad como EAFIT está muy lejos de nuestras posibilidades. Por eso esta oportunidad es tan valiosa para mi, porque no solo me permitiria estudiar lo que amo, sino demostrar que cuando se cree en alguien y se le da una oportunidad, esa persona puede cambiar su destino._x000a__x000a_Quiero que mi formacion no se quede solo en mi, sino que tenga un impacto real en mi comunidad, creo bastante que la tecnologia siendo bien utilizada puede cerrar brechas, generar empelo y ofrecer soluciones concretas a las personas que enfrentamos cada dia. Quiero ser parte de ese cambio y esta beca seria el comienzo para mi, gracias, Dios los bendiga."/>
    <s v="Redes sociales"/>
    <s v="Por la oferta académica."/>
    <s v="Vocación."/>
    <n v="3"/>
    <s v="2"/>
    <s v="SI"/>
    <s v="NO"/>
    <s v="Entre 1 y 2 millones"/>
    <s v="No"/>
    <n v="0"/>
    <s v="Y"/>
    <m/>
    <s v="Y"/>
    <m/>
    <s v="NO"/>
    <s v="NA"/>
    <s v="NA"/>
    <s v="Si"/>
    <s v="OSCAR DANIEL RUIZ MACEA"/>
    <m/>
    <s v="PRIMARIA"/>
    <m/>
    <s v="Desempleado"/>
    <s v="Desempleado (Se encuentra en la búsqueda activa de empleo)"/>
    <s v="Ninguna"/>
    <s v="Ninguna"/>
    <n v="0"/>
    <s v="No"/>
    <s v="NO"/>
    <s v="NO"/>
    <s v="Siempre me ha respaldado, pero quedó desempleado y tiene artrosis en la rodilla, lo unico que ha hecho en su vida ha sido ser almacenista de obra, ha ido a 2 trabajos y ha perdido los examenes medicos, no ha logrado entrar a trabajar y a generar ingresos."/>
    <s v="Si"/>
    <s v="VIRGINIA ROSA MARTINEZ HERNANDEZ"/>
    <m/>
    <s v="BACHILLERATO"/>
    <m/>
    <s v="Empleada domestica"/>
    <s v="Empleado (con contrato laboral)"/>
    <s v="empleada domestica"/>
    <s v="Cuidamos tus numeros"/>
    <n v="1800000"/>
    <s v="Si"/>
    <s v="NO"/>
    <s v="NO"/>
    <s v="Una persona responsable, luchadora y que me quiere ver salir adelante"/>
    <n v="1800000"/>
    <s v="Si"/>
    <s v="DAVID RUIZ MARTINEZ"/>
    <s v="Hermano / Hermana"/>
    <s v="16"/>
    <s v="Estudiante"/>
    <s v="INSTITUCION EDUCATIVA BELLO HORIZONTE"/>
    <n v="0"/>
    <s v="No"/>
    <s v=""/>
    <s v=""/>
    <s v=""/>
    <s v=""/>
    <s v=""/>
    <m/>
    <s v=""/>
    <s v=""/>
    <s v=""/>
    <s v=""/>
    <s v=""/>
    <s v=""/>
    <m/>
    <s v=""/>
    <s v=""/>
    <n v="0"/>
    <n v="0"/>
    <n v="0"/>
    <n v="0"/>
    <n v="0"/>
    <s v="No"/>
    <s v=""/>
    <s v=""/>
    <n v="0"/>
    <s v="No"/>
    <s v=""/>
    <s v=""/>
    <n v="0"/>
    <s v="No"/>
    <s v=""/>
    <s v=""/>
    <s v=""/>
    <n v="0"/>
    <s v="Aun no tenemos nada propio"/>
    <n v="4"/>
    <n v="4"/>
    <n v="3"/>
    <n v="4"/>
    <n v="3"/>
    <n v="3"/>
    <n v="4"/>
    <n v="4"/>
    <n v="3"/>
    <n v="4"/>
    <n v="36"/>
    <s v="SI"/>
    <m/>
    <s v="SI, SON PRI"/>
    <s v="ok tienen todos los datos"/>
    <e v="#N/A"/>
    <e v="#N/A"/>
    <m/>
    <n v="3"/>
    <n v="10"/>
    <n v="10"/>
    <n v="0"/>
    <n v="10"/>
    <n v="15"/>
    <n v="10"/>
    <n v="20"/>
    <n v="20"/>
    <n v="65"/>
    <s v="80 - 100%"/>
    <m/>
    <n v="3.5"/>
    <n v="4.5"/>
    <n v="8"/>
    <n v="4"/>
    <n v="3.5"/>
    <n v="4"/>
    <n v="8"/>
    <n v="4.5"/>
    <n v="65"/>
    <s v="80 - 100%"/>
    <n v="0.7"/>
    <e v="#N/A"/>
    <m/>
    <m/>
    <n v="0"/>
    <m/>
    <m/>
    <s v="Ingeniería de Sistemas"/>
    <e v="#N/A"/>
    <s v="010"/>
    <e v="#N/A"/>
  </r>
  <r>
    <s v="CC"/>
    <n v="1025888795"/>
    <s v="1000351313"/>
    <s v="JUAN DAVID GIRALDO REGINO"/>
    <s v="Estudios por primera vez"/>
    <x v="1"/>
    <s v="Descartado por notas"/>
    <m/>
    <s v="En publico objetivo"/>
    <s v="2da Cohorte"/>
    <s v="Admitido"/>
    <s v="jdgiraldr1@eafit.edu.co"/>
    <s v="jdgiraldr1@eafit.edu.co"/>
    <s v="juandavidgr39@gmail.com"/>
    <s v="573005703458"/>
    <d v="2025-05-16T00:00:00"/>
    <s v="Activo en Programa"/>
    <s v="010-Ingeniería de Sistemas"/>
    <s v="E Ciencias Aplic e Ingeniería"/>
    <d v="2006-08-07T00:00:00"/>
    <n v="19"/>
    <s v="Antioquia"/>
    <s v="Medellín"/>
    <s v="Hombre"/>
    <s v="Soltero"/>
    <s v="NO"/>
    <s v="NO"/>
    <n v="0"/>
    <s v="NO"/>
    <s v="NA"/>
    <s v="NO"/>
    <s v="NA"/>
    <s v="NO"/>
    <s v="NA"/>
    <s v="No"/>
    <s v="300/570-3458"/>
    <s v="573005703458"/>
    <s v="Estrato 3"/>
    <s v="CL 65#87 28"/>
    <s v="Antioquia"/>
    <s v="Medellín"/>
    <s v="No aplica, no soy foráneo"/>
    <s v="Arriendo"/>
    <s v="SI"/>
    <s v="2023"/>
    <s v="AC202344204327"/>
    <n v="334"/>
    <n v="66"/>
    <n v="64"/>
    <s v="Pública"/>
    <s v="I.E. INEM JOSE FELIX DE RESTRE"/>
    <n v="2023"/>
    <s v="Antioquia"/>
    <s v="Medellín"/>
    <s v="BACHILLER"/>
    <n v="0"/>
    <s v="TIPO: Pública, INSTITUCION: I.E. INEM JOSE FELIX DE RESTRE, AÑO: 2023, CIUDAD: Medellín, TITULO: BACHILLER"/>
    <s v="11"/>
    <s v="Escala Cualitativa"/>
    <s v="Escala de 0 - 5"/>
    <s v="4"/>
    <s v="4"/>
    <s v="3"/>
    <s v="4"/>
    <s v="4,5"/>
    <s v="3"/>
    <n v="4"/>
    <n v="4.5"/>
    <n v="3"/>
    <n v="4"/>
    <n v="4"/>
    <n v="3"/>
    <s v="4"/>
    <s v="4,5"/>
    <s v="4"/>
    <s v="4"/>
    <s v="4"/>
    <s v="3"/>
    <s v="4,5"/>
    <s v="4"/>
    <s v="4"/>
    <s v="De 9, 10 y 11"/>
    <n v="3.75"/>
    <s v="NO"/>
    <s v="NA"/>
    <n v="0"/>
    <n v="0"/>
    <s v="No"/>
    <n v="50"/>
    <m/>
    <n v="45"/>
    <m/>
    <n v="45"/>
    <m/>
    <m/>
    <n v="46.666666666666664"/>
    <s v="Con detalle por componente"/>
    <s v="Artísticas o culturales,Trabajo social o comunitario"/>
    <s v="A través de la ingeniería de sistemas mi proyección es desarrollarme en la ciberseguridad, un campo que me apasiona y que me permite aportar a la protección digital de las personas, empresas, instituciones, etc. Debido al constante avance tecnológico surgen nuevas vulnerabilidades cada día, mi propósito es ayudar no solo a mi comunidad local sino a toda la sociedad mediante herramientas que contrarresten dichas vulnerabilidades y mejoren la seguridad social en las plataformas digitales; de la misma manera planeo ejercer mi profesión ya sea en el sector privado o público ayudando a parar el constante flujo de ataques cibernéticos a las empresas que pueden comprometer datos, cuentas, etc. La beca no solo me permitiría recibir una educación de calidad sino también conectar con gente que pueda acompañarme en el proceso de mejorar la seguridad del entorno virtual que nos rodea el cual cada día sigue expandiéndose."/>
    <s v="A través del Colegio"/>
    <s v="Por la calidad académica."/>
    <s v="Vocación."/>
    <n v="2"/>
    <s v="1"/>
    <s v="NO"/>
    <s v="NO"/>
    <s v="Entre 1 y 2 millones"/>
    <s v="Si"/>
    <n v="0"/>
    <n v="0"/>
    <m/>
    <s v="SI"/>
    <s v="Beca"/>
    <s v="NO"/>
    <s v=""/>
    <s v=""/>
    <s v="Si"/>
    <s v="José Felipe Giraldo Casallas"/>
    <s v="Casado"/>
    <s v="BACHILLERATO"/>
    <s v="48"/>
    <s v="vendedor"/>
    <s v="Independiente (trabaja por cuenta propia)"/>
    <s v="Vendedor Ambulante"/>
    <s v="Trabajo en calle"/>
    <n v="1500000"/>
    <s v="Si"/>
    <s v="NO"/>
    <s v="NO"/>
    <s v=""/>
    <s v="Si"/>
    <s v="Olga Enith Regino Álvarez"/>
    <s v="Casado"/>
    <s v="TÉCNICA"/>
    <s v="54"/>
    <s v="Vendedora"/>
    <s v="Independiente (trabaja por cuenta propia)"/>
    <s v="Vendedora ambulante"/>
    <s v="Trabajo en calle"/>
    <n v="1000000"/>
    <s v="Si"/>
    <s v="SI"/>
    <s v="NO"/>
    <m/>
    <n v="2500000"/>
    <s v="No, solo vivo con mis padres"/>
    <s v=""/>
    <s v=""/>
    <s v=""/>
    <s v=""/>
    <s v=""/>
    <m/>
    <s v=""/>
    <s v=""/>
    <s v=""/>
    <s v=""/>
    <s v=""/>
    <s v=""/>
    <m/>
    <s v=""/>
    <s v=""/>
    <s v=""/>
    <s v=""/>
    <s v=""/>
    <s v=""/>
    <m/>
    <s v=""/>
    <s v=""/>
    <n v="0"/>
    <n v="0"/>
    <n v="0"/>
    <n v="0"/>
    <n v="0"/>
    <s v="No"/>
    <s v=""/>
    <s v=""/>
    <n v="0"/>
    <s v="No"/>
    <s v=""/>
    <s v=""/>
    <n v="0"/>
    <s v="Si"/>
    <s v="Moto"/>
    <s v="Bajaj"/>
    <s v="2016"/>
    <n v="3500000"/>
    <m/>
    <n v="4"/>
    <n v="4"/>
    <n v="4"/>
    <n v="4"/>
    <n v="4"/>
    <n v="3"/>
    <n v="4"/>
    <n v="4"/>
    <n v="4"/>
    <n v="4"/>
    <n v="39"/>
    <s v="SI"/>
    <m/>
    <s v="SI, SON PRI"/>
    <s v="ok tienen todos los datos"/>
    <s v="Negada Talento"/>
    <n v="20241"/>
    <m/>
    <n v="3"/>
    <n v="10"/>
    <n v="8"/>
    <n v="10"/>
    <n v="10"/>
    <n v="15"/>
    <n v="20"/>
    <n v="20"/>
    <n v="20"/>
    <n v="85"/>
    <s v="80 - 100%"/>
    <m/>
    <n v="3.5"/>
    <n v="4.5"/>
    <n v="8"/>
    <n v="4"/>
    <n v="3.5"/>
    <n v="4"/>
    <n v="8"/>
    <n v="4.5"/>
    <n v="83"/>
    <s v="80 - 100%"/>
    <n v="0.8"/>
    <e v="#N/A"/>
    <m/>
    <m/>
    <n v="0"/>
    <m/>
    <m/>
    <s v="Ingeniería de Sistemas"/>
    <e v="#N/A"/>
    <s v="010"/>
    <e v="#N/A"/>
  </r>
  <r>
    <s v="TI"/>
    <n v="1025891045"/>
    <s v="1000345089"/>
    <s v="SAMIR JOSE OSORIO GIL"/>
    <s v="Estudios por primera vez"/>
    <x v="1"/>
    <s v="Descartado por notas"/>
    <m/>
    <s v="En publico objetivo"/>
    <s v="2da Cohorte"/>
    <s v="Admitido"/>
    <s v="sjosoriog@eafit.edu.co"/>
    <s v="sjosoriog@eafit.edu.co"/>
    <s v="samirosorio21@gmail.com"/>
    <s v="573115208908"/>
    <d v="2025-05-16T00:00:00"/>
    <s v="Activo en Programa"/>
    <s v="010-Ingeniería de Sistemas"/>
    <s v="E Ciencias Aplic e Ingeniería"/>
    <d v="2007-06-21T00:00:00"/>
    <n v="18"/>
    <s v="Antioquia"/>
    <s v="Medellín"/>
    <s v="Hombre"/>
    <s v="Soltero"/>
    <s v="NO"/>
    <s v="NO"/>
    <n v="0"/>
    <s v="NO"/>
    <s v="NA"/>
    <s v="NO"/>
    <s v="NA"/>
    <s v="NO"/>
    <s v="NA"/>
    <s v="No"/>
    <s v="311/520-8908"/>
    <s v="573115208908"/>
    <s v="Estrato 2"/>
    <s v="CL 102 A 84 18"/>
    <s v="Antioquia"/>
    <s v="Medellín"/>
    <s v="Si"/>
    <s v="Arriendo"/>
    <s v="SI"/>
    <s v="2024"/>
    <s v="AC202433021813"/>
    <n v="337"/>
    <n v="70"/>
    <n v="66"/>
    <s v="Pública"/>
    <s v="I. E. R. JAIPERA"/>
    <n v="2024"/>
    <s v="Antioquia"/>
    <s v="Urrao"/>
    <s v="BACHILLER"/>
    <s v="TECN"/>
    <s v="TIPO: Pública, INSTITUCION: I. E. R. JAIPERA, AÑO: 2024, CIUDAD: Urrao, TITULO: BACHILLER"/>
    <s v="11"/>
    <s v="Escala de 0 - 5"/>
    <s v="Escala de 0 - 5"/>
    <s v="4"/>
    <s v="4"/>
    <m/>
    <s v="4,4"/>
    <s v="4,4"/>
    <m/>
    <n v="4.4000000000000004"/>
    <n v="4.2"/>
    <m/>
    <n v="3.8"/>
    <n v="4.5"/>
    <m/>
    <s v="3,7"/>
    <s v="4"/>
    <m/>
    <s v="4"/>
    <s v="4"/>
    <m/>
    <s v="4"/>
    <s v="4"/>
    <m/>
    <s v="De 9 y 10"/>
    <n v="4.2250000000000005"/>
    <s v="NO"/>
    <s v="NA"/>
    <n v="0"/>
    <n v="0"/>
    <s v="No"/>
    <n v="50"/>
    <m/>
    <n v="50"/>
    <m/>
    <n v="50"/>
    <m/>
    <m/>
    <n v="50"/>
    <s v="Con detalle por componente"/>
    <s v="Trabajo social o comunitario"/>
    <s v="Desde muy joven, he sentido una profunda pasión por la tecnología y su capacidad para transformar vidas. Al estudiar Ingeniería en Sistemas en EAFIT, me visualizo como un profesional que no solo desarrolla soluciones innovadoras, sino que también crea oportunidades reales para comunidades que, como la mía, han sido olvidadas en este ámbito._x000a__x000a_Vengo de Urrao, un pueblo hermoso, pero con muy escasas oportunidades tecnológicas. La mayoría de jóvenes que desean formarse en este campo debemos migrar a la ciudad, dejando atrás nuestras raíces. Por eso, a través de la obtención de esta beca, mi propósito es claro: capacitarme con excelencia para, más adelante, llevar el conocimiento adquirido de vuelta a mi región._x000a__x000a_Mi sueño es fomentar el estudio de tecnologías modernas en Urrao, creando espacios de formación accesibles y proyectos que impulsen el desarrollo local. Quiero que más jóvenes tengan la opción de aprender sobre programación, inteligencia artificial, desarrollo de software y otras herramientas actuales, sin tener que abandonar su hogar._x000a__x000a_Además, deseo emprender iniciativas tecnológicas que ayuden a resolver problemáticas concretas del territorio: desde mejorar procesos productivos locales hasta diseñar soluciones para la educación o el comercio. Esta beca no solo me permitiría acceder a una educación de calidad, sino que sería la base para construir puentes entre el conocimiento y el progreso de mi comunidad."/>
    <s v="Estudiantes de EAFIT"/>
    <s v="Por la calidad académica."/>
    <s v="Vocación."/>
    <n v="1"/>
    <s v="0"/>
    <s v="SI"/>
    <s v="NO"/>
    <s v="Menos de 1millón"/>
    <s v="No"/>
    <s v="NO"/>
    <n v="0"/>
    <m/>
    <s v="SI"/>
    <s v="Beca"/>
    <s v="NO"/>
    <s v=""/>
    <s v=""/>
    <s v="Sin información"/>
    <n v="0"/>
    <m/>
    <m/>
    <m/>
    <s v=""/>
    <s v=""/>
    <m/>
    <s v=""/>
    <m/>
    <s v=""/>
    <m/>
    <m/>
    <s v="No tengo información."/>
    <s v="Si"/>
    <s v="Samir Jose Osorio Gil"/>
    <s v="Soltero"/>
    <s v="PRIMARIA"/>
    <s v="50"/>
    <s v="Aseadora"/>
    <s v="Empleado (con contrato laboral)"/>
    <s v="Operaria de aseo"/>
    <s v="UT CLEAN COLOMBIA"/>
    <n v="1400000"/>
    <s v="No"/>
    <s v="NO"/>
    <s v="NO"/>
    <s v="Ninguna."/>
    <n v="1400000"/>
    <s v="No, vivo solo"/>
    <s v=""/>
    <s v=""/>
    <s v=""/>
    <s v=""/>
    <s v=""/>
    <m/>
    <s v=""/>
    <s v=""/>
    <s v=""/>
    <s v=""/>
    <s v=""/>
    <s v=""/>
    <m/>
    <s v=""/>
    <s v=""/>
    <s v=""/>
    <s v=""/>
    <s v=""/>
    <s v=""/>
    <m/>
    <s v=""/>
    <s v=""/>
    <n v="120000000"/>
    <n v="0"/>
    <n v="0"/>
    <n v="0"/>
    <n v="0"/>
    <s v="No"/>
    <s v=""/>
    <s v=""/>
    <n v="0"/>
    <s v="No"/>
    <s v=""/>
    <s v=""/>
    <n v="0"/>
    <s v="No"/>
    <s v=""/>
    <s v=""/>
    <s v=""/>
    <n v="0"/>
    <s v="Ninguno."/>
    <n v="4"/>
    <n v="4"/>
    <n v="3"/>
    <n v="4"/>
    <n v="4"/>
    <n v="3"/>
    <n v="3"/>
    <n v="3"/>
    <n v="2"/>
    <n v="3"/>
    <n v="33"/>
    <s v="SI"/>
    <m/>
    <s v="SI, SON PRI"/>
    <s v="ok tienen todos los datos"/>
    <s v="Negada"/>
    <n v="20251"/>
    <m/>
    <n v="3"/>
    <n v="10"/>
    <n v="10"/>
    <n v="10"/>
    <n v="15"/>
    <n v="10"/>
    <n v="20"/>
    <n v="16.5"/>
    <n v="17"/>
    <n v="82"/>
    <n v="0.5"/>
    <m/>
    <n v="3.5"/>
    <n v="3.5"/>
    <n v="8"/>
    <n v="2"/>
    <n v="3.5"/>
    <n v="3"/>
    <n v="8"/>
    <n v="2"/>
    <n v="81.5"/>
    <n v="0.5"/>
    <n v="0.5"/>
    <e v="#N/A"/>
    <m/>
    <m/>
    <n v="0"/>
    <m/>
    <m/>
    <s v="Ingeniería de Sistemas"/>
    <e v="#N/A"/>
    <s v="010"/>
    <e v="#N/A"/>
  </r>
  <r>
    <s v="TI"/>
    <n v="1025891218"/>
    <s v="1000401209"/>
    <s v="ELIZABETH RESTREPO ESCOBAR"/>
    <s v="Estudios por primera vez"/>
    <x v="7"/>
    <s v="No cumple, estrato 4"/>
    <m/>
    <s v="En publico objetivo"/>
    <s v="2da Cohorte"/>
    <s v="Admitido"/>
    <s v="erestrepe2@eafit.edu.co"/>
    <s v="erestrepe2@eafit.edu.co"/>
    <s v="elizabethrestrepo528@gmail.com"/>
    <s v="573507147439"/>
    <d v="2025-05-16T00:00:00"/>
    <s v="Activo en Programa"/>
    <s v="169-Mercadeo"/>
    <s v="Escuela de Administración"/>
    <d v="2007-08-18T00:00:00"/>
    <n v="18"/>
    <s v="Antioquia"/>
    <s v="Medellín"/>
    <s v="Mujer"/>
    <s v="Soltero"/>
    <s v="NO"/>
    <s v="NO"/>
    <n v="0"/>
    <s v="NO"/>
    <s v="NA"/>
    <s v="NO"/>
    <s v="NA"/>
    <s v="NO"/>
    <s v="NA"/>
    <s v="No"/>
    <s v="350/714-7439"/>
    <s v="573507147439"/>
    <s v="Estrato 4"/>
    <s v="CR 35 A #77 SUR 71"/>
    <s v="Antioquia"/>
    <s v="Sabaneta"/>
    <s v="No aplica, no soy foráneo"/>
    <s v="Propio"/>
    <s v="SI"/>
    <s v="2024"/>
    <s v="AC202433066214"/>
    <n v="294"/>
    <n v="62"/>
    <n v="63"/>
    <s v="Privada"/>
    <s v="UNIDAD EDUCATIVA SAN MARCOS"/>
    <n v="2024"/>
    <s v="Antioquia"/>
    <s v="Envigado"/>
    <s v="BACHILLER"/>
    <s v="ACAD"/>
    <s v="TIPO: Privada, INSTITUCION: UNIDAD EDUCATIVA SAN MARCOS, AÑO: 2024, CIUDAD: Envigado, TITULO: BACHILLER"/>
    <s v="11"/>
    <s v="Escala de 0 - 5"/>
    <s v="Escala de 0 - 5"/>
    <s v="4,5"/>
    <s v="3,4"/>
    <m/>
    <s v="5"/>
    <s v="3,4"/>
    <m/>
    <n v="4.5"/>
    <n v="3.4"/>
    <m/>
    <n v="5"/>
    <n v="3.4"/>
    <m/>
    <s v="5"/>
    <s v="3,4"/>
    <m/>
    <s v="4"/>
    <s v="3,4"/>
    <m/>
    <s v="4,5"/>
    <s v="3,4"/>
    <m/>
    <s v="De 9 y 10"/>
    <n v="4.0750000000000002"/>
    <s v="NO"/>
    <s v="NA"/>
    <n v="0"/>
    <n v="0"/>
    <s v="No"/>
    <n v="45"/>
    <m/>
    <n v="45"/>
    <m/>
    <n v="45"/>
    <m/>
    <m/>
    <n v="45"/>
    <s v="Con detalle por componente"/>
    <s v="Ninguna"/>
    <s v="Me visualizo ejerciendo la profesión de mercadeo en la industria de la moda, siendo creativa, estratégica y teniendo responsabilidad.Enfocandome en la inclusión y el respeto por la diversidad cultural, por medio de campañas de marketing destacando las diferentes tendencias de moda._x000a_Con la obtención de la beca tendré una gran oportunidad para adquirir los conocimientos necesarios y experiencias que me permitirán realizar proyectos de mercadeo, me gustaría ayudar a empresas que quieran progresar, generar trabajo, ayudando a las personas que más lo necesiten"/>
    <s v="A través del Colegio"/>
    <s v="Por la calidad académica."/>
    <s v="Vocación."/>
    <n v="4"/>
    <s v="1"/>
    <s v="NO"/>
    <s v="NO"/>
    <s v="Entre 15 y 16 millones"/>
    <s v="Si"/>
    <s v="SI"/>
    <s v="SI"/>
    <m/>
    <s v="SI"/>
    <m/>
    <s v="NO"/>
    <s v=""/>
    <s v=""/>
    <s v="Si"/>
    <s v="Víctor Hugo Restrepo Tamayo"/>
    <s v="Otro"/>
    <s v="BACHILLERATO"/>
    <s v="51"/>
    <s v="Comerciante"/>
    <s v="Independiente (trabaja por cuenta propia)"/>
    <s v="Propietario"/>
    <s v="Joyería lluvia dorada"/>
    <n v="22000000"/>
    <s v="Si"/>
    <s v="SI"/>
    <s v="SI"/>
    <s v="Entregado y comprometido con el hogar"/>
    <s v="Si"/>
    <s v="Ángela María Escobar Benavides"/>
    <s v="Casado"/>
    <s v="BACHILLERATO"/>
    <s v="52"/>
    <s v="ama de casa"/>
    <s v="Labores del hogar y cuidado"/>
    <s v="Ama de casa"/>
    <s v="En la casa"/>
    <n v="0"/>
    <s v="Si"/>
    <s v="NO"/>
    <s v="NO"/>
    <s v="Dedicada y entregada al hogar"/>
    <n v="22000000"/>
    <s v="Si"/>
    <s v="María Clara Restrepo Escobar"/>
    <s v="Hermano / Hermana"/>
    <s v="22"/>
    <s v="Estudiante"/>
    <s v="Universidad Salazar y herrera"/>
    <n v="0"/>
    <s v="No"/>
    <s v=""/>
    <s v=""/>
    <s v=""/>
    <s v=""/>
    <s v=""/>
    <m/>
    <s v=""/>
    <s v=""/>
    <s v=""/>
    <s v=""/>
    <s v=""/>
    <s v=""/>
    <m/>
    <s v=""/>
    <s v=""/>
    <n v="0"/>
    <n v="450000000"/>
    <n v="0"/>
    <n v="0"/>
    <n v="0"/>
    <s v="Si"/>
    <s v="Mazda"/>
    <s v="2024"/>
    <n v="140000000"/>
    <s v="No"/>
    <s v=""/>
    <s v=""/>
    <n v="0"/>
    <s v="No"/>
    <s v=""/>
    <s v=""/>
    <s v=""/>
    <n v="0"/>
    <s v="Préstamos bancarios"/>
    <n v="4"/>
    <n v="4"/>
    <n v="3"/>
    <n v="4"/>
    <n v="4"/>
    <n v="4"/>
    <n v="4"/>
    <n v="3"/>
    <n v="3"/>
    <n v="4"/>
    <n v="37"/>
    <s v="SI"/>
    <m/>
    <s v="SI, SON PRI"/>
    <s v="ok tienen todos los datos"/>
    <e v="#N/A"/>
    <e v="#N/A"/>
    <m/>
    <n v="3"/>
    <n v="4"/>
    <n v="4"/>
    <n v="0"/>
    <n v="15"/>
    <n v="15"/>
    <n v="15"/>
    <n v="4.5"/>
    <n v="4.5"/>
    <n v="53.5"/>
    <n v="0.4"/>
    <m/>
    <n v="2"/>
    <n v="2.5"/>
    <n v="0"/>
    <n v="0"/>
    <n v="2"/>
    <n v="2.5"/>
    <n v="0"/>
    <n v="0"/>
    <n v="53.5"/>
    <n v="0.4"/>
    <s v="Negado"/>
    <e v="#N/A"/>
    <m/>
    <m/>
    <n v="0"/>
    <m/>
    <m/>
    <s v="Mercadeo"/>
    <e v="#N/A"/>
    <m/>
    <e v="#N/A"/>
  </r>
  <r>
    <s v="TI"/>
    <n v="1025891638"/>
    <s v="1000381165"/>
    <s v="EMANUEL LÓPEZ VALLE"/>
    <s v="Estudios por primera vez"/>
    <x v="1"/>
    <s v="Descartado por PG y pregrado"/>
    <m/>
    <s v="En publico objetivo"/>
    <s v="2da Cohorte"/>
    <s v="Admitido"/>
    <s v="elopezv4@eafit.edu.co"/>
    <s v="elopezv4@eafit.edu.co"/>
    <s v="emanuellopezvalle89@gmail.com"/>
    <s v="301/276-8431"/>
    <d v="2025-05-16T00:00:00"/>
    <s v="Activo en Programa"/>
    <s v="199-Finanzas"/>
    <s v="E.Finanzas, Economía, Gobierno"/>
    <d v="2007-11-07T00:00:00"/>
    <n v="18"/>
    <s v="Antioquia"/>
    <s v="Medellín"/>
    <s v="Hombre"/>
    <s v="Soltero"/>
    <s v="NO"/>
    <s v="NO"/>
    <n v="0"/>
    <s v="NO"/>
    <s v="NA"/>
    <s v="NO"/>
    <s v="NA"/>
    <s v="NO"/>
    <s v="NA"/>
    <s v="No"/>
    <s v="301/276-8431"/>
    <s v="301/276-8431"/>
    <s v="Estrato 2"/>
    <s v="CL 124 51 A 4"/>
    <s v="Antioquia"/>
    <s v="Medellín"/>
    <s v="No aplica, no soy foráneo"/>
    <s v="Arriendo"/>
    <s v="SI"/>
    <s v="2024"/>
    <s v="AC202433210010"/>
    <n v="347"/>
    <n v="78"/>
    <n v="68"/>
    <s v="Pública"/>
    <s v="INST EDUC ASIA IGNACIANA"/>
    <n v="2024"/>
    <s v="Antioquia"/>
    <s v="Medellín"/>
    <s v="BACHILLER"/>
    <s v="ACAD"/>
    <s v="TIPO: Pública, INSTITUCION: INST EDUC ASIA IGNACIANA, AÑO: 2024, CIUDAD: Medellín, TITULO: BACHILLER"/>
    <s v="11"/>
    <s v="Escala de 0 - 5"/>
    <s v="Escala de 0 - 5"/>
    <s v="4,1"/>
    <s v="4"/>
    <m/>
    <s v="4,1"/>
    <s v="4"/>
    <m/>
    <n v="4.8"/>
    <n v="4.7"/>
    <m/>
    <n v="4"/>
    <n v="4.4000000000000004"/>
    <m/>
    <s v="3,8"/>
    <s v="4,5"/>
    <m/>
    <s v="4,5"/>
    <s v="4,4"/>
    <m/>
    <s v="4,5"/>
    <s v="4,5"/>
    <m/>
    <s v="De 9 y 10"/>
    <n v="4.4749999999999996"/>
    <s v="NO"/>
    <s v="NA"/>
    <n v="0"/>
    <n v="0"/>
    <s v="No"/>
    <n v="45"/>
    <s v="Fue representante de grupo y futbol"/>
    <n v="45"/>
    <m/>
    <n v="45"/>
    <m/>
    <s v="Se graduó en el 2024_x000a_puntaje saber 11 -347_x000a_quiere estudiar Finanzas porque quiere tener una empresa_x000a_participó en la clase abierta"/>
    <n v="45"/>
    <s v="Con detalle por componente"/>
    <s v="Ninguna"/>
    <s v="Cuando sea un profesional en Finanzas, me visualizo siendo consultor de empresas nacionales e internacionales, diagnosticando, analizando y proponiendo soluciones a los problemas de éstas desde mi área, buscando ayudarles con sus rendimientos, rentabilidades y competitividad; además, me proyecto como un inversionista de prestigio, como los que admiro actualmente, teniendo un amplio portafolio propio de inversiones en los diferentes activos._x000a__x000a_La oportunidad de estudiar en EAFIT, junto con el apoyo de esta beca, no solo representa la realización de un sueño, sino también una puerta hacia un futuro en el que pueda desempeñar un papel relevante en la sociedad. En mi región nunca ha sido un tema prioritario la buena salud financiera y lo que implica tener un buen manejo del dinero, siendo incluso comunes las malas deudas, que están relacionadas con el consumo o la compra de pasivos; y el hecho de haberme interesado por este pregrado y poder cursarlo, sería una gran oportunidad para ayudar con esta situación. _x000a__x000a_Con el respaldo de EAFIT estoy convencido de que podré desarrollar al máximo mi potencial y convertirme en el profesional que siempre he soñado, listo para enfrentar los desafíos del mundo financiero y destacar en cualquier entorno en el que me desempeñe, siendo éste el primer paso hacia un futuro en el que pueda impactar de manera positiva mi entorno y contribuir activamente a la sociedad compartiendo mis conocimientos y siendo partícipe en la toma de decisiones financieras._x000a__x000a_Considero que ustedes, y su enfoque de calidad académica y visión global, son el lugar ideal para alcanzar estas metas y objetivos para desarrollarme como persona y profesional."/>
    <s v="Otro"/>
    <s v="Universidad reconocida."/>
    <s v="Vocación."/>
    <n v="2"/>
    <s v="1"/>
    <s v="SI"/>
    <s v="NO"/>
    <s v="Entre 2 y 3 millones"/>
    <s v="No"/>
    <n v="0"/>
    <n v="0"/>
    <m/>
    <s v="Y"/>
    <m/>
    <s v="NO"/>
    <s v="NA"/>
    <s v="NA"/>
    <s v="Si"/>
    <s v="Héctor Jaime López Velásquez"/>
    <s v="Otro"/>
    <s v="UNIVERSITARIOS"/>
    <s v="44"/>
    <s v="Administrador de empresas"/>
    <s v="Empleado (con contrato laboral)"/>
    <s v="Profesional de apoyo administrativo"/>
    <s v="Comité de estudios médicos S.A.S"/>
    <n v="4000000"/>
    <s v="No"/>
    <s v="SI"/>
    <s v="NO"/>
    <s v=""/>
    <s v="Si"/>
    <s v="Natalia Valle Higuita"/>
    <s v="Otro"/>
    <s v="BACHILLERATO"/>
    <s v="43"/>
    <s v="ama de casa"/>
    <s v="Labores del hogar y cuidado"/>
    <s v="Ama de casa"/>
    <s v="casa"/>
    <n v="0"/>
    <s v="Si"/>
    <s v="NO"/>
    <s v="NO"/>
    <s v="Hasta hace poco trabajaba como independiente, pero por cierto inconveniente ahora se dedica a las labores del hogar."/>
    <n v="4000000"/>
    <s v="Si"/>
    <s v="Isabela López Valle"/>
    <s v="Hermano / Hermana"/>
    <s v="14"/>
    <s v="Estudiante"/>
    <s v="Institución Educativa ASIA Ignaciana"/>
    <n v="0"/>
    <s v="No"/>
    <s v=""/>
    <s v=""/>
    <s v=""/>
    <s v=""/>
    <s v=""/>
    <m/>
    <s v=""/>
    <s v=""/>
    <s v=""/>
    <s v=""/>
    <s v=""/>
    <s v=""/>
    <m/>
    <s v=""/>
    <s v=""/>
    <n v="0"/>
    <n v="70000000"/>
    <n v="0"/>
    <n v="0"/>
    <n v="0"/>
    <s v="Si"/>
    <s v="Kia picanto"/>
    <s v="2014"/>
    <n v="23000000"/>
    <s v="No"/>
    <s v=""/>
    <s v=""/>
    <n v="0"/>
    <s v="No"/>
    <s v=""/>
    <s v=""/>
    <s v=""/>
    <n v="0"/>
    <m/>
    <n v="4"/>
    <n v="4"/>
    <n v="2"/>
    <n v="4"/>
    <n v="3"/>
    <n v="3"/>
    <n v="4"/>
    <n v="3"/>
    <n v="3"/>
    <n v="4"/>
    <n v="34"/>
    <s v="SI"/>
    <m/>
    <s v="SI, SON PRI"/>
    <s v="ok tienen todos los datos"/>
    <s v="Negada"/>
    <n v="20251"/>
    <m/>
    <n v="2"/>
    <n v="10"/>
    <n v="10"/>
    <n v="10"/>
    <n v="15"/>
    <n v="10"/>
    <n v="15"/>
    <n v="16.5"/>
    <n v="16"/>
    <n v="76"/>
    <n v="0.5"/>
    <m/>
    <n v="3.5"/>
    <n v="3.5"/>
    <n v="6"/>
    <n v="3"/>
    <n v="3.5"/>
    <n v="3"/>
    <n v="7"/>
    <n v="3"/>
    <n v="76.5"/>
    <n v="0.5"/>
    <n v="0.5"/>
    <e v="#N/A"/>
    <m/>
    <m/>
    <n v="0"/>
    <m/>
    <m/>
    <s v="Finanzas"/>
    <e v="#N/A"/>
    <s v="199"/>
    <e v="#N/A"/>
  </r>
  <r>
    <s v="TI"/>
    <n v="1025891770"/>
    <s v="1000403656"/>
    <s v="SAMUEL AMAYA MIRANDA"/>
    <s v="Estudios por primera vez"/>
    <x v="1"/>
    <s v="Descartados por año graduacion 2025"/>
    <s v="Año graduacion 2025 pero con icfes anterior"/>
    <s v="En publico objetivo"/>
    <s v="2da Cohorte"/>
    <s v="Admitido"/>
    <s v="samayam@eafit.edu.co"/>
    <s v="samayam@eafit.edu.co"/>
    <s v="samuelamaya1121@gmail.com"/>
    <s v="573008277947"/>
    <d v="2025-05-16T00:00:00"/>
    <s v="Activo en Programa"/>
    <s v="012-Ingeniería de Producción"/>
    <s v="E Ciencias Aplic e Ingeniería"/>
    <d v="2007-11-21T00:00:00"/>
    <n v="18"/>
    <s v="Antioquia"/>
    <s v="Medellín"/>
    <s v="Hombre"/>
    <s v="Soltero"/>
    <s v="NO"/>
    <s v="NO"/>
    <n v="0"/>
    <s v="NO"/>
    <s v="NA"/>
    <s v="NO"/>
    <s v="NA"/>
    <s v="NO"/>
    <s v="NA"/>
    <s v="No"/>
    <s v="310/390-4574"/>
    <s v="573008277947"/>
    <s v="Estrato 2"/>
    <s v="CL 95 A CR 76 AA 19"/>
    <s v="Antioquia"/>
    <s v="Medellín"/>
    <s v="No aplica, no soy foráneo"/>
    <s v="Familiar"/>
    <s v="SI"/>
    <s v="2024"/>
    <s v="AC202434095733"/>
    <n v="363"/>
    <n v="81"/>
    <n v="74"/>
    <s v="Privada"/>
    <s v="COL. SANTA BERTILLA BOSCARDIN"/>
    <n v="2025"/>
    <s v="Antioquia"/>
    <s v="Medellín"/>
    <s v="BACHILLER"/>
    <s v="TECN"/>
    <s v="TIPO: Privada, INSTITUCION: COL. SANTA BERTILLA BOSCARDIN, AÑO: 2025, CIUDAD: Medellín, TITULO: BACHILLER"/>
    <s v="11"/>
    <s v="Escala de 0 - 5"/>
    <s v="Escala de 0 - 5"/>
    <s v="4,5"/>
    <s v="4"/>
    <m/>
    <s v="4,2"/>
    <s v="4"/>
    <m/>
    <n v="4.2"/>
    <n v="3.6"/>
    <m/>
    <n v="4.2"/>
    <n v="3.5"/>
    <m/>
    <s v="4,2"/>
    <s v="3,9"/>
    <m/>
    <s v="4"/>
    <s v="4"/>
    <m/>
    <s v="4,1"/>
    <s v="3,5"/>
    <m/>
    <s v="De 9 y 10"/>
    <n v="3.875"/>
    <s v="NO"/>
    <s v="NA"/>
    <n v="0"/>
    <n v="0"/>
    <s v="No"/>
    <n v="50"/>
    <m/>
    <n v="40"/>
    <m/>
    <n v="45"/>
    <m/>
    <m/>
    <n v="45"/>
    <s v="Con detalle por componente"/>
    <s v="Artísticas o culturales,Deportistas de alto rendimiento o representativo,Espacios de liderazgo o representación social"/>
    <s v="Gracias a la Beca otorgada por la Universidad me visulalizo como un gran Ingeniero de Producción creando un producto o servicio ingenioso y sostenible que nunca lo hemos  visto, con mi mente creativa, con las herramientas y conocimientos que me brinda la Ingeniería de Producción y con las personas y contactos qué me ayuden a desarrollar  esta idea, lograremos   transpormar nuestra región desde la parte económica, social y ambiental, generando empleo y mejorando la calidad de vida de los colaboradores y sus familias, sirviendo de inspiración  para mi familia, para los nuevos estudiantes y para todos los Colombianos demostrando que desde aquí podemos Crear y no solo importar productos y o servicios."/>
    <s v="Página WEB"/>
    <s v="Por la calidad académica."/>
    <s v="Alta proyección de ingresos."/>
    <n v="3"/>
    <s v="1"/>
    <s v="SI"/>
    <s v="NO"/>
    <s v="Entre 1 y 2 millones"/>
    <s v="Si"/>
    <n v="0"/>
    <n v="0"/>
    <m/>
    <s v="SI"/>
    <s v="Beca"/>
    <s v="NO"/>
    <s v=""/>
    <s v=""/>
    <s v="Si"/>
    <s v="Santiago León Amaya Ruiz"/>
    <s v="Soltero"/>
    <s v="PRIMARIA"/>
    <s v="40"/>
    <s v="Comerciante textil"/>
    <s v="Trabajador informal"/>
    <s v="Comerciante"/>
    <s v="Independiente"/>
    <n v="2400000"/>
    <s v="No"/>
    <s v="SI"/>
    <s v="NO"/>
    <s v="Mi padre por ser comerciante, dice que no tsn necesario ir a la Universidad. Que si me gano la Beca me ayuda con los pasajes, pero no puede pagar mi carrera."/>
    <s v="Si"/>
    <s v="Paula Andrea Miranda Uribe"/>
    <s v="Otro"/>
    <s v="BACHILLERATO"/>
    <s v="46"/>
    <s v="Agente de viajes freelance"/>
    <s v="Independiente (trabaja por cuenta propia)"/>
    <s v="asesora de ventas"/>
    <s v="Independiente de manera Freelance"/>
    <n v="3000000"/>
    <s v="Si"/>
    <s v="NO"/>
    <s v="SI"/>
    <s v="Mi mamá me apoya y me anima para que siga estudiando, dice que soy muy inteligente,  que el estudio es muy importante para mi vida y mi futuro."/>
    <n v="5400000"/>
    <s v="Si"/>
    <s v="Isaias amaya miranda"/>
    <s v="Hermano / Hermana"/>
    <s v="11"/>
    <s v="Estudiante"/>
    <s v="Colegio Santa Bertilla Boscardin"/>
    <n v="0"/>
    <s v="No"/>
    <s v="Purificación Uribe londoño"/>
    <s v="Abuelo / Abuela"/>
    <s v=""/>
    <s v="74"/>
    <s v="Pensionada"/>
    <n v="2847000"/>
    <s v="Si"/>
    <s v=""/>
    <s v=""/>
    <s v=""/>
    <s v=""/>
    <s v=""/>
    <m/>
    <s v=""/>
    <s v="Vivo con mi mamá,  mi abuela y mi hermano."/>
    <n v="0"/>
    <n v="200000000"/>
    <n v="0"/>
    <n v="0"/>
    <n v="0"/>
    <s v="No"/>
    <s v=""/>
    <s v=""/>
    <n v="0"/>
    <s v="No"/>
    <s v=""/>
    <s v=""/>
    <n v="0"/>
    <s v="No"/>
    <s v=""/>
    <s v=""/>
    <s v=""/>
    <n v="0"/>
    <m/>
    <n v="4"/>
    <n v="4"/>
    <n v="4"/>
    <n v="4"/>
    <n v="4"/>
    <n v="4"/>
    <n v="4"/>
    <n v="4"/>
    <n v="4"/>
    <n v="4"/>
    <n v="40"/>
    <s v="SI"/>
    <m/>
    <s v="SI, SON PRI"/>
    <s v="ok tienen todos los datos"/>
    <e v="#N/A"/>
    <e v="#N/A"/>
    <m/>
    <n v="3"/>
    <n v="10"/>
    <n v="10"/>
    <n v="15"/>
    <n v="10"/>
    <n v="15"/>
    <n v="15"/>
    <n v="13.5"/>
    <n v="10.5"/>
    <n v="75.5"/>
    <n v="0.4"/>
    <n v="0.4"/>
    <n v="2"/>
    <n v="3.5"/>
    <n v="3"/>
    <n v="2"/>
    <n v="2"/>
    <n v="3.5"/>
    <n v="6"/>
    <n v="2"/>
    <n v="78.5"/>
    <n v="0.4"/>
    <n v="0.6"/>
    <e v="#N/A"/>
    <s v="por pregrado"/>
    <m/>
    <n v="0"/>
    <m/>
    <m/>
    <s v="Ingeniería de Producción"/>
    <e v="#N/A"/>
    <s v="012"/>
    <e v="#N/A"/>
  </r>
  <r>
    <s v="TI"/>
    <n v="1025891796"/>
    <s v="1000407462"/>
    <s v="DAYANNA MUÑOZ BETANCUR"/>
    <s v="Estudios por primera vez"/>
    <x v="2"/>
    <s v="No cumple, puntaje ICFES menor a 300"/>
    <m/>
    <s v="En publico objetivo"/>
    <s v="3ra Cohorte"/>
    <s v="Admitido"/>
    <s v="dmunozb4@eafit.edu.co"/>
    <e v="#N/A"/>
    <s v="dayannamb2007@gmail.com"/>
    <s v="573017386068"/>
    <d v="2025-05-30T00:00:00"/>
    <s v="Activo en Programa"/>
    <s v="010-Ingeniería de Sistemas"/>
    <s v="E Ciencias Aplic e Ingeniería"/>
    <d v="2007-12-11T00:00:00"/>
    <n v="17"/>
    <s v="Antioquia"/>
    <s v="Medellín"/>
    <s v="Mujer"/>
    <s v="Soltero"/>
    <s v="NO"/>
    <s v="NO"/>
    <n v="0"/>
    <s v="NO"/>
    <s v="NA"/>
    <s v="NO"/>
    <s v="NA"/>
    <s v="NO"/>
    <s v="NA"/>
    <s v="No"/>
    <s v="301/738-6068"/>
    <s v="573017386068"/>
    <s v="Estrato 2"/>
    <s v="CR 150 SUR 75 A SUR 112 CA"/>
    <s v="Antioquia"/>
    <s v="Medellín"/>
    <s v="No aplica, no soy foráneo"/>
    <s v="Arriendo"/>
    <s v="SI"/>
    <s v="2024"/>
    <s v="AC202433275708"/>
    <n v="250"/>
    <n v="46"/>
    <n v="47"/>
    <s v="Pública"/>
    <s v="I.e presbítero Carlos Alberto Calderón"/>
    <n v="2024"/>
    <m/>
    <s v="Medellín"/>
    <s v="Bachillerato"/>
    <s v="Académico"/>
    <m/>
    <s v="11"/>
    <s v="Escala de 0 - 5"/>
    <s v="Escala de 0 - 5"/>
    <s v="4"/>
    <s v="4"/>
    <m/>
    <s v="4"/>
    <s v="4"/>
    <m/>
    <n v="4.5"/>
    <n v="4"/>
    <m/>
    <n v="4.5"/>
    <n v="4"/>
    <m/>
    <s v="4,5"/>
    <s v="4"/>
    <m/>
    <s v="4,5"/>
    <s v="4"/>
    <m/>
    <s v="4,5"/>
    <s v="4"/>
    <m/>
    <s v="De 9 y 10"/>
    <n v="4.25"/>
    <s v="NO"/>
    <s v="NA"/>
    <n v="0"/>
    <n v="0"/>
    <s v="No"/>
    <n v="40"/>
    <m/>
    <n v="40"/>
    <m/>
    <n v="40"/>
    <m/>
    <m/>
    <n v="40"/>
    <s v="Con detalle por componente"/>
    <s v="Artísticas o culturales,Espacios de liderazgo o representación social"/>
    <s v="Yo, con la ingeniería en sistemas quiero poder dejar un impacto, crear un herramienta o un programa, emprender a través de todo lo que aprendí durante mi proceso académico, también me visualizo con un equipo de trabajo que también tenga los mismos objetivos que yo, construyendo nuevas innovaciones para nuestro cuidad._x000a_Se que a través de la beca puedo llegar a cumplir eso que tanto quiero, como crear inteligencias artificiales que es lo que en este momento está teniendo más demanda, que aporten a la sociedad y a las estudiantes que como yo, siempre buscamos las herramientas para poder entender mejor la funcionalidad de ciertas cosas. Ese es mi objetivo y mi propósito, dejar un impacto."/>
    <s v="Amigos"/>
    <s v="Por recomendación."/>
    <s v="Recomendación."/>
    <n v="3"/>
    <s v="2"/>
    <s v="SI"/>
    <s v="NO"/>
    <s v="Entre 1 y 2 millones"/>
    <s v="No"/>
    <s v="SI"/>
    <s v="NO"/>
    <m/>
    <s v="SI"/>
    <s v="Beca"/>
    <s v="SI"/>
    <s v="PAPELERÍA MUNDO REAL"/>
    <s v="Empleada"/>
    <s v="Si"/>
    <s v="Jorge Andrés Muñoz Ortiz"/>
    <s v="Soltero"/>
    <s v="PRIMARIA"/>
    <s v="38"/>
    <s v="Operador de maquinaria"/>
    <s v="Independiente (trabaja por cuenta propia)"/>
    <s v="Construcion"/>
    <s v="No tiene"/>
    <n v="2000000"/>
    <s v="No"/>
    <s v="NO"/>
    <s v="NO"/>
    <s v="Se encuentra lejos de Medellín, hablo con el pero no tengo mucha información sobre su vida"/>
    <s v="Si"/>
    <s v="Luz Gladys betancur arboleda"/>
    <s v="Soltero"/>
    <s v="PRIMARIA"/>
    <s v="36"/>
    <s v="oficios varios"/>
    <s v="Empleado (con contrato laboral)"/>
    <s v="Auxiliar de aseó"/>
    <s v="Bio urbe"/>
    <n v="1423500"/>
    <s v="Si"/>
    <s v="NO"/>
    <s v="NO"/>
    <s v="Es muy trabajadora, y siempre me apoya en todo lo que necesite, es una excelente persona y muy amable"/>
    <n v="3423500"/>
    <s v="Si"/>
    <s v="Sofía Muñoz betancur"/>
    <s v="Hermano / Hermana"/>
    <s v="15"/>
    <s v="Estudiante"/>
    <s v="I.e  presbítero Carlos Alberto Calderón"/>
    <n v="0"/>
    <s v="No"/>
    <s v="Nicolle Muñoz betancur"/>
    <s v="Hermano / Hermana"/>
    <s v="11"/>
    <s v="Estudiante"/>
    <s v="I.e presbítero Carlos Alberto Calderón"/>
    <n v="0"/>
    <s v="No"/>
    <s v=""/>
    <s v=""/>
    <s v=""/>
    <s v=""/>
    <s v=""/>
    <m/>
    <s v=""/>
    <s v=""/>
    <n v="0"/>
    <n v="0"/>
    <n v="0"/>
    <n v="0"/>
    <n v="0"/>
    <s v="No"/>
    <s v=""/>
    <s v=""/>
    <n v="0"/>
    <s v="No"/>
    <s v=""/>
    <s v=""/>
    <n v="0"/>
    <s v="No"/>
    <s v=""/>
    <s v=""/>
    <s v=""/>
    <n v="0"/>
    <m/>
    <n v="3"/>
    <n v="4"/>
    <n v="3"/>
    <n v="4"/>
    <n v="3"/>
    <n v="4"/>
    <n v="4"/>
    <n v="3"/>
    <n v="4"/>
    <n v="4"/>
    <n v="36"/>
    <s v="SI"/>
    <s v="SI, TIPO IE"/>
    <s v="PRI SIN TIPO IE"/>
    <s v="pendiente tipo ie"/>
    <e v="#N/A"/>
    <e v="#N/A"/>
    <m/>
    <n v="3"/>
    <n v="10"/>
    <n v="10"/>
    <n v="0"/>
    <n v="15"/>
    <n v="15"/>
    <n v="10"/>
    <n v="20"/>
    <n v="20"/>
    <n v="70"/>
    <s v="80 - 100%"/>
    <m/>
    <n v="3.5"/>
    <n v="4.5"/>
    <n v="8"/>
    <n v="4"/>
    <n v="3.5"/>
    <n v="4"/>
    <n v="8"/>
    <n v="4.5"/>
    <n v="70"/>
    <s v="80 - 100%"/>
    <s v="Negado"/>
    <e v="#N/A"/>
    <m/>
    <m/>
    <s v="SI, TIPO IE"/>
    <m/>
    <m/>
    <s v="Ingeniería de Sistemas"/>
    <e v="#N/A"/>
    <m/>
    <e v="#N/A"/>
  </r>
  <r>
    <s v="TI"/>
    <n v="1025892029"/>
    <s v="1000407470"/>
    <s v="SALOMON LARGO VELEZ"/>
    <s v="Estudios por primera vez"/>
    <x v="1"/>
    <s v="Descartado por ingresos altos"/>
    <m/>
    <s v="En publico objetivo"/>
    <s v="2da Cohorte"/>
    <s v="Admitido"/>
    <s v="slargov@eafit.edu.co"/>
    <e v="#N/A"/>
    <s v="salomonlargovelez@gmail.com"/>
    <s v="573017627568"/>
    <d v="2025-05-19T00:00:00"/>
    <s v="Activo en Programa"/>
    <s v="010-Ingeniería de Sistemas"/>
    <s v="E Ciencias Aplic e Ingeniería"/>
    <d v="2008-01-22T00:00:00"/>
    <n v="17"/>
    <s v="Antioquia"/>
    <s v="Medellín"/>
    <s v="Hombre"/>
    <s v="Soltero"/>
    <s v="NO"/>
    <s v="NO"/>
    <n v="0"/>
    <s v="NO"/>
    <s v="NA"/>
    <s v="NO"/>
    <s v="NA"/>
    <s v="NO"/>
    <s v="NA"/>
    <s v="No"/>
    <s v="294-3938"/>
    <s v="573017627568"/>
    <s v="Estrato 3"/>
    <s v="CL 64 D CR 93 22"/>
    <s v="Antioquia"/>
    <s v="Medellín"/>
    <s v="No aplica, no soy foráneo"/>
    <s v="Arriendo"/>
    <s v="SI"/>
    <s v="2024"/>
    <s v="AC202435933320"/>
    <n v="350"/>
    <n v="73"/>
    <n v="74"/>
    <s v="Pública"/>
    <s v="INS TEC INDUSTRIAL PASCUAL BRA"/>
    <n v="2024"/>
    <s v="Antioquia"/>
    <s v="Medellín"/>
    <s v="BACHILLER"/>
    <s v="TECN"/>
    <s v="TIPO: Pública, INSTITUCION: INS TEC INDUSTRIAL PASCUAL BRA, AÑO: 2024, CIUDAD: Medellín, TITULO: BACHILLER"/>
    <s v="11"/>
    <s v="Escala de 0 - 5"/>
    <s v="Escala de 0 - 5"/>
    <s v="3,4"/>
    <s v="3,4"/>
    <m/>
    <s v="3,3"/>
    <s v="3,3"/>
    <m/>
    <n v="4"/>
    <n v="3"/>
    <m/>
    <n v="4"/>
    <n v="3.4"/>
    <m/>
    <s v="3,4"/>
    <s v="3,3"/>
    <m/>
    <s v="4"/>
    <s v="4"/>
    <m/>
    <s v="4"/>
    <s v="4,2"/>
    <m/>
    <s v="De 9 y 10"/>
    <n v="3.6"/>
    <s v="NO"/>
    <s v="NA"/>
    <n v="0"/>
    <n v="0"/>
    <s v="No"/>
    <n v="50"/>
    <m/>
    <n v="50"/>
    <m/>
    <n v="50"/>
    <m/>
    <s v="Salomón es un aspirante muy bueno en su expresión, se define como emprendedor y trabajador, le gustan los sistemas y la ciberseguridad, demuestra fluidez al hablar y gustos en el deporte y la lectoescritura._x000a_Muy buen aspirante"/>
    <n v="50"/>
    <s v="Con detalle por componente"/>
    <s v="Ninguna"/>
    <s v="Me visualizo como un profesional exitoso en el desarrollo de software, capaz de diseñar soluciones que respondan a las necesidades de información y optimización de procesos tanto en empresas como para personas naturales. Aspiro a contribuir también en el desarrollo de sistemas que garanticen la protección de datos, la prevención de riesgos informáticos y la detección oportuna de amenazas, ayudando así a mitigar el impacto de la delincuencia cibernética sobre la economía y reputación de las organizaciones._x000a_Gracias al apoyo de la beca otorgada por la Universidad EAFIT, podré formarme como ingeniero en sistemas y poner mis conocimientos al servicio de mi comunidad. Mi propósito es desarrollar herramientas tecnológicas que permitan a las personas en zonas apartadas acceder a servicios esenciales como educación y salud, y mejorar sus métodos de producción agrícola y comercialización. Esto no solo aumentará la calidad de vida en mi región, sino que también fortalecerá su economía local._x000a_Además, me comprometo a retribuir esta oportunidad siendo un futuro aportante a los fondos de la universidad, contribuyendo al financiamiento de la educación de otros jóvenes con talento y deseo de superación, pero con recursos limitados. Estoy convencido de que la educación transforma vidas, y quiero ser parte activa de ese cambio en mi comunidad."/>
    <s v="Referencias familiares"/>
    <s v="Por la calidad académica."/>
    <s v="Alta empleabilidad."/>
    <n v="3"/>
    <s v="1"/>
    <s v="NO"/>
    <s v="SI"/>
    <s v="Entre 5 y 6 millones"/>
    <s v="No"/>
    <s v="SI"/>
    <s v="SI"/>
    <s v="Crédito entidad externa"/>
    <s v="SI"/>
    <s v="Beca"/>
    <s v="NO"/>
    <s v=""/>
    <s v=""/>
    <s v="Si"/>
    <s v="Jaime Eliecer Largo Arteaga"/>
    <s v="Unión marital"/>
    <s v="UNIVERSITARIOS"/>
    <s v="50"/>
    <s v="Contador público"/>
    <s v="Independiente (trabaja por cuenta propia)"/>
    <s v="Contador público"/>
    <s v="Empresa Social del Estado Hospital Iván Restrepo Gómez, Urrao Antioquia, Contador por contrato de prestación de servicios"/>
    <n v="5500000"/>
    <s v="Si"/>
    <s v="SI"/>
    <s v="SI"/>
    <s v="Esta muy pendiente de mi proceso educativo, es el sostén económico de la familia y también apoya a mi hermano para su sostenimiento como estudiante de derecho en Eafit"/>
    <s v="Si"/>
    <s v="Paula Andrea Vélez Vallejo"/>
    <s v="Unión marital"/>
    <s v="BACHILLERATO"/>
    <s v="47"/>
    <s v="ama de casa"/>
    <s v="Labores del hogar y cuidado"/>
    <s v="Ama de casa"/>
    <s v="NO APLICA"/>
    <n v="0"/>
    <s v="Si"/>
    <s v="NO"/>
    <s v="SI"/>
    <s v="Es una persona con gran carácter, me alienta a dar lo mejor de mi constantemente y es mi soporte emocional ante los problemas."/>
    <n v="5500000"/>
    <s v="Si"/>
    <s v="Juan José Largo Vélez"/>
    <s v="Hermano / Hermana"/>
    <s v="19"/>
    <s v="Estudiante"/>
    <s v="Universidad EAFIT"/>
    <n v="0"/>
    <s v="No"/>
    <s v=""/>
    <s v=""/>
    <s v=""/>
    <s v=""/>
    <s v=""/>
    <m/>
    <s v=""/>
    <s v=""/>
    <s v=""/>
    <s v=""/>
    <s v=""/>
    <s v=""/>
    <m/>
    <s v=""/>
    <s v="Somos una familia unida, con la meta de salir adelante todos juntos, mis padres nos alientan y apoyan en nuestra formación académica."/>
    <n v="0"/>
    <n v="0"/>
    <n v="0"/>
    <n v="0"/>
    <n v="109000000"/>
    <s v="No"/>
    <s v=""/>
    <s v=""/>
    <n v="0"/>
    <s v="No"/>
    <s v=""/>
    <s v=""/>
    <n v="0"/>
    <s v="Si"/>
    <s v="Moto"/>
    <s v="Bajaj"/>
    <s v="2016"/>
    <n v="4000000"/>
    <s v="El lote está destinado a la Construcción de vivienda familiar y la motocicleta es para el transporte diario"/>
    <n v="4"/>
    <n v="3"/>
    <n v="4"/>
    <n v="3"/>
    <n v="4"/>
    <n v="4"/>
    <n v="3"/>
    <n v="4"/>
    <n v="4"/>
    <n v="4"/>
    <n v="37"/>
    <s v="SI"/>
    <m/>
    <s v="SI, SON PRI"/>
    <s v="ok tienen todos los datos"/>
    <e v="#N/A"/>
    <e v="#N/A"/>
    <m/>
    <n v="3"/>
    <n v="10"/>
    <n v="8"/>
    <n v="10"/>
    <n v="10"/>
    <n v="15"/>
    <n v="20"/>
    <n v="18"/>
    <n v="14"/>
    <n v="79"/>
    <n v="0.4"/>
    <m/>
    <n v="3.5"/>
    <n v="4.5"/>
    <n v="3"/>
    <n v="3"/>
    <n v="3.5"/>
    <n v="4"/>
    <n v="6"/>
    <n v="4.5"/>
    <n v="81"/>
    <n v="0.6"/>
    <n v="0.6"/>
    <e v="#N/A"/>
    <m/>
    <m/>
    <n v="0"/>
    <m/>
    <m/>
    <s v="Ingeniería de Sistemas"/>
    <e v="#N/A"/>
    <s v="010"/>
    <e v="#N/A"/>
  </r>
  <r>
    <s v="TI"/>
    <n v="1025892265"/>
    <s v="1000385913"/>
    <s v="TOMAS ACUÑA ALZATE"/>
    <s v="Estudios por primera vez"/>
    <x v="1"/>
    <s v="Descartado por ingresos altos"/>
    <m/>
    <s v="En publico objetivo"/>
    <s v="1er Cohorte"/>
    <s v="Admitido"/>
    <s v="tacunaa@eafit.edu.co"/>
    <s v="tacunaa@eafit.edu.co"/>
    <s v="tomasacunaalzate@gmail.com"/>
    <s v="573177081749"/>
    <d v="2025-04-28T00:00:00"/>
    <s v="Activo en Programa"/>
    <s v="010-Ingeniería de Sistemas"/>
    <s v="E Ciencias Aplic e Ingeniería"/>
    <d v="2008-03-29T00:00:00"/>
    <n v="17"/>
    <s v="Antioquia"/>
    <s v="Medellín"/>
    <s v="Hombre"/>
    <s v="Soltero"/>
    <s v="NO"/>
    <s v="NO"/>
    <n v="0"/>
    <s v="NO"/>
    <s v="NA"/>
    <s v="NO"/>
    <s v="NA"/>
    <s v="NO"/>
    <s v="NA"/>
    <s v="No"/>
    <s v="316 5378288"/>
    <s v="573177081749"/>
    <s v="Estrato 2"/>
    <s v="MEDELLÍN"/>
    <s v="Antioquia"/>
    <s v="Medellín"/>
    <s v="No aplica, no soy foráneo"/>
    <s v="Familiar"/>
    <s v="SI"/>
    <s v="2024"/>
    <s v="AC202435938055"/>
    <n v="320"/>
    <n v="68"/>
    <n v="61"/>
    <s v="Pública"/>
    <s v="IE LICEO ANTIOQUEÑO"/>
    <n v="2024"/>
    <s v="Antioquia"/>
    <s v="Bello"/>
    <s v="BACHILLER"/>
    <s v="ACAD"/>
    <s v="TIPO: Pública, INSTITUCION: IE LICEO ANTIOQUEÑO, AÑO: 2024, CIUDAD: Bello, TITULO: BACHILLER"/>
    <s v="11"/>
    <s v="Escala de 0 - 5"/>
    <s v="Escala de 0 - 5"/>
    <s v="3,3"/>
    <s v="3,3"/>
    <m/>
    <s v="4,2"/>
    <s v="4,2"/>
    <m/>
    <n v="3.2"/>
    <n v="3.7"/>
    <m/>
    <n v="3.7"/>
    <n v="3.8"/>
    <m/>
    <s v="3,8"/>
    <s v="4,4"/>
    <m/>
    <s v="4"/>
    <s v="4"/>
    <m/>
    <s v="4,3"/>
    <s v="4"/>
    <m/>
    <s v="De 9 y 10"/>
    <n v="3.6000000000000005"/>
    <s v="NO"/>
    <s v="NA"/>
    <n v="0"/>
    <n v="0"/>
    <s v="No"/>
    <n v="40"/>
    <m/>
    <n v="50"/>
    <m/>
    <n v="40"/>
    <m/>
    <m/>
    <n v="43.333333333333336"/>
    <s v="Con detalle por componente"/>
    <s v="Deportistas de alto rendimiento o representativo,Trabajo social o comunitario,Espacios de liderazgo o representación social"/>
    <s v="Me visualizo como ingeniero en sistemas desarrollando soluciones tecnológicas que mejoren procesos en mi comunidad, como aplicaciones educativas, plataformas de gestión o herramientas digitales para emprendedores. Obtener esta beca me permitirá formarme con calidad, sin limitaciones económicas, y así adquirir los conocimientos necesarios para impulsar la transformación digital en mi localidad. Quiero demostrar que, desde la tecnología, también se puede construir un futuro más justo y con más oportunidades para todos."/>
    <s v="Otro"/>
    <s v="Universidad reconocida."/>
    <s v="Alta proyección de ingresos."/>
    <n v="3"/>
    <s v="1"/>
    <s v="NO"/>
    <s v="NO"/>
    <s v="Entre 3 y 4 millones"/>
    <s v="No"/>
    <n v="0"/>
    <s v="SI"/>
    <m/>
    <s v="SI"/>
    <s v="Beca"/>
    <s v="NO"/>
    <s v=""/>
    <s v=""/>
    <s v="Si"/>
    <s v="Ramon Acuña Jaramillo"/>
    <s v="Casado"/>
    <s v="TÉCNICA"/>
    <s v="41"/>
    <s v="Pensionado"/>
    <s v="Pensionado"/>
    <s v="Militar herido en combate"/>
    <s v="Ejercito Nacional de colombia"/>
    <n v="3196882"/>
    <s v="No"/>
    <s v="NO"/>
    <s v="NO"/>
    <s v="Es n padre muy atento y estricto, se preocupa por el bienestar de la familia y logra desempeñar bien su papel como cabeza de familia para las relaciones familiares"/>
    <s v="Si"/>
    <s v="Lina Marcela Alzate Londoño"/>
    <s v="Casado"/>
    <s v="MAESTRÍA"/>
    <s v="39"/>
    <s v="Secretaria"/>
    <s v="Empleado (con contrato laboral)"/>
    <s v="Ejecutivo"/>
    <s v="Howden Corredores De Seguros"/>
    <n v="3200000"/>
    <s v="No"/>
    <s v="SI"/>
    <s v="NO"/>
    <s v="Es una madre trabajadora, trabaja desde casa, que también es ama de hogar, así por lo tanto se preocupa por el bienestar diario, así como también de la comunicación en familia y el contacto entre padres e hijos aun así sea en distancia."/>
    <n v="6396882"/>
    <s v="Si"/>
    <s v="Adriana Maria Alzate Londoño"/>
    <s v="Tío / Tía"/>
    <s v="52"/>
    <s v="Contadora"/>
    <s v="Prodatec"/>
    <n v="2000000"/>
    <s v="Si"/>
    <s v="Diego Alejandro Flores Alzate"/>
    <s v="Primos"/>
    <s v="19"/>
    <s v="Auxiliar de empresa familiar"/>
    <s v="Prodatec"/>
    <n v="1000000"/>
    <s v="No"/>
    <s v="Carlos Alberto Flores"/>
    <s v="Tío / Tía"/>
    <s v="59"/>
    <s v="Ingeniero Industrial"/>
    <s v="Prodatec"/>
    <n v="5000000"/>
    <s v="Si"/>
    <s v="Familia animada y acogedora, mucha comunicación y aunque no sea parte del circulo familiar, siento que es un hogar mas."/>
    <n v="0"/>
    <n v="0"/>
    <n v="0"/>
    <n v="0"/>
    <n v="0"/>
    <s v="Si"/>
    <s v="KIA"/>
    <s v="2025"/>
    <n v="7000000"/>
    <s v="No"/>
    <s v=""/>
    <s v=""/>
    <n v="0"/>
    <s v="No"/>
    <s v=""/>
    <s v=""/>
    <s v=""/>
    <n v="0"/>
    <s v="Vehículo confortable y cómodo, muy adaptado para el transporte aunque se usa mucho en el grupo familiar"/>
    <n v="3"/>
    <n v="4"/>
    <n v="3"/>
    <n v="4"/>
    <n v="4"/>
    <n v="4"/>
    <n v="3"/>
    <n v="4"/>
    <n v="3"/>
    <n v="4"/>
    <n v="36"/>
    <s v="SI"/>
    <m/>
    <s v="SI, SON PRI"/>
    <s v="ok tienen todos los datos"/>
    <e v="#N/A"/>
    <e v="#N/A"/>
    <m/>
    <n v="3"/>
    <n v="10"/>
    <n v="10"/>
    <n v="5"/>
    <n v="10"/>
    <n v="15"/>
    <n v="15"/>
    <n v="14.5"/>
    <n v="14"/>
    <n v="69"/>
    <n v="0.4"/>
    <m/>
    <n v="3.5"/>
    <n v="3.5"/>
    <n v="3"/>
    <n v="4"/>
    <n v="3.5"/>
    <n v="3.5"/>
    <n v="3"/>
    <n v="4.5"/>
    <n v="69.5"/>
    <n v="0.5"/>
    <n v="0.4"/>
    <e v="#N/A"/>
    <m/>
    <m/>
    <n v="0"/>
    <m/>
    <m/>
    <s v="Ingeniería de Sistemas"/>
    <e v="#N/A"/>
    <s v="010"/>
    <e v="#N/A"/>
  </r>
  <r>
    <s v="TI"/>
    <n v="1025892506"/>
    <s v="1000407879"/>
    <s v="JUAN JOSE ARDILA CANO"/>
    <s v="Estudios por primera vez"/>
    <x v="1"/>
    <s v="Descartado por ingresos altos"/>
    <m/>
    <s v="En publico objetivo"/>
    <s v="3ra Cohorte"/>
    <s v="Admitido"/>
    <s v="jjardilac@eafit.edu.co"/>
    <e v="#N/A"/>
    <s v="juanjoseardilaca@gmail.com"/>
    <s v="573052582659"/>
    <d v="2025-05-30T00:00:00"/>
    <s v="Activo en Programa"/>
    <s v="012-Ingeniería de Producción"/>
    <s v="E Ciencias Aplic e Ingeniería"/>
    <d v="2008-04-19T00:00:00"/>
    <n v="17"/>
    <s v="Antioquia"/>
    <s v="Medellín"/>
    <s v="Hombre"/>
    <s v="Soltero"/>
    <s v="NO"/>
    <s v="NO"/>
    <n v="0"/>
    <s v="NO"/>
    <s v="NA"/>
    <s v="NO"/>
    <s v="NA"/>
    <s v="NO"/>
    <s v="NA"/>
    <s v="No"/>
    <s v="604/586-2088"/>
    <s v="573052582659"/>
    <s v="Estrato 2"/>
    <s v="CR 75#90 33"/>
    <s v="Antioquia"/>
    <s v="Medellín"/>
    <s v="No aplica, no soy foráneo"/>
    <s v="Familiar"/>
    <s v="SI"/>
    <s v="2024"/>
    <s v="AC202433232584"/>
    <n v="327"/>
    <n v="66"/>
    <n v="69"/>
    <s v="Privada"/>
    <s v="Colegio Divino Salvador Medellin"/>
    <n v="2024"/>
    <m/>
    <s v="Medellín"/>
    <s v="Bachillerato"/>
    <s v="Académico"/>
    <m/>
    <s v="11"/>
    <s v="Escala de 0 - 5"/>
    <s v="Escala de 0 - 5"/>
    <s v="4,07"/>
    <s v="4,08"/>
    <m/>
    <s v="4,17"/>
    <s v="4,26"/>
    <m/>
    <n v="3.83"/>
    <n v="3.61"/>
    <m/>
    <n v="3.98"/>
    <n v="4.21"/>
    <m/>
    <s v="3,83"/>
    <s v="3,82"/>
    <m/>
    <s v="3,69"/>
    <s v="4,39"/>
    <m/>
    <s v="3,7"/>
    <s v="4,43"/>
    <m/>
    <s v="De 9 y 10"/>
    <n v="3.9074999999999998"/>
    <s v="NO"/>
    <s v="NA"/>
    <n v="0"/>
    <n v="0"/>
    <s v="No"/>
    <n v="50"/>
    <m/>
    <n v="50"/>
    <m/>
    <n v="50"/>
    <m/>
    <m/>
    <n v="50"/>
    <s v="Con detalle por componente"/>
    <s v="Deportistas de alto rendimiento o representativo,Trabajo social o comunitario"/>
    <s v="Como ingeniero de producción , me veo optimizando procesos industriales para hacerlos más eficientes. Mi trabajo irá más allá de la gestión de recursos; Me enfocaré en implementar inteligencia artificial para el avance tecnológico. Esto no solo mejorará la producción y maximizará el uso de recursos, sino que también priorizará el cuidado del medio ambiente . Me imagino liderando equipos multidisciplinarios, fomentando la colaboración y promoviendo una cultura de mejora continua en las empresas de Antioquia._x000a__x000a_Esta beca es fundamental para mi desarrollo. Me daré acceso a conocimientos de vanguardia y habilidades especializadas que de otra forma serán inalcanzables. Es la llave que me abre las puertas a una formación de primer nivel._x000a__x000a_Visualizo transformar mi comunidad de varias maneras. Primero, creando empleos de calidad al optimizar las empresas existentes y robustecer la economía local. Segundo, al implementar prácticas sostenibles y eficientes , elevaré la calidad de las empresas antioqueñas, ayudándolas a tener una mayor presencia internacional y atrayendo así inversión y desarrollo a nuestra región."/>
    <s v="Página WEB"/>
    <s v="Internacionalización."/>
    <s v="Vocación."/>
    <n v="2"/>
    <s v="1"/>
    <s v="NO"/>
    <s v="NO"/>
    <s v="Entre 2 y 3 millones"/>
    <s v="No"/>
    <n v="0"/>
    <n v="0"/>
    <m/>
    <s v="Y"/>
    <m/>
    <s v="NO"/>
    <s v="NA"/>
    <s v="NA"/>
    <s v="Si"/>
    <s v="Edgar Ardila Cano"/>
    <s v="Otro"/>
    <s v="UNIVERSITARIOS"/>
    <s v="63"/>
    <s v="Jubilado"/>
    <s v="Pensionado"/>
    <s v="Jubilado"/>
    <s v="Ninguna"/>
    <n v="4000000"/>
    <s v="No"/>
    <s v="NO"/>
    <s v="NO"/>
    <s v="Ninguna"/>
    <s v="Si"/>
    <s v="Flor Alicia Cano Olaya"/>
    <s v="Otro"/>
    <s v="UNIVERSITARIOS"/>
    <s v="56"/>
    <s v="EMPLEADA"/>
    <s v="Empleado (con contrato laboral)"/>
    <s v="Profesional 2"/>
    <s v="Universidad De Antioquia"/>
    <n v="4850000"/>
    <s v="Si"/>
    <s v="SI"/>
    <s v="NO"/>
    <s v="Ninguna"/>
    <n v="8850000"/>
    <s v="Si"/>
    <s v="Maria Del Mar Ardila Cano"/>
    <s v="Hermano / Hermana"/>
    <s v="18"/>
    <s v="Estudiante"/>
    <s v="Universidad de Antioquia"/>
    <n v="0"/>
    <s v="No"/>
    <s v=""/>
    <s v=""/>
    <s v=""/>
    <s v=""/>
    <s v=""/>
    <m/>
    <s v=""/>
    <s v=""/>
    <s v=""/>
    <s v=""/>
    <s v=""/>
    <s v=""/>
    <m/>
    <s v=""/>
    <s v="Ninguna"/>
    <n v="210673000"/>
    <n v="0"/>
    <n v="0"/>
    <n v="0"/>
    <n v="0"/>
    <s v="Si"/>
    <s v="KIA"/>
    <s v="2016"/>
    <n v="24007000"/>
    <s v="No"/>
    <s v=""/>
    <s v=""/>
    <n v="0"/>
    <s v="No"/>
    <s v=""/>
    <s v=""/>
    <s v=""/>
    <n v="0"/>
    <s v="Ninguna"/>
    <n v="4"/>
    <n v="4"/>
    <n v="3"/>
    <n v="4"/>
    <n v="3"/>
    <n v="4"/>
    <n v="4"/>
    <n v="4"/>
    <n v="4"/>
    <n v="4"/>
    <n v="38"/>
    <s v="SI"/>
    <s v="SI, TIPO IE"/>
    <s v="PRI SIN TIPO IE"/>
    <s v="pendiente tipo ie"/>
    <e v="#N/A"/>
    <e v="#N/A"/>
    <m/>
    <n v="3"/>
    <n v="10"/>
    <n v="10"/>
    <n v="5"/>
    <n v="10"/>
    <n v="15"/>
    <n v="20"/>
    <n v="7.5"/>
    <n v="7.5"/>
    <n v="67.5"/>
    <n v="0.4"/>
    <m/>
    <n v="2"/>
    <n v="3.5"/>
    <n v="1"/>
    <n v="1"/>
    <n v="2"/>
    <n v="3.5"/>
    <n v="1"/>
    <n v="1"/>
    <n v="67.5"/>
    <n v="0.4"/>
    <n v="0.4"/>
    <e v="#N/A"/>
    <m/>
    <m/>
    <s v="SI, TIPO IE"/>
    <m/>
    <m/>
    <s v="Ingeniería de Producción"/>
    <e v="#N/A"/>
    <s v="012"/>
    <e v="#N/A"/>
  </r>
  <r>
    <s v="TI"/>
    <n v="1026062020"/>
    <s v="1000403071"/>
    <s v="VALENTINA PUERTA RUEDA"/>
    <s v="Estudios por primera vez"/>
    <x v="1"/>
    <s v="Descartado por est 1 e ingresos bajos"/>
    <m/>
    <s v="En publico objetivo"/>
    <s v="1er Cohorte"/>
    <s v="Admitido"/>
    <s v="vpuertar@eafit.edu.co"/>
    <s v="vpuertar@eafit.edu.co"/>
    <s v="valentinapuerta2007@gmail.com"/>
    <s v="312/767-2542"/>
    <d v="2025-04-28T00:00:00"/>
    <s v="Activo en Programa"/>
    <s v="199-Finanzas"/>
    <s v="E.Finanzas, Economía, Gobierno"/>
    <d v="2007-05-02T00:00:00"/>
    <n v="18"/>
    <s v="Antioquia"/>
    <s v="Ciudad Bolivar"/>
    <s v="Mujer"/>
    <s v="Soltero"/>
    <s v="NO"/>
    <s v="NO"/>
    <n v="0"/>
    <s v="NO"/>
    <s v="NA"/>
    <s v="NO"/>
    <s v="NA"/>
    <s v="NO"/>
    <s v="NA"/>
    <s v="No"/>
    <s v="311/727-7652"/>
    <s v="312/767-2542"/>
    <s v="Estrato 1"/>
    <s v="CIUDAD BOLIVAR"/>
    <s v="Antioquia"/>
    <s v="Ciudad Bolivar"/>
    <s v="Si"/>
    <s v="Propio"/>
    <s v="SI"/>
    <s v="2024"/>
    <s v="AC202430011957"/>
    <n v="326"/>
    <n v="66"/>
    <n v="60"/>
    <s v="Pública"/>
    <s v="I. E. R. FARALLONES"/>
    <n v="2024"/>
    <s v="Antioquia"/>
    <s v="Ciudad Bolivar"/>
    <s v="BACHILLER"/>
    <s v="ACAD"/>
    <s v="TIPO: Pública, INSTITUCION: I. E. R. FARALLONES, AÑO: 2024, CIUDAD: Ciudad Bolivar, TITULO: BACHILLER"/>
    <s v="11"/>
    <s v="Escala de 0 - 5"/>
    <s v="Escala de 0 - 5"/>
    <s v="4,4"/>
    <s v="4,4"/>
    <m/>
    <s v="4,6"/>
    <s v="4,6"/>
    <m/>
    <n v="3.3"/>
    <n v="4.4000000000000004"/>
    <m/>
    <n v="4.5999999999999996"/>
    <n v="4.5"/>
    <m/>
    <s v="4,4"/>
    <s v="4,6"/>
    <m/>
    <s v="4,4"/>
    <s v="4,4"/>
    <m/>
    <s v="4,6"/>
    <s v="4,4"/>
    <m/>
    <s v="De 9 y 10"/>
    <n v="4.2"/>
    <s v="NO"/>
    <s v="NA"/>
    <n v="0"/>
    <n v="0"/>
    <s v="No"/>
    <n v="40"/>
    <m/>
    <n v="40"/>
    <m/>
    <n v="40"/>
    <m/>
    <s v="Vive en ciudad Bolívar y le impacta mucho los mercados financieros"/>
    <n v="40"/>
    <s v="Con detalle por componente"/>
    <s v="Espacios de liderazgo o representación social,Artísticas o culturales,Trabajo social o comunitario"/>
    <s v="En el futuro, me visualizo trabajando en entidades reconocidas como BBVA o Bancolombia en el área de proyección social, donde pueda gestionar y organizar recursos para generar impacto positivo en las comunidades. Mi objetivo es aprovechar el conocimiento adquirido en EAFIT en el pregrado en Finanzas para diseñar estrategias que impulsen el desarrollo sostenible y el bienestar social. Además, me apasiona el emprendimiento y deseo potencializar los negocio basados en productos autóctonos de mi región, promoviendo la economía local y resaltando la riqueza cultural de nuestra tierra._x000a__x000a_La beca representa una oportunidad invaluable para potenciar estos sueños. A través de ella, podré acceder a una formación integral que fortalecerá mis habilidades en gestión financiera con un enfoque social y sostenible. Con este conocimiento, podré contribuir activamente a los proyectos de conservación ambiental de mi comunidad, asegurando la protección de nuestros recursos naturales y promoviendo prácticas económicas responsables. Esto es esencial, ya que vivo cerca de un páramo, un ecosistema clave que requiere preservación y gestión adecuada para garantizar su equilibrio y beneficio para las comunidades cercanas._x000a__x000a_Las finanzas tienen un impacto directo en múltiples aspectos de la vida, tanto a nivel personal como profesional. Hoy en día, su aplicación se extiende hacia la sostenibilidad, convirtiéndose en una herramienta clave para construir un futuro equitativo y sustentable. Al integrarlas con la tecnología, surgen soluciones innovadoras que optimizan la gestión de recursos, amplían el acceso a servicios financieros y mejoran la calidad de vida. Aplicando estos conocimientos, podré impulsar la educación financiera, fortalecer el emprendimiento local y contribuir al crecimiento económico de mi región de manera sostenible."/>
    <s v="Página WEB"/>
    <s v="Por la calidad académica."/>
    <s v="Vocación."/>
    <n v="3"/>
    <s v="3"/>
    <s v="SI"/>
    <s v="NO"/>
    <s v="Entre 1 y 2 millones"/>
    <s v="No"/>
    <n v="0"/>
    <n v="0"/>
    <m/>
    <s v="SI"/>
    <s v="Beca"/>
    <s v="NO"/>
    <s v=""/>
    <s v=""/>
    <s v="Si"/>
    <s v="Luis Carlos Puerta Castañeda"/>
    <s v="Casado"/>
    <s v="BACHILLERATO"/>
    <s v="58"/>
    <s v="Caficultor"/>
    <s v="Trabajador informal"/>
    <s v="Siembra y recolección del café"/>
    <s v="NA"/>
    <n v="1280000"/>
    <s v="Si"/>
    <s v="SI"/>
    <s v="NO"/>
    <s v="Es muy trabajador, es una persona muy activa dentro de la comunidad del Corregimiento Farallones, siempre me ha inspirado a contribuir a la conservación del medio ambiente y a mi comunidad, ademas me motiva y me apoya para que pueda acceder a la educación superior."/>
    <s v="Si"/>
    <s v="Aura Esneda Rueda Cifuentes"/>
    <s v="Casado"/>
    <s v="PRIMARIA"/>
    <s v="41"/>
    <s v="ama de casa"/>
    <s v="Labores del hogar y cuidado"/>
    <s v="Ama de casa"/>
    <s v="NA"/>
    <n v="0"/>
    <s v="Si"/>
    <s v="NO"/>
    <s v="NO"/>
    <s v="Es una persona activa y creativa dentro de la comunidad, es participativa y apoya las iniciativas de la Junta de Acción comunal. Ella me ha motivado a esforzarme cada día por las cosas que quiero lograr, me ha demostrado total apoyo para que pueda acceder a la educación superior."/>
    <n v="1280000"/>
    <s v="Si"/>
    <s v="Evaluna Puerta Rueda"/>
    <s v="Hermano / Hermana"/>
    <s v="8"/>
    <s v="Estudiante"/>
    <s v="Institución Educativa Rural Farallones"/>
    <n v="0"/>
    <s v="No"/>
    <s v=""/>
    <s v=""/>
    <s v=""/>
    <s v=""/>
    <s v=""/>
    <m/>
    <s v=""/>
    <s v=""/>
    <s v=""/>
    <s v=""/>
    <s v=""/>
    <s v=""/>
    <m/>
    <s v=""/>
    <s v="Mi familia me apoya en mis proyectos a futuro de acceder a estudiar en una universidad por fuera de mi municipio."/>
    <n v="0"/>
    <n v="0"/>
    <n v="0"/>
    <n v="0"/>
    <n v="9005000"/>
    <s v="No"/>
    <s v=""/>
    <s v=""/>
    <n v="0"/>
    <s v="No"/>
    <s v=""/>
    <s v=""/>
    <n v="0"/>
    <s v="No"/>
    <s v=""/>
    <s v=""/>
    <s v=""/>
    <n v="0"/>
    <s v="No hay observaciones"/>
    <n v="4"/>
    <n v="3"/>
    <n v="3"/>
    <n v="4"/>
    <n v="4"/>
    <n v="4"/>
    <n v="4"/>
    <n v="3"/>
    <n v="4"/>
    <n v="4"/>
    <n v="37"/>
    <s v="SI"/>
    <m/>
    <s v="SI, SON PRI"/>
    <s v="ok tienen todos los datos"/>
    <e v="#N/A"/>
    <e v="#N/A"/>
    <m/>
    <n v="2"/>
    <n v="6"/>
    <n v="6"/>
    <n v="5"/>
    <n v="15"/>
    <n v="15"/>
    <n v="10"/>
    <n v="17.5"/>
    <n v="17"/>
    <n v="68"/>
    <n v="0.5"/>
    <m/>
    <n v="3.5"/>
    <n v="2.5"/>
    <n v="8"/>
    <n v="3"/>
    <n v="3.5"/>
    <n v="2.5"/>
    <n v="8"/>
    <n v="3.5"/>
    <n v="68.5"/>
    <n v="0.6"/>
    <n v="0.5"/>
    <e v="#N/A"/>
    <m/>
    <m/>
    <n v="0"/>
    <m/>
    <m/>
    <s v="Finanzas"/>
    <e v="#N/A"/>
    <s v="199"/>
    <e v="#N/A"/>
  </r>
  <r>
    <s v="CC"/>
    <n v="1026136219"/>
    <s v="1000404374"/>
    <s v="JULIAN GIRALDO CASTAÑO"/>
    <s v="Estudios por primera vez"/>
    <x v="1"/>
    <s v="Descartado por notas"/>
    <m/>
    <s v="En publico objetivo"/>
    <s v="2da Cohorte"/>
    <s v="Admitido"/>
    <s v="jgiraldoc5@eafit.edu.co"/>
    <e v="#N/A"/>
    <s v="giraldojulian82@gmail.com"/>
    <s v="321/702-5310"/>
    <d v="2025-05-16T00:00:00"/>
    <s v="Activo en Programa"/>
    <s v="010-Ingeniería de Sistemas"/>
    <s v="E Ciencias Aplic e Ingeniería"/>
    <d v="2006-11-29T00:00:00"/>
    <n v="19"/>
    <s v="Antioquia"/>
    <s v="Caldas"/>
    <s v="Hombre"/>
    <s v="Soltero"/>
    <s v="NO"/>
    <s v="NO"/>
    <n v="0"/>
    <s v="NO"/>
    <s v="NA"/>
    <s v="NO"/>
    <s v="NA"/>
    <s v="NO"/>
    <s v="NA"/>
    <s v="No"/>
    <s v="610-6533"/>
    <s v="321/702-5310"/>
    <s v="Estrato 2"/>
    <s v="CR 50 #92 SUR 170"/>
    <s v="Antioquia"/>
    <s v="La Estrella"/>
    <s v="No aplica, no soy foráneo"/>
    <s v="Propio"/>
    <s v="SI"/>
    <s v="2024"/>
    <s v="AC202437406366"/>
    <n v="360"/>
    <n v="70"/>
    <n v="73"/>
    <s v="Pública"/>
    <s v="I.E. PBRO.ANTONIO BAENA SALAZA"/>
    <n v="2024"/>
    <s v="Antioquia"/>
    <s v="Sabaneta"/>
    <s v="BACHILLER"/>
    <s v="TECN"/>
    <s v="TIPO: Pública, INSTITUCION: I.E. PBRO.ANTONIO BAENA SALAZA, AÑO: 2024, CIUDAD: Sabaneta, TITULO: BACHILLER"/>
    <s v="11"/>
    <s v="Escala de 0 - 5"/>
    <s v="Escala de 0 - 5"/>
    <s v="4,5"/>
    <s v="4,5"/>
    <m/>
    <s v="4"/>
    <s v="4"/>
    <m/>
    <n v="4.5999999999999996"/>
    <n v="4.8"/>
    <m/>
    <n v="4.5999999999999996"/>
    <n v="3.8"/>
    <m/>
    <s v="3,5"/>
    <s v="4,3"/>
    <m/>
    <s v="4,6"/>
    <s v="4,6"/>
    <m/>
    <s v="4,3"/>
    <s v="4,5"/>
    <m/>
    <s v="De 9 y 10"/>
    <n v="4.4499999999999993"/>
    <s v="NO"/>
    <s v="NA"/>
    <n v="0"/>
    <n v="0"/>
    <s v="No"/>
    <n v="50"/>
    <m/>
    <n v="50"/>
    <m/>
    <n v="50"/>
    <m/>
    <m/>
    <n v="50"/>
    <s v="Con detalle por componente"/>
    <s v="Artísticas o culturales,Deportistas de alto rendimiento o representativo,Trabajo social o comunitario"/>
    <s v="Me imagino como un ético profesional que dirige proyectos tecnológicos en comunidades donde estas capacidades están muy limitadas y necesitan un impulso para poder crecer, como en mi propio barrio. _x000a__x000a_Quiero fundar un gremio de ingenieros donde podamos dar solución a problemas emergentes y resolver problemas sociales con soluciones prácticas y sostenibles (poniendo en practica mis conocimientos en SCRUM)._x000a__x000a_Uno de mis mayores propósitos es desarrollar una APP que promueva el acceso a viviendas para estudiantes que llegan desde fuera a estudiar y no tienen donde residir, que puedan encontrar opciones mucho más económicas y asequibles; compartiendo con personas que tengan esta misma problemática, y que al mismo tiempo se dé visibilidad a aquellas personas emprendedores que ofrecen viviendas de alquiler pero no tienen como promocionarlas. Dando el paso a que las ciudades principales puedan dar un paso más allá a la transformación de la educación._x000a__x000a_Mi visión de la ingeniería es más que el aspecto técnico, quiero utilizarla como una forma de poder generar algún tipo de impacto social, aportando mis habilidades a personas que realmente la necesiten con un enfoque humano y colaborativo."/>
    <s v="EAFIT es una experiencia"/>
    <s v="Por la calidad académica."/>
    <s v="Vocación."/>
    <n v="2"/>
    <s v="2"/>
    <s v="NO"/>
    <s v="NO"/>
    <s v="Entre 1 y 2 millones"/>
    <s v="No"/>
    <s v="SI"/>
    <n v="0"/>
    <m/>
    <s v="SI"/>
    <s v="Beca"/>
    <s v="SI"/>
    <s v="CANTINA GALLITO DE ORO S.A.S"/>
    <s v="Vendedor"/>
    <s v="Si"/>
    <s v="Elkin Antonio Giraldo Castañeda"/>
    <s v="Casado"/>
    <s v="BACHILLERATO"/>
    <s v="59"/>
    <s v="Técnico en refrigeración."/>
    <s v="Empleado (con contrato laboral)"/>
    <s v="Funciones de instalación y mantenimiento de aire acondicionado."/>
    <s v="SMART WIND"/>
    <n v="1423500"/>
    <s v="Si"/>
    <s v="NO"/>
    <s v="NO"/>
    <s v=""/>
    <s v="Si"/>
    <s v="Marleny del Socorro Castaño Castaño"/>
    <s v="Casado"/>
    <s v="BACHILLERATO"/>
    <s v="57"/>
    <s v="Ama de casa."/>
    <s v="Labores del hogar y cuidado"/>
    <s v="NA"/>
    <s v="NA"/>
    <n v="0"/>
    <s v="Si"/>
    <s v="NO"/>
    <s v="NO"/>
    <m/>
    <n v="1423500"/>
    <s v="No, solo vivo con mis padres"/>
    <s v=""/>
    <s v=""/>
    <s v=""/>
    <s v=""/>
    <s v=""/>
    <m/>
    <s v=""/>
    <s v=""/>
    <s v=""/>
    <s v=""/>
    <s v=""/>
    <s v=""/>
    <m/>
    <s v=""/>
    <s v=""/>
    <s v=""/>
    <s v=""/>
    <s v=""/>
    <s v=""/>
    <m/>
    <s v=""/>
    <s v=""/>
    <n v="47309000"/>
    <n v="0"/>
    <n v="0"/>
    <n v="0"/>
    <n v="0"/>
    <s v="No"/>
    <s v=""/>
    <s v=""/>
    <n v="0"/>
    <s v="No"/>
    <s v=""/>
    <s v=""/>
    <n v="0"/>
    <s v="No"/>
    <s v=""/>
    <s v=""/>
    <s v=""/>
    <n v="0"/>
    <s v="Mi padre solía tener una moto de bajo cc para transportarse en el trabajo, pero esta hace más de un año que no funciona y se encuentra en un estado casi desechable."/>
    <n v="4"/>
    <n v="4"/>
    <n v="3"/>
    <n v="4"/>
    <n v="4"/>
    <n v="4"/>
    <n v="3"/>
    <n v="4"/>
    <n v="4"/>
    <n v="4"/>
    <n v="38"/>
    <s v="SI"/>
    <m/>
    <s v="SI, SON PRI"/>
    <s v="ok tienen todos los datos"/>
    <s v="Negada"/>
    <n v="20251"/>
    <m/>
    <n v="3"/>
    <n v="10"/>
    <n v="10"/>
    <n v="10"/>
    <n v="15"/>
    <n v="15"/>
    <n v="20"/>
    <n v="17"/>
    <n v="17"/>
    <n v="87"/>
    <n v="0.5"/>
    <m/>
    <n v="3.5"/>
    <n v="2.5"/>
    <n v="8"/>
    <n v="3"/>
    <n v="3.5"/>
    <n v="2.5"/>
    <n v="8"/>
    <n v="3"/>
    <n v="87"/>
    <n v="0.6"/>
    <n v="0.6"/>
    <e v="#N/A"/>
    <m/>
    <m/>
    <n v="0"/>
    <m/>
    <m/>
    <s v="Ingeniería de Sistemas"/>
    <e v="#N/A"/>
    <s v="010"/>
    <e v="#N/A"/>
  </r>
  <r>
    <s v="CC"/>
    <n v="1026136271"/>
    <s v="1000405114"/>
    <s v="SIMÓN ROJAS CASTAÑO"/>
    <s v="Estudios por primera vez"/>
    <x v="2"/>
    <s v="No cumple, puntaje ICFES menor a 300"/>
    <m/>
    <s v="En publico objetivo"/>
    <s v="2da Cohorte"/>
    <s v="Admitido"/>
    <s v="srojasc6@eafit.edu.co"/>
    <e v="#N/A"/>
    <s v="sirocas.2006@gmail.com"/>
    <s v="573195867681"/>
    <d v="2025-05-16T00:00:00"/>
    <s v="Activo en Programa"/>
    <s v="010-Ingeniería de Sistemas"/>
    <s v="E Ciencias Aplic e Ingeniería"/>
    <d v="2006-11-26T00:00:00"/>
    <n v="19"/>
    <s v="Antioquia"/>
    <s v="Caldas"/>
    <s v="Hombre"/>
    <s v="Soltero"/>
    <s v="NO"/>
    <s v="NO"/>
    <n v="0"/>
    <s v="NO"/>
    <s v="NA"/>
    <s v="NO"/>
    <s v="NA"/>
    <s v="NO"/>
    <s v="NA"/>
    <s v="No"/>
    <s v="573204040199"/>
    <s v="573195867681"/>
    <s v="Estrato 3"/>
    <s v="CL 42 SUR #65 A 84 ( 141 )"/>
    <s v="Antioquia"/>
    <s v="Medellín"/>
    <s v="No aplica, no soy foráneo"/>
    <s v="Propio"/>
    <s v="SI"/>
    <s v="2024"/>
    <s v="AC202432531952"/>
    <n v="286"/>
    <n v="63"/>
    <n v="49"/>
    <s v="Privada"/>
    <s v="COLEGIO EMPRESARIAL"/>
    <n v="2024"/>
    <s v="Antioquia"/>
    <s v="Medellín"/>
    <s v="BACHILLER"/>
    <s v="TECN"/>
    <s v="TIPO: Privada, INSTITUCION: COLEGIO EMPRESARIAL, AÑO: 2024, CIUDAD: Medellín, TITULO: BACHILLER"/>
    <s v="11"/>
    <s v="Escala de 0 - 100"/>
    <s v="Escala de 0 - 5"/>
    <s v="4,5"/>
    <s v="4"/>
    <m/>
    <s v="4,5"/>
    <s v="4,5"/>
    <m/>
    <n v="4.5"/>
    <n v="4"/>
    <m/>
    <n v="4"/>
    <n v="4"/>
    <m/>
    <s v="4"/>
    <s v="4,5"/>
    <m/>
    <s v="4"/>
    <s v="4,5"/>
    <m/>
    <s v="4"/>
    <s v="4"/>
    <m/>
    <s v="De 9 y 10"/>
    <n v="4.125"/>
    <s v="NO"/>
    <s v="NA"/>
    <n v="0"/>
    <n v="0"/>
    <s v="No"/>
    <n v="50"/>
    <m/>
    <n v="50"/>
    <m/>
    <n v="45"/>
    <m/>
    <m/>
    <n v="48.333333333333336"/>
    <s v="Con detalle por componente"/>
    <s v="Deportistas de alto rendimiento o representativo,Espacios de liderazgo o representación social"/>
    <s v="Inspirar vidas, crear conocimiento, transformar sociedades; más que el lema de la universidad, es el trazo de mi futuro, y mi actuar en el deporte que más amo, el karate. _x000a__x000a_Un ingeniero en sistemas es un líder nato, pone su conocimiento tecnológico al servicio del progreso y, en conjunto con otras disciplinas, transforma ideas en soluciones. Así me visualizo para el futuro. Lideraría, sería el arquitecto, de equipos que creen software con impacto social. No busco reconocimiento, sino motivar futuros ingenieros, tal como Linus Torvalds lo hizo conmigo. Gracias a él veo a los sistemas como un lienzo en blanco donde los obstáculos pueden convertirse en trampolines y el software en la llave para la innovación._x000a__x000a_Quiero especializarme en ciberseguridad, porque proteger la información es defender el camino hacia el desarrollo. Aspiro liderar proyectos más seguros, éticos, accesibles y que abran las puertas al cambio._x000a__x000a_La beca representa la posibilidad de construir mi futuro y formarme como ingeniero en la universidad que comparte mi visión de lo que significa ser un profesional._x000a__x000a_Mi objetivo es transformar la sociedad en la que vivo. Con el conocimiento que adquiera, desarrollaría sistemas que apoyen a los pequeños emprendedores de mi comunidad, brindando soluciones de software que permitan libre acceso a la innovación._x000a__x000a_También deseo motivar a otros a iniciar en la tecnología, dando charlas y talleres educativos que permitan a los estudiantes apropiarse de los sistemas. Deseo regresar al lugar donde me gradué, donde tuve mi técnica en desarrollo de software, y contribuir a mejorar el programa que me formó._x000a__x000a_Así como hoy sueño con acceder a esta beca, en el futuro quisiera ayudar a otros a lograrlo, apoyando económicamente a nuevas generaciones, desde la universidad que inspira mi vida, crea el conocimiento que deseo aprender y transforma la sociedad que quiero cambiar."/>
    <s v="Estudiantes de EAFIT"/>
    <s v="Por la calidad académica."/>
    <s v="Vocación."/>
    <n v="3"/>
    <s v="1"/>
    <s v="SI"/>
    <s v="NO"/>
    <s v="Menos de 1millón"/>
    <s v="No"/>
    <n v="0"/>
    <n v="0"/>
    <m/>
    <s v="SI"/>
    <s v="Beca"/>
    <s v="NO"/>
    <s v=""/>
    <s v=""/>
    <s v="Si"/>
    <s v="Alejandro Rojas Cardona"/>
    <s v="Casado"/>
    <s v="TECNOLOGÍA"/>
    <s v="45"/>
    <s v="Tecnólogo electrónico"/>
    <s v="Empleado (con contrato laboral)"/>
    <s v="Operador de estación"/>
    <s v="Metro de Medellín"/>
    <n v="4657528"/>
    <s v="Si"/>
    <s v="NO"/>
    <s v="NO"/>
    <s v="Mi padre actualmente vela por 3 personas en mi hogar, cubre todos los gastos de mi madre, mi hermana y mi persona. Además, se encuentra pagando varias deudas de considerable valor, entre ellas&amp;#58; - Crédito hipotécario con el Metro de Medellín&amp;#58; Por este se paga aproximadamente $1.000.000 mensual- Crédito VENFI para la moto&amp;#58; por esta paga al rededor de $350.000 mensualmente- Préstamo en la JFK por créditos hipotécarios&amp;#58; por este paga aproximadamente $600.000 mensualPor otra parte, cabe resaltar que mi familia tiene grandes gastos al momento de cubrir nuestras necesidades&amp;#58; - Alimentación&amp;#58; alrededor de $1.000.000 mensuales- Administración (de la unidad donde se encuentra la casa)&amp;#58; alrededor de $250.000 mensuales- Servicios&amp;#58; alrededor de $330.000 mensuales- Pasajes&amp;#58; alrededor de $200.000 mensuales"/>
    <s v="Si"/>
    <s v="Luisa Fernanda Castaño Holguin"/>
    <s v="Casado"/>
    <s v="BACHILLERATO"/>
    <s v="40"/>
    <s v="Técnica en Comercio exterior"/>
    <s v="Labores del hogar y cuidado"/>
    <s v="Ama de casa"/>
    <s v="N/A"/>
    <n v="0"/>
    <s v="Si"/>
    <s v="NO"/>
    <s v="NO"/>
    <m/>
    <n v="4657528"/>
    <s v="Si"/>
    <s v="Violeta Rojas Castaño"/>
    <s v="Hermano / Hermana"/>
    <s v="13"/>
    <s v="Estudiante"/>
    <s v="Colegio Empresarial"/>
    <n v="0"/>
    <s v="No"/>
    <s v=""/>
    <s v=""/>
    <s v=""/>
    <s v=""/>
    <s v=""/>
    <m/>
    <s v=""/>
    <s v=""/>
    <s v=""/>
    <s v=""/>
    <s v=""/>
    <s v=""/>
    <m/>
    <s v=""/>
    <s v=""/>
    <n v="225000000"/>
    <n v="0"/>
    <n v="0"/>
    <n v="0"/>
    <n v="0"/>
    <s v="Si"/>
    <s v="Honda"/>
    <s v="2026"/>
    <n v="12000000"/>
    <s v="No"/>
    <s v=""/>
    <s v=""/>
    <n v="0"/>
    <s v="No"/>
    <s v=""/>
    <s v=""/>
    <s v=""/>
    <n v="0"/>
    <s v="Actualmente se estan pagando."/>
    <n v="4"/>
    <n v="3"/>
    <n v="3"/>
    <n v="4"/>
    <n v="4"/>
    <n v="4"/>
    <n v="3"/>
    <n v="4"/>
    <n v="4"/>
    <n v="4"/>
    <n v="37"/>
    <s v="SI"/>
    <m/>
    <s v="SI, SON PRI"/>
    <s v="ok tienen todos los datos"/>
    <e v="#N/A"/>
    <e v="#N/A"/>
    <m/>
    <n v="3"/>
    <n v="10"/>
    <n v="8"/>
    <n v="0"/>
    <n v="15"/>
    <n v="15"/>
    <n v="20"/>
    <n v="11.5"/>
    <n v="11.5"/>
    <n v="71.5"/>
    <n v="0.4"/>
    <m/>
    <n v="2"/>
    <n v="2.5"/>
    <n v="6"/>
    <n v="1"/>
    <n v="2"/>
    <n v="2.5"/>
    <n v="6"/>
    <n v="1"/>
    <n v="69.5"/>
    <n v="0.4"/>
    <s v="Negado"/>
    <e v="#N/A"/>
    <m/>
    <m/>
    <n v="0"/>
    <m/>
    <m/>
    <s v="Ingeniería de Sistemas"/>
    <e v="#N/A"/>
    <m/>
    <e v="#N/A"/>
  </r>
  <r>
    <s v="TI"/>
    <n v="1026138379"/>
    <s v="1000404901"/>
    <s v="MARIANA ACEVEDO VELEZ"/>
    <s v="Estudios por primera vez"/>
    <x v="1"/>
    <s v="Descartado por propiedades"/>
    <m/>
    <s v="En publico objetivo"/>
    <s v="2da Cohorte"/>
    <s v="Admitido"/>
    <s v="macevedov@eafit.edu.co"/>
    <e v="#N/A"/>
    <s v="umarianainfo@gmail.com"/>
    <s v="573135344956"/>
    <d v="2025-05-16T00:00:00"/>
    <s v="Activo en Programa"/>
    <s v="001-Administración de Negocios"/>
    <s v="Escuela de Administración"/>
    <d v="2007-09-14T00:00:00"/>
    <n v="18"/>
    <s v="Boyacá"/>
    <s v="Caldas"/>
    <s v="Mujer"/>
    <s v="Soltero"/>
    <s v="NO"/>
    <s v="NO"/>
    <n v="0"/>
    <s v="NO"/>
    <s v="NA"/>
    <s v="NO"/>
    <s v="NA"/>
    <s v="NO"/>
    <s v="NA"/>
    <s v="No"/>
    <s v="313/238-5612"/>
    <s v="573135344956"/>
    <s v="Estrato 2"/>
    <s v="VERSALLES LA QUIEBRITA"/>
    <s v="Antioquia"/>
    <s v="Santa Bárbara"/>
    <s v="Si"/>
    <s v="Familiar"/>
    <s v="SI"/>
    <s v="2024"/>
    <s v="AC202434275335"/>
    <n v="313"/>
    <n v="57"/>
    <n v="65"/>
    <s v="Pública"/>
    <s v="Institución Educativa Versalles"/>
    <n v="2024"/>
    <m/>
    <s v="Santa Bárbara"/>
    <s v="Bachillerato"/>
    <s v="Académico"/>
    <m/>
    <s v="11"/>
    <s v="Escala de 0 - 5"/>
    <s v="Escala de 0 - 5"/>
    <s v="4,5"/>
    <s v="4,5"/>
    <m/>
    <s v="4,5"/>
    <s v="4,5"/>
    <m/>
    <n v="5"/>
    <n v="4.5"/>
    <m/>
    <n v="4.5"/>
    <n v="5"/>
    <m/>
    <s v="5"/>
    <s v="4,5"/>
    <m/>
    <s v="4,5"/>
    <s v="4,5"/>
    <m/>
    <s v="4,5"/>
    <s v="4,5"/>
    <m/>
    <s v="De 9 y 10"/>
    <n v="4.75"/>
    <s v="NO"/>
    <s v="NA"/>
    <n v="0"/>
    <n v="0"/>
    <s v="No"/>
    <n v="40"/>
    <m/>
    <n v="50"/>
    <m/>
    <n v="50"/>
    <m/>
    <s v="Vive en Versalles, fue la mejor bachiller del municipio y por esta razón se postuló la beca, le gustaría estudiar administración para impactar positivamente su comunidad, conoce EAFIT por un profesor que le recomendó la U."/>
    <n v="46.666666666666664"/>
    <s v="Con detalle por componente"/>
    <s v="Artísticas o culturales,Deportistas de alto rendimiento o representativo,Trabajo social o comunitario"/>
    <s v="Me visualizo como una administradora de negocios con visión global, capaz de guiar proyectos que integren culturas, impulsen el desarrollo empresarial, que generen oportunidades sostenibles en mi región y ante todo siempre siendo consiente de la importancia de los recursos. _x000a_Desde hace un buen tiempo he tenido una gran fascinación por los idiomas y por la forma del comercio entre países, todo esta curiosidad me llevo a investigar sobre las carreras universitarias que se tenían ese enfoque y así fue como encontré Administración de Negocios en EAFIT. _x000a_En EAFIT, puedo ver mas que solo un programa académico, este es un lugar propicio para formar a personas con visión, con ética y de mente abierta para innovar e impulsar el talento; por lo tanto haber sido admitida a la universidad representa un paso mas, para lograr las metas que no solo involucran a una persona, sino que se van volviendo algo de la comunidad. Es un sueño que he ido construyendo con disciplina, fe y apoyo de muchos, algo que ahora veo mucho mas cerca y la obtención de la beca es la posibilidad real de hacer este anhelo posible. Agradezco de ante mano la oportunidad de que le están brindando a muchas personas con esa clase de ayuda, es una forma mas en la que se construye un camino lleno de esperanza y motivación."/>
    <s v="Empleados o profesores EAFIT"/>
    <s v="Por la calidad académica."/>
    <s v="Vocación."/>
    <n v="2"/>
    <s v="0"/>
    <s v="SI"/>
    <s v="NO"/>
    <s v="Entre 1 y 2 millones"/>
    <s v="No"/>
    <n v="0"/>
    <n v="0"/>
    <m/>
    <s v="SI"/>
    <s v="Beca"/>
    <s v="NO"/>
    <s v=""/>
    <s v=""/>
    <s v="Si"/>
    <s v="Eusebio Andrés Acevedo Vanegas"/>
    <s v="Casado"/>
    <s v="BACHILLERATO"/>
    <s v="45"/>
    <s v="Auxiliar de construcción"/>
    <s v="Empleado (con contrato laboral)"/>
    <s v="Auxiliar de construcción"/>
    <s v="Yuli Andrea Tirado Arenas"/>
    <n v="1423500"/>
    <s v="Si"/>
    <s v="SI"/>
    <s v="NO"/>
    <s v=""/>
    <s v="Si"/>
    <s v="Elizabeth Cristina Velez Londoño"/>
    <s v="Casado"/>
    <s v="PRIMARIA"/>
    <s v="45"/>
    <s v="ama de casa"/>
    <s v="Labores del hogar y cuidado"/>
    <s v="Ama de casa"/>
    <s v="NA"/>
    <n v="0"/>
    <s v="Si"/>
    <s v="NO"/>
    <s v="NO"/>
    <m/>
    <n v="1423500"/>
    <s v="No, solo vivo con mis padres"/>
    <s v=""/>
    <s v=""/>
    <s v=""/>
    <s v=""/>
    <s v=""/>
    <m/>
    <s v=""/>
    <s v=""/>
    <s v=""/>
    <s v=""/>
    <s v=""/>
    <s v=""/>
    <m/>
    <s v=""/>
    <s v=""/>
    <s v=""/>
    <s v=""/>
    <s v=""/>
    <s v=""/>
    <m/>
    <s v=""/>
    <s v=""/>
    <n v="300000000"/>
    <n v="0"/>
    <n v="0"/>
    <n v="0"/>
    <n v="0"/>
    <s v="Si"/>
    <s v=" Renault"/>
    <s v="2011"/>
    <n v="15000000"/>
    <s v="No"/>
    <s v=""/>
    <s v=""/>
    <n v="0"/>
    <s v="Si"/>
    <s v="Moto"/>
    <s v="Discover"/>
    <s v="2014"/>
    <n v="1500000"/>
    <m/>
    <n v="4"/>
    <n v="4"/>
    <n v="4"/>
    <n v="4"/>
    <n v="4"/>
    <n v="4"/>
    <n v="4"/>
    <n v="4"/>
    <n v="4"/>
    <n v="4"/>
    <n v="40"/>
    <s v="SI"/>
    <s v="SI, TIPO IE"/>
    <s v="PRI SIN TIPO IE"/>
    <s v="pendiente tipo ie"/>
    <e v="#N/A"/>
    <e v="#N/A"/>
    <m/>
    <n v="3"/>
    <n v="10"/>
    <n v="10"/>
    <n v="5"/>
    <n v="20"/>
    <n v="15"/>
    <n v="20"/>
    <n v="16"/>
    <n v="16"/>
    <n v="86"/>
    <n v="0.5"/>
    <m/>
    <n v="3.5"/>
    <n v="3.5"/>
    <n v="8"/>
    <n v="1"/>
    <n v="3.5"/>
    <n v="3.5"/>
    <n v="8"/>
    <n v="1"/>
    <n v="86"/>
    <n v="0.5"/>
    <n v="0.5"/>
    <e v="#N/A"/>
    <m/>
    <m/>
    <s v="SI, TIPO IE"/>
    <m/>
    <m/>
    <s v="Administración de Negocios"/>
    <e v="#N/A"/>
    <s v="001"/>
    <e v="#N/A"/>
  </r>
  <r>
    <s v="TI"/>
    <n v="1026139510"/>
    <s v="1000035743"/>
    <s v="EMMANUEL SOTO RESTREPO"/>
    <s v="Estudios por primera vez"/>
    <x v="1"/>
    <s v="Descartado por notas"/>
    <m/>
    <s v="En publico objetivo"/>
    <s v="2da Cohorte"/>
    <s v="Admitido"/>
    <s v="esotor@eafit.edu.co"/>
    <s v="esotor@eafit.edu.co"/>
    <s v="esotor@eafit.edu.co"/>
    <s v="573016400811"/>
    <d v="2025-05-16T00:00:00"/>
    <s v="Activo en Programa"/>
    <s v="199-Finanzas"/>
    <s v="E.Finanzas, Economía, Gobierno"/>
    <d v="2008-02-14T00:00:00"/>
    <n v="17"/>
    <s v="Antioquia"/>
    <s v="Medellín"/>
    <s v="Hombre"/>
    <s v="Soltero"/>
    <s v="NO"/>
    <s v="NO"/>
    <n v="0"/>
    <s v="NO"/>
    <s v="NA"/>
    <s v="NO"/>
    <s v="NA"/>
    <s v="NO"/>
    <s v="NA"/>
    <s v="No"/>
    <s v="301/640-0811"/>
    <s v="573016400811"/>
    <s v="Estrato 2"/>
    <s v="CL 107 SUR 50 99 AP 118"/>
    <s v="Antioquia"/>
    <s v="Caldas"/>
    <s v="No aplica, no soy foráneo"/>
    <s v="Familiar"/>
    <s v="SI"/>
    <s v="2024"/>
    <s v="AC202434067518"/>
    <n v="372"/>
    <n v="77"/>
    <n v="77"/>
    <s v="Privada"/>
    <s v="COLEGIO TERCER MILENIO"/>
    <n v="2024"/>
    <s v="Antioquia"/>
    <s v="Caldas"/>
    <s v="BACHILLER"/>
    <s v="ACAD"/>
    <s v="TIPO: Privada, INSTITUCION: COLEGIO TERCER MILENIO, AÑO: 2024, CIUDAD: Caldas, TITULO: BACHILLER"/>
    <s v="11"/>
    <s v="Escala de 0 - 5"/>
    <s v="Escala de 0 - 5"/>
    <s v="4"/>
    <s v="3,7"/>
    <m/>
    <s v="4"/>
    <s v="3,9"/>
    <m/>
    <n v="4"/>
    <n v="3.8"/>
    <m/>
    <n v="4.0999999999999996"/>
    <n v="4.4000000000000004"/>
    <m/>
    <s v="4,2"/>
    <s v="4,2"/>
    <m/>
    <s v="4,5"/>
    <s v="4,3"/>
    <m/>
    <s v="3,6"/>
    <s v="3,9"/>
    <m/>
    <s v="De 9 y 10"/>
    <n v="4.0749999999999993"/>
    <s v="NO"/>
    <s v="NA"/>
    <n v="0"/>
    <n v="0"/>
    <s v="No"/>
    <n v="45"/>
    <s v="Se ganó un curso en el SENA"/>
    <n v="45"/>
    <m/>
    <n v="45"/>
    <m/>
    <s v="Se graduó en el 2024_x000a_Para poder definir que estudiar_x000a_Tercer Milenio _x000a_Saber 11 sacó 372"/>
    <n v="45"/>
    <s v="Con detalle por componente"/>
    <s v="Trabajo social o comunitario,Artísticas o culturales"/>
    <s v="Yo Emmanuel Soto Restrepo, desde que descubrí mi pasión por las finanzas supe que estas serían mi camino, yo me visualizo siendo un profesional que por encima de todas las cosas tenga unos valores establecidos que me guíen como profesional en la toma de decisiones, enfocándome en la promoción de un desarrollo sostenible y de la educación financiera, más específicamente en comunidades como la mía donde muchas familias sufren de problemas económicos, en muchos casos por la falta de conocimiento y de las herramientas necesarias._x000a_Me veo creando programas educativos donde se enseñen las finanzas en las zonas mas vulnerables donde las personas puedan aprender y mejorar su vida financiera y puedan romper con esos ciclos en los que la falta de educación siempre ha jugado un papel muy importante, tanto personas jóvenes como personas mayores. Yo me visualizo siendo un profesional que ponga siempre por encima la ética sobre todas las cosas y que con mis conocimientos pueda ayudar a las personas que más lo necesiten, para asi formar comunidades que puedan cambiar su rumbo y mejorar._x000a_Esta beca representa mucho para mi y mi familia, es una oportunidad de formarme en una excelente universidad, donde tendré la certeza de tener una de las mejores bases académicas y por encima de esta ser un profesional ético, donde pueda potenciar todas mis habilidades, además, sin esta ayuda las oportunidades de entrar a la universidad estudiando lo que en verdad me apasiona son casi nulas, debido a las limitaciones económicas que posee mi familia en este momento._x000a_Pienso que las finanzas es un conocimiento que todas las personas deberían tener y no deberían ser un privilegio, por eso ser becario en EAFIT me permitiría ser un medio de transformación para mi comunidad y todas las demás que lo necesiten._x000a_Muchas gracias."/>
    <s v="Amigos"/>
    <s v="Por la calidad académica."/>
    <s v="Vocación."/>
    <n v="4"/>
    <s v="1"/>
    <s v="NO"/>
    <s v="NO"/>
    <s v="Menos de 1millón"/>
    <s v="No"/>
    <n v="0"/>
    <n v="0"/>
    <m/>
    <s v="SI"/>
    <s v="Beca"/>
    <s v="NO"/>
    <s v=""/>
    <s v=""/>
    <s v="Si"/>
    <s v="Hugo Hernan Soto Velez"/>
    <s v="Soltero"/>
    <s v="TÉCNICA"/>
    <s v="47"/>
    <s v="Policia"/>
    <s v="Pensionado"/>
    <s v="agente"/>
    <s v="pensionado"/>
    <n v="1600000"/>
    <s v="No"/>
    <s v="NO"/>
    <s v="SI"/>
    <s v="Nunca he vivido con él, tenemos poco contacto y solo conozco de él que es pensionado de la policia. El aporto económico de mi padre es poco, debido a que mi madre me cuenta que tiene muchas responsabilidades con la familia de él."/>
    <s v="Si"/>
    <s v="Beatriz Elena Restrepo Barrera"/>
    <s v="Soltero"/>
    <s v="PRIMARIA"/>
    <s v="55"/>
    <s v="ama de casa"/>
    <s v="Labores del hogar y cuidado"/>
    <s v="Ama de casa"/>
    <s v="desde la casa vende catalogos"/>
    <n v="800000"/>
    <s v="Si"/>
    <s v="SI"/>
    <s v="SI"/>
    <s v="Mi madre es la persona que me ha acompañado en todo momento, siempre ha velado por mi y por mi estudio, pero recientemente tuvo que ser operada de urgencias por peritonitis, por lo que su situación de salud ha desmejorado considerablemente y debido a esto su situación económica se ha visto reducida de forma drastica, porque su trabajo requiere que salga a vender a la calle."/>
    <n v="2400000"/>
    <s v="Si"/>
    <s v="Julieth Karina Sanchez"/>
    <s v="Hermano / Hermana"/>
    <s v="33"/>
    <s v="asesora"/>
    <s v="bancolombia"/>
    <n v="2300000"/>
    <s v="No"/>
    <s v="Luciana Urrego Sanchez"/>
    <s v="sobrina"/>
    <s v="14"/>
    <s v="Estudiante"/>
    <s v="I.E Rafael J. Mejía"/>
    <n v="0"/>
    <s v="No"/>
    <s v=""/>
    <s v=""/>
    <s v=""/>
    <s v=""/>
    <s v=""/>
    <m/>
    <s v=""/>
    <s v="Con la situación de salud de mi madre, mi hermana nos dejo vivir en la casa de ella mientras mi mamá pueda recuperarse, pero mi hermana también posee muchas responsabilidades con su propia hija, debido a que también es madre cabeza de hogar porque se separo recientemente."/>
    <n v="0"/>
    <n v="130000000"/>
    <n v="0"/>
    <n v="0"/>
    <n v="0"/>
    <s v="No"/>
    <s v=""/>
    <s v=""/>
    <n v="0"/>
    <s v="No"/>
    <s v=""/>
    <s v=""/>
    <n v="0"/>
    <s v="No"/>
    <s v=""/>
    <s v=""/>
    <s v=""/>
    <n v="0"/>
    <s v="La nuda propiedad que esta a mi nombre es de un tio, él la puso a nombre mio en el caso que él llegue a fallecer mi mamá y yo no quedemos desprotegidos, pero en el momento no puedo disponer de esta ni para arrendarla ni para vivir."/>
    <n v="4"/>
    <n v="4"/>
    <n v="4"/>
    <n v="4"/>
    <n v="4"/>
    <n v="4"/>
    <n v="4"/>
    <n v="4"/>
    <n v="4"/>
    <n v="4"/>
    <n v="40"/>
    <s v="SI"/>
    <m/>
    <s v="SI, SON PRI"/>
    <s v="ok tienen todos los datos"/>
    <s v="Negada"/>
    <n v="20251"/>
    <m/>
    <n v="2"/>
    <n v="10"/>
    <n v="10"/>
    <n v="15"/>
    <n v="15"/>
    <n v="15"/>
    <n v="15"/>
    <n v="15.5"/>
    <n v="15.5"/>
    <n v="85.5"/>
    <n v="0.4"/>
    <m/>
    <n v="2"/>
    <n v="3.5"/>
    <n v="8"/>
    <n v="2"/>
    <n v="2"/>
    <n v="3.5"/>
    <n v="8"/>
    <n v="2"/>
    <n v="85.5"/>
    <n v="0.5"/>
    <n v="0.5"/>
    <e v="#N/A"/>
    <m/>
    <m/>
    <n v="0"/>
    <m/>
    <m/>
    <s v="Finanzas"/>
    <e v="#N/A"/>
    <s v="199"/>
    <e v="#N/A"/>
  </r>
  <r>
    <s v="TI"/>
    <n v="1026140137"/>
    <s v="1000405176"/>
    <s v="SOFIA PEÑA VELÉZ"/>
    <s v="Estudios por primera vez"/>
    <x v="1"/>
    <s v="Descartado por ingresos altos"/>
    <m/>
    <s v="En publico objetivo"/>
    <s v="2da Cohorte"/>
    <s v="Admitido"/>
    <s v="spenav@eafit.edu.co"/>
    <e v="#N/A"/>
    <s v="penavelezsofia08@gmail.com"/>
    <s v="321/518-3431"/>
    <d v="2025-05-16T00:00:00"/>
    <s v="Activo en Programa"/>
    <s v="237-Diseño Interactivo"/>
    <s v="Escuela de Artes y Humanidades"/>
    <d v="2008-05-06T00:00:00"/>
    <n v="17"/>
    <s v="Antioquia"/>
    <s v="Caldas"/>
    <s v="Mujer"/>
    <s v="Soltero"/>
    <s v="NO"/>
    <s v="NO"/>
    <n v="0"/>
    <s v="NO"/>
    <s v="NA"/>
    <s v="NO"/>
    <s v="NA"/>
    <s v="NO"/>
    <s v="NA"/>
    <s v="No"/>
    <s v="388 9213"/>
    <s v="321/518-3431"/>
    <s v="Estrato 3"/>
    <s v="CR 57 #79 SUR 71 AP 201"/>
    <s v="Antioquia"/>
    <s v="La Estrella"/>
    <s v="No aplica, no soy foráneo"/>
    <s v="Familiar"/>
    <s v="SI"/>
    <s v="2024"/>
    <s v="AC202431978477"/>
    <n v="312"/>
    <n v="54"/>
    <n v="63"/>
    <s v="Privada"/>
    <s v="Colegio Corporativo Lizardy Montoya"/>
    <n v="2024"/>
    <m/>
    <s v="La Estrella"/>
    <s v="Bachillerato"/>
    <s v="Académico"/>
    <m/>
    <s v="11"/>
    <s v="Escala de 0 - 5"/>
    <s v="Escala de 0 - 5"/>
    <s v="4,2"/>
    <s v="4,6"/>
    <m/>
    <s v="4,2"/>
    <s v="4,6"/>
    <m/>
    <n v="3.9"/>
    <n v="4.0999999999999996"/>
    <m/>
    <n v="4.4000000000000004"/>
    <n v="4.8"/>
    <m/>
    <s v="4,8"/>
    <s v="5"/>
    <m/>
    <s v="4,8"/>
    <s v="5"/>
    <m/>
    <s v="4,9"/>
    <s v="4,8"/>
    <m/>
    <s v="De 9 y 10"/>
    <n v="4.3"/>
    <s v="NO"/>
    <s v="NA"/>
    <n v="0"/>
    <n v="0"/>
    <s v="No"/>
    <n v="50"/>
    <m/>
    <n v="50"/>
    <m/>
    <n v="50"/>
    <m/>
    <s v="Se postulará a Becas Talento."/>
    <n v="50"/>
    <s v="Con detalle por componente"/>
    <s v="Artísticas o culturales,Ninguna"/>
    <s v="Siempre fui una niña muy curiosa y soñadora, viviendo mi día a día imaginando y plasmando las circunstancias a través papel; el dibujo ha sido más que un hobby, en él  encontré refugio. La vida estudiantil me acercó a la ciencia e investigación, a despertar en mí un sentido más lógico y racional, lo cual me encantaba, sin embargo me confundía bastante ¿A qué estoy destinada? ¿En dónde se encuentra mi vocación, en las artes y humanidades o en la ciencia y tecnología? Es así como encontré el pregrado de Diseño Interactivo en EAFIT, una carrera magnífica, donde no solo se aprende sobre videojuegos y animación (temas que me encanta), sino que  es una herramienta, un medio para entender, analizar y acercarnos con las personas en un contexto multimedial, donde hay que emplear el máximo potencial para poder acercarnos a más comunidades e integrar la participación ciudadana, la salud pública y educación inclusiva. Es por ello, que la oportunidad de estudiarla gracias a las becas Talento y Aliados me permitirá desarrollarme profesionalmente en proyectos de interacción digital relacionados a la brecha social y concientización tecnológica. Para mi es muy importante el diseño, la estética y el arte en todos los procesos  y aspectos culturales, tecnológicos, y educativos por ello deseo desarrollarme como una profesional con un enfoque hacia proyectos multimediales inclusivos donde el bienestar humano se tenga en cuenta, donde se entienda que la tecnología es una herramienta significativa para el ser humano y su evolución, no un retroceso o distracción. Como Diseñadora Interactiva me comprometo a crear proyectos funcionales que minimicen brechas sociales donde se presenten soluciones que abarquen la tecnología, empatía y creatividad. Para finalizar, la carrera ofrece un amplio campo laboral, lo cual me permitirá aprender todos los días en mi labor como Diseñadora Interactiva."/>
    <s v="Otro"/>
    <s v="Por la oferta académica."/>
    <s v="Vocación."/>
    <n v="1"/>
    <s v="2"/>
    <s v="SI"/>
    <s v="NO"/>
    <s v="Entre 1 y 2 millones"/>
    <s v="No"/>
    <n v="0"/>
    <n v="0"/>
    <m/>
    <s v="SI"/>
    <s v="Beca"/>
    <s v="NO"/>
    <s v=""/>
    <s v=""/>
    <s v="Si"/>
    <s v="Jhon Edgar Peña Estrada"/>
    <s v="Casado"/>
    <s v="TÉCNICA"/>
    <s v="37"/>
    <s v="Técnico en electrónica (equipos de rastreo)"/>
    <s v="Independiente (trabaja por cuenta propia)"/>
    <s v="Técnico en instalador de equipos de rastreo"/>
    <s v="RASTRELITAL S.A.S"/>
    <n v="2900000"/>
    <s v="No"/>
    <s v="NO"/>
    <s v="NO"/>
    <s v="La conversación e interacción no es mucha, lo veo muy ocasionalmente y conversamos vía WhatsApp. Me ayuda económicamente con 160.000 mensuales para mis productos de aseo personal."/>
    <s v="Si"/>
    <s v="Eliana María Vélez Barrera"/>
    <s v="Soltero"/>
    <s v="UNIVERSITARIOS"/>
    <s v="29"/>
    <s v="Psicóloga clínica"/>
    <s v="Empleado (con contrato laboral)"/>
    <s v="Visitadora Clínica"/>
    <s v="Laboratorios Bagó S.A.S"/>
    <n v="3000000"/>
    <s v="No"/>
    <s v="NO"/>
    <s v="NO"/>
    <s v="La veo esporádicamente y la ayudo cuidando a mi media hermana 3 veces a la semana, conversamos por vía WhatsApp. Me ayuda con 200000 mensuales para mis alimentos."/>
    <n v="5900000"/>
    <s v="Si"/>
    <s v="Margarita María Barrera Monsalve"/>
    <s v="Abuelo / Abuela"/>
    <s v="60"/>
    <s v="Ama de casa"/>
    <s v="Ninguna"/>
    <n v="1000000"/>
    <s v="Si"/>
    <s v=""/>
    <s v=""/>
    <s v=""/>
    <s v=""/>
    <s v=""/>
    <m/>
    <s v=""/>
    <s v=""/>
    <s v=""/>
    <s v=""/>
    <s v=""/>
    <s v=""/>
    <m/>
    <s v=""/>
    <s v=""/>
    <n v="220000000"/>
    <n v="0"/>
    <n v="0"/>
    <n v="0"/>
    <n v="0"/>
    <s v="Si"/>
    <s v="Chevrolet Spark GT"/>
    <s v="2017"/>
    <n v="35500000"/>
    <s v="No"/>
    <s v=""/>
    <s v=""/>
    <n v="0"/>
    <s v="No"/>
    <s v=""/>
    <s v=""/>
    <s v=""/>
    <n v="0"/>
    <s v="La casa en la que resido junto mi abuela no es propia, está a nombre de mi tío Diego Alejandro Mejía Barrera, la cual tiene un valor de 220 millones con una hipoteca de 126 millones en Bancolombia.El vehículo está a nombre de mi madre y lo utiliza para  desplazarse en su profesión de visitadora médica."/>
    <n v="4"/>
    <n v="3"/>
    <n v="4"/>
    <n v="4"/>
    <n v="4"/>
    <n v="3"/>
    <n v="4"/>
    <n v="3"/>
    <n v="3"/>
    <n v="4"/>
    <n v="36"/>
    <s v="SI"/>
    <s v="SI, TIPO IE"/>
    <s v="PRI SIN TIPO IE"/>
    <s v="ok se subsana datos contra doc"/>
    <e v="#N/A"/>
    <e v="#N/A"/>
    <m/>
    <n v="3"/>
    <n v="10"/>
    <n v="8"/>
    <n v="5"/>
    <n v="15"/>
    <n v="15"/>
    <n v="20"/>
    <n v="9.5"/>
    <n v="9.5"/>
    <n v="74.5"/>
    <n v="0.4"/>
    <m/>
    <n v="2"/>
    <n v="3.5"/>
    <n v="3"/>
    <n v="1"/>
    <n v="2"/>
    <n v="3.5"/>
    <n v="3"/>
    <n v="1"/>
    <n v="72.5"/>
    <n v="0.4"/>
    <n v="0.4"/>
    <e v="#N/A"/>
    <m/>
    <m/>
    <s v="SI, TIPO IE"/>
    <m/>
    <m/>
    <s v="Diseño Interactivo"/>
    <e v="#N/A"/>
    <s v="237"/>
    <e v="#N/A"/>
  </r>
  <r>
    <s v="CC"/>
    <n v="1027660966"/>
    <s v="1000402831"/>
    <s v="ISABELLA TORRES ZAPATA"/>
    <s v="Estudios por primera vez"/>
    <x v="1"/>
    <s v="Descartado por ingresos altos"/>
    <m/>
    <s v="En publico objetivo"/>
    <s v="3ra Cohorte"/>
    <s v="Admitido"/>
    <s v="itorresz@eafit.edu.co"/>
    <s v="itorresz@eafit.edu.co"/>
    <s v="isatz0306@gmail.com"/>
    <s v="573024452987"/>
    <d v="2025-05-30T00:00:00"/>
    <s v="Activo en Programa"/>
    <s v="085-Ingeniería Diseño de Producto"/>
    <s v="E Ciencias Aplic e Ingeniería"/>
    <d v="2006-04-03T00:00:00"/>
    <n v="19"/>
    <s v="Antioquia"/>
    <s v="Medellín"/>
    <s v="Mujer"/>
    <s v="Soltero"/>
    <s v="NO"/>
    <s v="NO"/>
    <n v="0"/>
    <s v="NO"/>
    <s v="NA"/>
    <s v="NO"/>
    <s v="NA"/>
    <s v="NO"/>
    <s v="NA"/>
    <s v="No"/>
    <s v="243-3547"/>
    <s v="573024452987"/>
    <s v="Estrato 3"/>
    <s v="CL 32 B NÚMERO 65 B 16"/>
    <s v="Antioquia"/>
    <s v="Medellín"/>
    <s v="No aplica, no soy foráneo"/>
    <s v="Familiar"/>
    <s v="SI"/>
    <s v="2023"/>
    <s v="AC202340207498"/>
    <n v="315"/>
    <n v="62"/>
    <n v="63"/>
    <s v="Privada"/>
    <s v="COL DE LA INMACULADA"/>
    <n v="2023"/>
    <s v="Antioquia"/>
    <s v="Medellín"/>
    <s v="BACHILLER"/>
    <s v="ACAD"/>
    <s v="TIPO: Privada, INSTITUCION: COL DE LA INMACULADA, AÑO: 2023, CIUDAD: Medellín, TITULO: BACHILLER"/>
    <s v="11"/>
    <s v="Escala de 0 - 5"/>
    <s v="Escala de 0 - 5"/>
    <s v="5"/>
    <s v="4,5"/>
    <m/>
    <s v="4,5"/>
    <s v="5"/>
    <m/>
    <n v="4.5"/>
    <n v="5"/>
    <m/>
    <n v="5"/>
    <n v="4.5"/>
    <m/>
    <s v="5"/>
    <s v="4,5"/>
    <m/>
    <s v="5"/>
    <s v="4,5"/>
    <m/>
    <s v="5"/>
    <s v="5"/>
    <m/>
    <s v="De 9 y 10"/>
    <n v="4.75"/>
    <s v="NO"/>
    <s v="NA"/>
    <n v="0"/>
    <n v="0"/>
    <s v="No"/>
    <n v="50"/>
    <m/>
    <n v="50"/>
    <m/>
    <n v="50"/>
    <m/>
    <m/>
    <n v="50"/>
    <s v="Con detalle por componente"/>
    <s v="Artísticas o culturales,Espacios de liderazgo o representación social"/>
    <s v="Me visualizó siendo una profesional reconocida por su talento y capacidad de escucha asertiva frente a las necesidades de mis clientes, su contexto cercano y todo lo que impacta su solicitud y necesidad. Para ello, deseo construir o crear productos que faciliten y mejoren la calidad de vida de todas las personas, en especial, la más necesitadas, pues generalmente no tienen acceso a diferentes posibilidades por su misma realidad. En este sentido, deseo impactar y reconstruir no solo su mundo, sino cuidar en dicho proceso el medio ambiente, favoreciendo el uso y construcción de productos sostenibles. _x000a_Mi deseo personal es comenzar trasformando mi propio entorno, ya que, al poder obtener la beca, puedo continuar consolidando mi proyecto de vida e impactando, en primera instancia, a mi familia que, en mi caso particular, es mi mamá con quien vivo y a quien deseo enorgullecer, puesto que algunas cosas no han sido tan fáciles, sin embargo, las hemos logrado, ya que juntas hemos trabajado fuertemente por alcanzar nuestras metas y sueños y, en este momento, mi ingreso a esta universidad y carrera es el mayor sueño que tenemos, por lo que con la ayuda de Dios y por medio de esta gran oportunidad que ustedes me pueden brindar, la beca, se haría realidad._x000a_En consecuencia de ello, nació mi pasión y vocación de ayudar a los demás, mejorando sus vidas, para lo que trabajaré desde la creatividad e innovación, dos elementos fundamentales a la hora de consolidar proyectos eficientes y sustentables."/>
    <s v="Redes sociales"/>
    <s v="Por la calidad académica."/>
    <s v="Vocación."/>
    <n v="2"/>
    <s v="0"/>
    <s v="SI"/>
    <s v="NO"/>
    <s v="Entre 5 y 6 millones"/>
    <s v="No"/>
    <n v="0"/>
    <n v="0"/>
    <m/>
    <s v="SI"/>
    <s v="Beca"/>
    <s v="NO"/>
    <s v=""/>
    <s v=""/>
    <s v="Sin información"/>
    <n v="0"/>
    <m/>
    <m/>
    <m/>
    <s v=""/>
    <s v=""/>
    <m/>
    <s v=""/>
    <m/>
    <s v=""/>
    <m/>
    <m/>
    <s v="Solo vivo con mi madre , quien es mi adulto responsable."/>
    <s v="Si"/>
    <s v="Marcela Zapata Rivera"/>
    <s v="Otro"/>
    <s v="MAESTRÍA"/>
    <s v="41"/>
    <s v="Docente"/>
    <s v="Empleado (con contrato laboral)"/>
    <s v="Maestra-Docente"/>
    <s v="Colegio San José de Las Vegas"/>
    <n v="5900000"/>
    <s v="Si"/>
    <s v="NO"/>
    <s v="NO"/>
    <s v="Mi madre es la responsable de solventar todos los gastos y necesidades en mi casa"/>
    <n v="5900000"/>
    <s v="Si"/>
    <s v="Sol Marina Rivera Hincapié"/>
    <s v="Tío / Tía"/>
    <s v="68"/>
    <s v="Ama de casa"/>
    <s v="No aplica"/>
    <n v="0"/>
    <s v="No"/>
    <s v=""/>
    <s v=""/>
    <s v=""/>
    <s v=""/>
    <s v=""/>
    <m/>
    <s v=""/>
    <s v=""/>
    <s v=""/>
    <s v=""/>
    <s v=""/>
    <s v=""/>
    <m/>
    <s v=""/>
    <s v="Solo vivo con mi tía y mi madre."/>
    <n v="227962000"/>
    <n v="0"/>
    <n v="0"/>
    <n v="0"/>
    <n v="0"/>
    <s v="No"/>
    <s v=""/>
    <s v=""/>
    <n v="0"/>
    <s v="No"/>
    <s v=""/>
    <s v=""/>
    <n v="0"/>
    <s v="No"/>
    <s v=""/>
    <s v=""/>
    <s v=""/>
    <n v="0"/>
    <s v="Nuestra casa está en este momento pagándose por medio de crédito hipotecario."/>
    <n v="4"/>
    <n v="4"/>
    <n v="4"/>
    <n v="4"/>
    <n v="4"/>
    <n v="4"/>
    <n v="4"/>
    <n v="4"/>
    <n v="4"/>
    <n v="4"/>
    <n v="40"/>
    <s v="SI"/>
    <m/>
    <s v="SI, SON PRI"/>
    <s v="ok tienen todos los datos"/>
    <e v="#N/A"/>
    <e v="#N/A"/>
    <m/>
    <n v="3"/>
    <n v="10"/>
    <n v="8"/>
    <n v="5"/>
    <n v="20"/>
    <n v="15"/>
    <n v="20"/>
    <n v="9.5"/>
    <n v="9.5"/>
    <n v="79.5"/>
    <n v="0.4"/>
    <m/>
    <n v="2"/>
    <n v="3.5"/>
    <n v="3"/>
    <n v="1"/>
    <n v="2"/>
    <n v="3.5"/>
    <n v="3"/>
    <n v="1"/>
    <n v="77.5"/>
    <n v="0.4"/>
    <n v="0.4"/>
    <e v="#N/A"/>
    <m/>
    <m/>
    <n v="0"/>
    <m/>
    <m/>
    <s v="Ingeniería Diseño de Producto"/>
    <e v="#N/A"/>
    <s v="085"/>
    <e v="#N/A"/>
  </r>
  <r>
    <s v="CC"/>
    <n v="1027661030"/>
    <s v="1000404358"/>
    <s v="MARTIN PÉREZ RESTREPO"/>
    <s v="Transferencia Externa"/>
    <x v="1"/>
    <s v="No cumple, estrato 4"/>
    <s v="Rescatado"/>
    <s v="En publico objetivo"/>
    <s v="3ra Cohorte"/>
    <s v="Admitido"/>
    <s v="mperezr12@eafit.edu.co"/>
    <e v="#N/A"/>
    <s v="martin20060602@gmail.com"/>
    <s v="300/230-2944"/>
    <d v="2025-05-30T00:00:00"/>
    <s v="Activo en Programa"/>
    <s v="001-Administración de Negocios"/>
    <s v="Escuela de Administración"/>
    <d v="2006-06-02T00:00:00"/>
    <n v="19"/>
    <s v="Antioquia"/>
    <s v="Medellín"/>
    <s v="Hombre"/>
    <s v="Soltero"/>
    <s v="SI"/>
    <s v="NO"/>
    <n v="0"/>
    <s v="NO"/>
    <s v="NA"/>
    <s v="NO"/>
    <s v="NA"/>
    <s v="NO"/>
    <s v="NA"/>
    <s v="No"/>
    <s v="604 2942073"/>
    <s v="300/230-2944"/>
    <s v="Estrato 4"/>
    <s v="CL 61 #75 116"/>
    <s v="Antioquia"/>
    <s v="Medellín"/>
    <s v="No aplica, no soy foráneo"/>
    <s v="Propio"/>
    <s v="SI"/>
    <s v="2023"/>
    <s v="AC202342705374"/>
    <n v="345"/>
    <n v="60"/>
    <n v="74"/>
    <s v="Privada"/>
    <s v="COL CORAZONISTA"/>
    <n v="2023"/>
    <s v="Antioquia"/>
    <s v="Medellín"/>
    <s v="BACHILLER"/>
    <s v="ACAD"/>
    <s v="TIPO: Privada, INSTITUCION: COL CORAZONISTA, AÑO: 2023, CIUDAD: Medellín, TITULO: BACHILLER"/>
    <n v="0"/>
    <n v="0"/>
    <s v="PCA TEX"/>
    <m/>
    <m/>
    <m/>
    <m/>
    <m/>
    <m/>
    <m/>
    <m/>
    <m/>
    <m/>
    <m/>
    <m/>
    <m/>
    <m/>
    <m/>
    <m/>
    <m/>
    <m/>
    <m/>
    <m/>
    <m/>
    <s v="Ver PCA TEX"/>
    <n v="2.8"/>
    <s v="SI"/>
    <s v="TIPO: Pública, INSTITUCION: UNV. NACIONAL DE COLOMBIA, AÑO: 0, CIUDAD: Medellín, TITULO: INGENIERO(A) ADMINISTRADOR(A)"/>
    <s v="PREGRADO"/>
    <s v=" TITULO: INGENIERO(A) ADMINISTRADOR(A)"/>
    <s v="No"/>
    <n v="50"/>
    <m/>
    <n v="50"/>
    <m/>
    <n v="50"/>
    <m/>
    <s v="De Entrerríos (Antioquia)_x000a_Inició en la U. Nal Ingeniería Administrativa, pero a raíz de las manifestaciones violentas en esa U decidió salirse, cuando estaba en la mitad del segundo semestre._x000a_Perteneció el equipo de futbol sala en dicha universidad._x000a_Tiene un carro en el cual hace domicilios (la mamá tiene repostería), con eso y el aporte de su familia espera poder pagar los semestres en EAFIT:_x000a_Con respecto al reconocimiento de materias dice que NO va a solicitarlo."/>
    <n v="50"/>
    <s v="Con detalle por componente"/>
    <s v="Deportistas de alto rendimiento o representativo,Espacios de liderazgo o representación social,Otras (por ejemplo, un talento extraordinario)"/>
    <s v="Ser un profesional conlleva a un compromiso mucho más grande con la sociedad que conmigo mismo. Mediante las herramientas brindadas busco ayudar al crecimiento de nuestra ciudad y región formando parte de procesos de transformación social, en mi caso, desde los negocios. _x000a_Administración me parece la llave que abre la puerta a un mundo enorme de posibilidades dada la cantidad de negocios diferentes que hay, es esa carrera que me permite marcar la diferencia aplicando los conocimientos que me brinda la mejor universidad de la región, de la mano con la “berraquera antioqueña” que ha sido siempre nuestro factor diferencial frente el resto del país. Me veo siendo un administrador que mediante los proyectos en los que participe va a generar un impacto positivo en la ciudad trabajando siempre con la ética por delante y buscando lo mejor tanto, para las empresas como para los trabajadores, generando vínculos clave para el funcionamiento óptimo de todo. _x000a_Medellín ha logrado un avance impresionante en industrias como la construcción, moda  y tecnología entre otras,  aprovechando la inversión extranjera en la zona y el ecosistema dinámico empresarial, generando así mucha colaboración entre empresas y proyectos de la región en pro del funcionamiento de la misma; entendiendo esto, la forma de generar un impacto mayor es seguir en la línea de la innovación adaptándonos y sacando provecho de la nueva revolución tecnológica. Con esto y apoyando la economía local sobre productos extranjeros, identificando las virtudes en los negocios de nuestra ciudad para poder potenciar estos mismos, generando empleo y mejorando la calidad de vida de los trabajadores, ayudamos a su vez a transformar las distintas problemáticas sociales que enfrenta desde hace tiempo la región como la violencia. _x000a_La beca talento es el medio que elijo para cumplir mi sueño y generar impacto en la sociedad."/>
    <s v="A través del Colegio"/>
    <s v="Por la calidad académica."/>
    <s v="Vocación."/>
    <n v="2"/>
    <s v="0"/>
    <s v="NO"/>
    <s v="NO"/>
    <s v="Entre 5 y 6 millones"/>
    <s v="No"/>
    <s v="SI"/>
    <s v="SI"/>
    <s v="Crédito educativo propio"/>
    <s v="SI"/>
    <s v="Beca"/>
    <s v="NO"/>
    <s v=""/>
    <s v=""/>
    <s v="Si"/>
    <s v="Alejandro Pérez Peña"/>
    <s v="Casado"/>
    <s v="BACHILLERATO"/>
    <s v="47"/>
    <s v="Arrendador de caballos."/>
    <s v="Independiente (trabaja por cuenta propia)"/>
    <s v="Montador de caballos."/>
    <s v="Pesebreras San Judas"/>
    <n v="1200000"/>
    <s v="No"/>
    <s v="NO"/>
    <s v="NO"/>
    <s v="No aporta económicamente a mi hogar ni al pago de mi educación ."/>
    <s v="Si"/>
    <s v="Carmen Stella Restrepo Osorno"/>
    <s v="Unión marital"/>
    <s v="UNIVERSITARIOS"/>
    <s v="47"/>
    <s v="Abogada/Ama de casa"/>
    <s v="Labores del hogar y cuidado"/>
    <s v="Ama de casa."/>
    <s v="NINGUNA"/>
    <n v="0"/>
    <s v="Si"/>
    <s v="NO"/>
    <s v="NO"/>
    <s v="Es abogada pero ya no ejerce y actualmente es Ama de casa"/>
    <n v="1200000"/>
    <s v="Si"/>
    <s v="Mauricio Gutiérrez Jaramillo"/>
    <s v="PADRASTRO"/>
    <s v="59"/>
    <s v="Tecnólogo de Aviación"/>
    <s v="Avianca"/>
    <n v="5678674"/>
    <s v="Si"/>
    <s v=""/>
    <s v=""/>
    <s v=""/>
    <s v=""/>
    <s v=""/>
    <m/>
    <s v=""/>
    <s v=""/>
    <s v=""/>
    <s v=""/>
    <s v=""/>
    <s v=""/>
    <m/>
    <s v=""/>
    <s v="Vivimos mi mama, mi padrastro y yo siendo mi padrastro la cabeza del hogar."/>
    <n v="0"/>
    <n v="300000000"/>
    <n v="0"/>
    <n v="0"/>
    <n v="0"/>
    <s v="Si"/>
    <s v="Chevrolet"/>
    <s v="2012"/>
    <n v="26000000"/>
    <s v="No"/>
    <s v=""/>
    <s v=""/>
    <n v="0"/>
    <s v="Si"/>
    <s v="Carro"/>
    <s v="Renault"/>
    <s v="2004"/>
    <n v="14000000"/>
    <s v="Se tiene en cuenta la vivienda familiar, el vehículo de mi padrastro y mi vehículo."/>
    <n v="4"/>
    <n v="4"/>
    <n v="4"/>
    <n v="4"/>
    <n v="3"/>
    <n v="3"/>
    <n v="3"/>
    <n v="3"/>
    <n v="4"/>
    <n v="4"/>
    <n v="36"/>
    <s v="SI"/>
    <m/>
    <s v="SI, SON TEX, EN LUGAR DE NOTAS TIENEN PCA"/>
    <s v="ok tienen todos los datos"/>
    <e v="#N/A"/>
    <e v="#N/A"/>
    <m/>
    <n v="3"/>
    <n v="4"/>
    <n v="4"/>
    <n v="10"/>
    <n v="0"/>
    <n v="15"/>
    <n v="20"/>
    <n v="13.5"/>
    <n v="13.5"/>
    <n v="62.5"/>
    <n v="0.4"/>
    <m/>
    <n v="2"/>
    <n v="2.5"/>
    <n v="8"/>
    <n v="1"/>
    <n v="2"/>
    <n v="2.5"/>
    <n v="8"/>
    <n v="1"/>
    <n v="62.5"/>
    <n v="0.4"/>
    <n v="0.4"/>
    <e v="#N/A"/>
    <m/>
    <m/>
    <n v="0"/>
    <m/>
    <m/>
    <s v="Administración de Negocios"/>
    <e v="#N/A"/>
    <s v="001"/>
    <e v="#N/A"/>
  </r>
  <r>
    <s v="CC"/>
    <n v="1027661242"/>
    <s v="1000405139"/>
    <s v="DANIEL HERNANDEZ PARRA"/>
    <s v="Estudios por primera vez"/>
    <x v="5"/>
    <s v="Cumple Nutresa"/>
    <m/>
    <s v="En publico objetivo"/>
    <s v="1er Cohorte"/>
    <s v="Admitido"/>
    <s v="dhernandp2@eafit.edu.co"/>
    <e v="#N/A"/>
    <s v="danielhernandezparra14@gmail.com"/>
    <s v="300/374-6041"/>
    <d v="2025-04-25T00:00:00"/>
    <s v="Activo en Programa"/>
    <s v="199-Finanzas"/>
    <s v="E.Finanzas, Economía, Gobierno"/>
    <d v="2006-12-20T00:00:00"/>
    <n v="18"/>
    <s v="Antioquia"/>
    <s v="Medellín"/>
    <s v="Hombre"/>
    <s v="Soltero"/>
    <s v="NO"/>
    <s v="NO"/>
    <n v="0"/>
    <s v="NO"/>
    <s v="NA"/>
    <s v="NO"/>
    <s v="NA"/>
    <s v="NO"/>
    <s v="NA"/>
    <s v="No"/>
    <s v="300/374-6041"/>
    <s v="300/374-6041"/>
    <s v="Estrato 2"/>
    <s v="CL 37 A #12 46"/>
    <s v="Tolima"/>
    <s v="Ibagué"/>
    <s v="Si"/>
    <s v="Arriendo"/>
    <s v="SI"/>
    <s v="2024"/>
    <s v="AC202410473579"/>
    <n v="377"/>
    <n v="75"/>
    <n v="73"/>
    <s v="Privada"/>
    <s v="COL CIENCIA Y VIDA"/>
    <n v="2023"/>
    <s v="Antioquia"/>
    <s v="Medellín"/>
    <s v="BACHILLER"/>
    <s v="ACAD"/>
    <s v="TIPO: Privada, INSTITUCION: COL CIENCIA Y VIDA, AÑO: 2023, CIUDAD: Medellín, TITULO: BACHILLER"/>
    <s v="11"/>
    <s v="Escala de 0 - 5"/>
    <s v="Escala de 0 - 5"/>
    <s v="5"/>
    <s v="4,5"/>
    <m/>
    <s v="5"/>
    <s v="4,5"/>
    <m/>
    <n v="4.5"/>
    <n v="4"/>
    <m/>
    <n v="5"/>
    <n v="4.5"/>
    <m/>
    <s v="5"/>
    <s v="4,5"/>
    <m/>
    <s v="5"/>
    <s v="4,5"/>
    <m/>
    <s v="5"/>
    <s v="4,5"/>
    <m/>
    <s v="De 9 y 10"/>
    <n v="4.5"/>
    <s v="NO"/>
    <s v="NA"/>
    <n v="0"/>
    <n v="0"/>
    <s v="No"/>
    <n v="40"/>
    <m/>
    <n v="45"/>
    <m/>
    <n v="45"/>
    <m/>
    <s v="Se graduó del colegio 2023 de Colegio Ciencia y Vida_x000a_En saber 11 su puntaje 377_x000a_Le gusta el mundo Corporativo y hace lectura de estos temas_x000a_Vive con sus padres en la ciudad Ibague"/>
    <n v="43.333333333333336"/>
    <s v="Con detalle por componente"/>
    <s v="Deportistas de alto rendimiento o representativo,Espacios de liderazgo o representación social,Trabajo social o comunitario"/>
    <s v="Desde que enfrenté la enfermedad de mi padre y asumí responsabilidades económicas junto a mi madre, descubrí el poder transformador del conocimiento. A pesar de no haber podido iniciar la universidad por falta de recursos, nunca dejé de prepararme. Durante este tiempo, mejoré mi puntaje ICFES, redacté un ensayo jurídico para la Asociación Cavelier, participé en debates del Concejo de Medellín y trabajo actualmente ad honorem en una firma legal que apoya a familias de escasos recursos._x000a__x000a_Elegí la carrera de Finanzas porque creo en ellas como motores de desarrollo social. Me visualizo liderando proyectos que generen empleo, impulsen a emprendedores en contextos vulnerables y fomenten la sostenibilidad económica en comunidades olvidadas por el sistema. Mi meta es fundar una organización que conecte inversión privada con causas sociales, para que jóvenes como yo no tengan que detener sus sueños por falta de recursos._x000a__x000a_La beca Talento de EAFIT representa mucho más que una ayuda financiera. Es una plataforma para romper con los ciclos de desigualdad que aquejan a tantas regiones del país, incluida la mía. Soy testimonio de que, con voluntad, es posible avanzar incluso en las condiciones más difíciles. Pero para lograr un impacto real y duradero, necesito formación académica de excelencia._x000a__x000a_Con esta beca, me comprometo a retribuir cada oportunidad recibida con acciones concretas: capacitar emprendedores locales, promover educación financiera en barrios vulnerables y demostrar que el verdadero talento surge cuando se combina la pasión con el propósito._x000a__x000a_No pido caridad, pido una oportunidad para transformar mi historia en esperanza para muchos más. Estudiar para mí no es solo un sueño personal, es el medio para devolverle a mi familia y al país todo lo que me enseñó: que la verdadera riqueza siempre está en nunca rendirse."/>
    <s v="Página WEB"/>
    <s v="Por la calidad académica."/>
    <s v="Vocación."/>
    <n v="2"/>
    <s v="1"/>
    <s v="NO"/>
    <s v="NO"/>
    <s v="Entre 1 y 2 millones"/>
    <s v="No"/>
    <s v="NO"/>
    <n v="0"/>
    <m/>
    <s v="SI"/>
    <s v="Beca"/>
    <s v="NO"/>
    <s v=""/>
    <s v=""/>
    <s v="Si"/>
    <s v="Jairo Hernández Giraldo"/>
    <s v="Casado"/>
    <s v="BACHILLERATO"/>
    <s v="70"/>
    <s v="Pensionado"/>
    <s v="Pensionado"/>
    <s v="Pensionado"/>
    <s v="Ninguna, pensionado. Entidad: Colpensiones"/>
    <n v="1366500"/>
    <s v="Si"/>
    <s v="NO"/>
    <s v="NO"/>
    <s v="Mi padre, Jairo Hernández Giraldo, identificado con cédula de ciudadanía 19346102, es paciente crónico de Parkinson, enfermedad que lo ha venido degenerando desde el año 2020. Gracias al desarrollo de su enfermedad su condición actual le impide realizar cualquier acto autónomamente y le obliga a depender completamente de otras personas para poder&amp;#58; movilizarse, comunicarse, comer, dormir, bañarse y en general, cualquier acción, lo cual ha llevado a que mi mamá disponga la totalidad de su tiempo en los cuidados de mi padre y le impide involucrarse en otras actividades que nos puedan significar ingresos económicos.Siendo mi padre la única fuente económica de la cual disponía nuestro núcleo familiar, su ausencia desde el año 2020 ha significado condiciones de precariedad y falta de recursos para abastecer gastos tan ingentes como puede ser mi educación superior, a tal escala que en el año 2023 tuvimos que mudarnos a la ciudad de Ibagué una vez terminé mi bachillerato.Actualmente, mi familia depende únicamente de la pensión de mi padre y recursos de mis abuelos, sin embargo, desde el 20 de noviembre del 2024 ese recurso nos fue suspendido, ya que la tarjeta débito mediante la cual realizamos los retiros expiró y para su posterior renovación se requiere la autorización de mi padre, el cual, por lo anteriormente expresado, le es imposible brindar.Todo ello nos ha llevado a que actualmente vivamos una situación económica todavía más compleja, pues hemos tenido que iniciar un proceso judicial para recuperar nuestros ingresos familiares que puede llegar a tardar más de 2 años en terminarse."/>
    <s v="Si"/>
    <s v="Alexandra Parra Cardoso"/>
    <s v="Casado"/>
    <s v="TÉCNICA"/>
    <s v="47"/>
    <s v="Labores del hogar y cuidado de mi padre"/>
    <s v="Labores del hogar y cuidado"/>
    <s v="Labores del hogar y cuidado de mi padre"/>
    <s v="Ninguna. Labores del hogar y cuidado de mi padre"/>
    <n v="0"/>
    <s v="Si"/>
    <s v="NO"/>
    <s v="NO"/>
    <s v="Debido a la situación de mi padre, ella dispone la totalidad de su tiempo para los cuidados de él, lo cuál le impide involucrarse en otras actividades que nos puedan significar ingresos económicos u otras actividades personales de ella."/>
    <n v="1366500"/>
    <s v="No, solo vivo con mis padres"/>
    <s v=""/>
    <s v=""/>
    <s v=""/>
    <s v=""/>
    <s v=""/>
    <m/>
    <s v=""/>
    <s v=""/>
    <s v=""/>
    <s v=""/>
    <s v=""/>
    <s v=""/>
    <m/>
    <s v=""/>
    <s v=""/>
    <s v=""/>
    <s v=""/>
    <s v=""/>
    <s v=""/>
    <m/>
    <s v=""/>
    <s v=""/>
    <n v="0"/>
    <n v="0"/>
    <n v="0"/>
    <n v="0"/>
    <n v="0"/>
    <s v="No"/>
    <s v=""/>
    <s v=""/>
    <n v="0"/>
    <s v="No"/>
    <s v=""/>
    <s v=""/>
    <n v="0"/>
    <s v="No"/>
    <s v=""/>
    <s v=""/>
    <s v=""/>
    <n v="0"/>
    <s v="Ninguna, no tenemos."/>
    <n v="4"/>
    <n v="4"/>
    <n v="4"/>
    <n v="4"/>
    <n v="4"/>
    <n v="4"/>
    <n v="4"/>
    <n v="4"/>
    <n v="4"/>
    <n v="4"/>
    <n v="40"/>
    <s v="SI"/>
    <m/>
    <s v="SI, SON PRI"/>
    <s v="ok tienen todos los datos"/>
    <n v="0.5"/>
    <n v="20242"/>
    <m/>
    <n v="2"/>
    <n v="10"/>
    <n v="10"/>
    <n v="15"/>
    <n v="20"/>
    <n v="15"/>
    <n v="15"/>
    <n v="18.5"/>
    <n v="18.5"/>
    <n v="93.5"/>
    <n v="0.6"/>
    <m/>
    <n v="2"/>
    <n v="4.5"/>
    <n v="8"/>
    <n v="4"/>
    <n v="2"/>
    <n v="4"/>
    <n v="8"/>
    <n v="4.5"/>
    <n v="93.5"/>
    <n v="0.7"/>
    <n v="0.8"/>
    <s v="DANIEL HERNANDEZ PARRA"/>
    <m/>
    <m/>
    <n v="0"/>
    <s v="EN ORDEN"/>
    <s v="Con la constancia de ingresos adjunto una carta de su situacion economica"/>
    <s v="Finanzas"/>
    <s v="Pres. para revision docs nutresa"/>
    <m/>
    <s v="NUTRESA"/>
  </r>
  <r>
    <s v="TI"/>
    <n v="1027661393"/>
    <s v="1000387661"/>
    <s v="JOSIAS OBED ELIAS GONZALEZ LONDOÑO"/>
    <s v="Estudios por primera vez"/>
    <x v="1"/>
    <s v="Descartado por ingresos altos"/>
    <m/>
    <s v="En publico objetivo"/>
    <s v="3ra Cohorte"/>
    <s v="Admitido"/>
    <s v="jogonzalel@eafit.edu.co"/>
    <s v="jogonzalel@eafit.edu.co"/>
    <s v="eliasgonzalezlondono@gmail.com"/>
    <s v="573017980366"/>
    <d v="2025-05-30T00:00:00"/>
    <s v="Activo en Programa"/>
    <s v="002-Negocios Internacionales"/>
    <s v="Escuela de Administración"/>
    <d v="2007-06-03T00:00:00"/>
    <n v="18"/>
    <s v="Antioquia"/>
    <s v="Medellín"/>
    <s v="Hombre"/>
    <s v="Soltero"/>
    <s v="NO"/>
    <s v="NO"/>
    <n v="0"/>
    <s v="NO"/>
    <s v="NA"/>
    <s v="NO"/>
    <s v="NA"/>
    <s v="NO"/>
    <s v="NA"/>
    <s v="No"/>
    <s v="604/302-3304"/>
    <s v="573017980366"/>
    <s v="Estrato 3"/>
    <s v="ENVIGADO"/>
    <s v="Antioquia"/>
    <s v="Envigado"/>
    <s v="No aplica, no soy foráneo"/>
    <s v="Arriendo"/>
    <s v="SI"/>
    <s v="2024"/>
    <s v="AC202432938488"/>
    <n v="341"/>
    <n v="70"/>
    <n v="68"/>
    <s v="Privada"/>
    <s v="GIMN CAMP CRISTIANO"/>
    <n v="2024"/>
    <s v="Cundinamarca"/>
    <s v="Chía"/>
    <s v="BACHILLER"/>
    <s v="ACAD"/>
    <s v="TIPO: Privada, INSTITUCION: GIMN CAMP CRISTIANO, AÑO: 2024, CIUDAD: Chía, TITULO: BACHILLER"/>
    <s v="11"/>
    <s v="Escala de 0 - 5"/>
    <s v="Escala de 0 - 5"/>
    <s v="4,5"/>
    <s v="4,1"/>
    <m/>
    <s v="4,4"/>
    <s v="4,2"/>
    <m/>
    <n v="4.4000000000000004"/>
    <n v="4.0999999999999996"/>
    <m/>
    <n v="4.0999999999999996"/>
    <n v="4.0999999999999996"/>
    <m/>
    <s v="4,2"/>
    <s v="4"/>
    <m/>
    <s v="4,4"/>
    <s v="3,9"/>
    <m/>
    <s v="4,9"/>
    <s v="4,4"/>
    <m/>
    <s v="De 9 y 10"/>
    <n v="4.1749999999999998"/>
    <s v="NO"/>
    <s v="NA"/>
    <n v="0"/>
    <n v="0"/>
    <s v="No"/>
    <n v="50"/>
    <m/>
    <n v="50"/>
    <m/>
    <n v="50"/>
    <m/>
    <m/>
    <n v="50"/>
    <s v="Con detalle por componente"/>
    <s v="Espacios de liderazgo o representación social,Trabajo social o comunitario,Artísticas o culturales"/>
    <s v="En unos años me veo como un profesional exitoso, gracias a la gran oportunidad que sería para mí poder estudiar en una de las mejores universidades en la facultad de negocios del país. Lograría salir perfectamente capacitado para empezar trabajando arduamente, y con el tiempo, montar mi propia empresa. Así podré sacar adelante a mi familia, la cual siempre ha luchado por brindarme lo mejor._x000a__x000a_Pero no solo quiero quedarme con eso, sino que, adicionalmente, también estoy interesado en generar empleos para contribuir a la sociedad en la que vivo. Este sueño lo quiero realizar en la ciudad de Medellín, para así poder retribuirle a mi mamá todo el esfuerzo que ha hecho por mí. Ella siempre ha creído en mis capacidades y, en muchas ocasiones, ha dejado de lado lo que es mejor para ella con tal de darme lo mejor que ha podido._x000a__x000a_Siempre he valorado profundamente su sacrificio. Debido a circunstancias de la vida, tuvimos que abandonar nuestra tierra y vivir por un tiempo en la ciudad de Bogotá. Ahora, como primer paso para mi proyecto de vida, me gustaría retribuirle, así sea un poco, todo lo que hizo por mí, sorprendiéndola con una beca, ya que un sueño nuestro siempre fue poder estudiar en esta gran universidad. Como ella es una madre cabeza de hogar, esta sería la única forma en la que podríamos hacer realidad ese sueño, pudiendo así volver a nuestra tierra con nuestra familia y emprender todos juntos este gran sueño._x000a__x000a_Hablando un poco más sobre el futuro, sé que montar una empresa de la nada no es fácil. Por eso, primero buscaría trabajar, para así reunir el presupuesto inicial que me permita_x000a_emprender este gran camino que espero pueda contribuir no solo a Medellín sino a Colombia e incluso otros países."/>
    <s v="Redes sociales"/>
    <s v="Por la calidad académica."/>
    <s v="Nivel académico de docentes."/>
    <n v="2"/>
    <s v="0"/>
    <s v="NO"/>
    <s v="NO"/>
    <s v="Entre 7 y 8 millones"/>
    <s v="Si"/>
    <n v="0"/>
    <n v="0"/>
    <m/>
    <s v="SI"/>
    <s v="Beca"/>
    <s v="NO"/>
    <s v=""/>
    <s v=""/>
    <s v="Sin información"/>
    <n v="0"/>
    <m/>
    <m/>
    <m/>
    <s v=""/>
    <s v=""/>
    <m/>
    <s v=""/>
    <m/>
    <s v=""/>
    <m/>
    <m/>
    <s v="Hace aproximadamente 13 años desde el divorcio de mis padres, no he vuelto a saber de él. Se fue del país y desde entonces no he tenido información ni apoyo alguno por su parte."/>
    <s v="Si"/>
    <s v="Mónica Maria Londoño Rendón"/>
    <s v="Soltero"/>
    <s v="ESPECIALIZACIÓN"/>
    <s v="53"/>
    <s v="Bacterióloga"/>
    <s v="Empleado (con contrato laboral)"/>
    <s v="Coordinadora Administrativa"/>
    <s v="Gimnasio Campestre Cristiano"/>
    <n v="7050000"/>
    <s v="No"/>
    <s v="SI"/>
    <s v="NO"/>
    <m/>
    <n v="7050000"/>
    <s v="Si"/>
    <s v="Diana Catalina Londoño Rendón"/>
    <s v="Tío / Tía"/>
    <s v="49"/>
    <s v="Tecnóloga Industrial"/>
    <s v="Emprendedora"/>
    <n v="2500000"/>
    <s v="No"/>
    <s v="Samuel Posada Londoño"/>
    <s v="Primos"/>
    <s v="17"/>
    <s v="Estudiante"/>
    <s v="EAFIT"/>
    <m/>
    <s v="No"/>
    <s v=""/>
    <s v=""/>
    <s v=""/>
    <s v=""/>
    <s v=""/>
    <m/>
    <s v=""/>
    <s v="Actualmente, si bien vivo con mi tía y mi primo, la única persona que aporta económicamente para mis estudios es mi madre, Mónica María Londoño."/>
    <n v="0"/>
    <n v="350000000"/>
    <n v="0"/>
    <n v="0"/>
    <n v="0"/>
    <s v="Si"/>
    <s v="Renauld"/>
    <s v="2017"/>
    <n v="35000000"/>
    <s v="No"/>
    <s v=""/>
    <s v=""/>
    <n v="0"/>
    <s v="No"/>
    <s v=""/>
    <s v=""/>
    <s v=""/>
    <n v="0"/>
    <s v="El apartamento tiene un crédito hipotecario con un valor mensual de $1,786,683. En el fondo nacional del ahorro bajo el número 4373600815. Actualmente, el aspirante a la beca no reside en el apartamento mencionado anteriormente, sino que vive en el apartamento familiar de Medellín, adjuntado en la pregunta 2. Este apartamento tiene un avalúo de 111.870.000."/>
    <n v="4"/>
    <n v="4"/>
    <n v="4"/>
    <n v="4"/>
    <n v="4"/>
    <n v="4"/>
    <n v="4"/>
    <n v="4"/>
    <n v="4"/>
    <n v="4"/>
    <n v="40"/>
    <s v="SI"/>
    <m/>
    <s v="SI, SON PRI"/>
    <s v="ok tienen todos los datos"/>
    <s v="Negada"/>
    <n v="20251"/>
    <m/>
    <n v="3"/>
    <n v="10"/>
    <n v="8"/>
    <n v="10"/>
    <n v="15"/>
    <n v="15"/>
    <n v="20"/>
    <n v="7"/>
    <n v="7.5"/>
    <n v="77.5"/>
    <n v="0.4"/>
    <m/>
    <n v="2"/>
    <n v="3.5"/>
    <n v="1"/>
    <n v="1"/>
    <n v="2"/>
    <n v="3"/>
    <n v="1"/>
    <n v="1"/>
    <n v="75"/>
    <n v="0.4"/>
    <n v="0.4"/>
    <e v="#N/A"/>
    <m/>
    <m/>
    <n v="0"/>
    <m/>
    <m/>
    <s v="Negocios Internacionales"/>
    <e v="#N/A"/>
    <s v="002"/>
    <e v="#N/A"/>
  </r>
  <r>
    <s v="TI"/>
    <n v="1027661652"/>
    <s v="1000391632"/>
    <s v="SAMANTHA CASTRILLÓN CÉSPEDES"/>
    <s v="Estudios por primera vez"/>
    <x v="1"/>
    <s v="Descartado por ingresos altos"/>
    <m/>
    <s v="En publico objetivo"/>
    <s v="2da Cohorte"/>
    <s v="Admitido"/>
    <s v="scastrilc3@eafit.edu.co"/>
    <s v="scastrilc3@eafit.edu.co"/>
    <s v="castrillonsc05@gmail.com"/>
    <s v="573227562261"/>
    <d v="2025-05-16T00:00:00"/>
    <s v="Activo en Programa"/>
    <s v="001-Administración de Negocios"/>
    <s v="Escuela de Administración"/>
    <d v="2008-02-05T00:00:00"/>
    <n v="17"/>
    <s v="Antioquia"/>
    <s v="Medellín"/>
    <s v="Mujer"/>
    <s v="Soltero"/>
    <s v="NO"/>
    <s v="NO"/>
    <n v="0"/>
    <s v="NO"/>
    <s v="NA"/>
    <s v="NO"/>
    <s v="NA"/>
    <s v="NO"/>
    <s v="NA"/>
    <s v="No"/>
    <s v="322/756-2261"/>
    <s v="573227562261"/>
    <s v="Estrato 3"/>
    <s v="Rionegro Antioquia"/>
    <s v="Antioquia"/>
    <s v="Rionegro"/>
    <s v="Si"/>
    <s v="Arriendo"/>
    <s v="SI"/>
    <s v="2024"/>
    <s v="AC202433443892"/>
    <n v="334"/>
    <n v="61"/>
    <n v="65"/>
    <s v="Pública"/>
    <s v="I. E. CONJ. MPAL. EL PORVENIR"/>
    <n v="2024"/>
    <m/>
    <s v="Rionegro"/>
    <s v="Bachillerato"/>
    <s v="BACHILLER"/>
    <s v="TIPO: Pública, INSTITUCION: I. E. CONJ. MPAL. EL PORVENIR, AÑO: 2024, CIUDAD: Rionegro, TITULO: BACHILLER"/>
    <s v="11"/>
    <s v="Escala de 0 - 5"/>
    <s v="Escala de 0 - 5"/>
    <s v="1,5"/>
    <s v="4,5"/>
    <s v="44"/>
    <s v="5"/>
    <s v="4,5"/>
    <s v="44"/>
    <n v="5"/>
    <n v="5"/>
    <n v="5"/>
    <n v="4.5"/>
    <n v="4.3"/>
    <n v="5"/>
    <s v="5"/>
    <s v="4,3"/>
    <s v="50"/>
    <s v="4,5"/>
    <s v="4,4"/>
    <s v="50"/>
    <s v="5"/>
    <s v="5"/>
    <s v="50"/>
    <s v="De 9, 10 y 11"/>
    <n v="4.8"/>
    <s v="NO"/>
    <s v="NA"/>
    <n v="0"/>
    <n v="0"/>
    <s v="No"/>
    <n v="50"/>
    <m/>
    <n v="50"/>
    <m/>
    <n v="50"/>
    <m/>
    <s v="muy animada con el pregrado, lo conoció en rionegro, ya había tenido una beca en EAFIT pero por problemas económicos no pudo, pero ya tiene todo más organizado para comenzar"/>
    <n v="50"/>
    <s v="Con detalle por componente"/>
    <s v="Artísticas o culturales,Deportistas de alto rendimiento o representativo,Espacios de liderazgo o representación social"/>
    <s v="Administrar sueños, transformar realidades_x000a_Desde muy joven comprendí que quería dedicar mi vida a liderar cambios reales, y encontré en la Administración de Negocios el camino ideal para lograrlo. A lo largo de mi formación escolar y técnica, descubrí que tengo una gran capacidad para organizar, liderar, comunicar y, sobre todo, conectar con las necesidades de las personas. Ser contralora estudiantil, destacar en mis estudios y formarme como auxiliar administrativa me confirmó que mi vocación está en crear proyectos que transformen vidas, comenzando por las de mi comunidad._x000a_Vivir en Rionegro, una región que ha crecido gracias al impulso empresarial y la innovación, me ha inspirado profundamente. Visualizo mi futuro liderando iniciativas que respondan a los retos de mi entorno: generando empleo digno, promoviendo la sostenibilidad, fortaleciendo el tejido social y creando oportunidades para quienes aún no las han tenido. Sueño con empresas que respeten el entorno, valoren el talento local y devuelvan algo a la comunidad. No quiero ser una administradora más: quiero ser una mujer que piense estratégicamente, actúe con propósito y se atreva a transformar realidades desde lo humano y empresarial._x000a_Tener la oportunidad de acceder a una beca que reconoce el talento, el esfuerzo y el compromiso social de los jóvenes representa mucho más que apoyo: es una responsabilidad. Es confiar en que una persona como yo puede marcar la diferencia. Es la posibilidad de prepararme con excelencia y luego devolver ese conocimiento a mi territorio, sembrando ideas que florezcan en soluciones reales, sostenibles y necesarias. _x000a_Mi compromiso es claro: usar lo aprendido para transformar mi región, para inspirar con el ejemplo y abrir caminos donde antes solo había barreras. Porque al final, ¿de qué sirve lograr nuestros sueños si no los usamos para cambiar el mundo de los demás?"/>
    <s v="A través del Colegio"/>
    <s v="Internacionalización."/>
    <s v="Vocación."/>
    <n v="3"/>
    <s v="2"/>
    <s v="SI"/>
    <s v="NO"/>
    <s v="Entre 7 y 8 millones"/>
    <s v="No"/>
    <s v="NO"/>
    <s v="SI"/>
    <m/>
    <s v="SI"/>
    <m/>
    <s v="SI"/>
    <s v="CODIFICACION &amp; ETIQUETADO SA"/>
    <s v="auxiliar del showroom"/>
    <s v="Si"/>
    <s v="Juan Camilo Castrillón Velez"/>
    <s v="Casado"/>
    <s v="TÉCNICA"/>
    <s v="42"/>
    <s v="técnico en logística"/>
    <s v="Empleado (con contrato laboral)"/>
    <s v="Jefe de logistica"/>
    <s v="Extiblu sas"/>
    <n v="6000000"/>
    <s v="No"/>
    <s v="NO"/>
    <s v="NO"/>
    <s v=""/>
    <s v="Si"/>
    <s v="Sandra Milena Céspedes Torres"/>
    <s v="Casado"/>
    <s v="TÉCNICA"/>
    <s v="39"/>
    <s v="técnica en auxiliar administrativo"/>
    <s v="Empleado (con contrato laboral)"/>
    <s v="Coordinadora de despacho"/>
    <s v="transportes urbano Rionegro"/>
    <n v="1709900"/>
    <s v="Si"/>
    <s v="SI"/>
    <s v="NO"/>
    <m/>
    <n v="7709900"/>
    <s v="Si"/>
    <s v="Saul Castrillon Céspedes"/>
    <s v="Hermano / Hermana"/>
    <s v="15"/>
    <s v="Estudiante"/>
    <s v="I.E Concejo Municipal el Porvenir"/>
    <n v="0"/>
    <s v="No"/>
    <s v=""/>
    <s v=""/>
    <s v=""/>
    <s v=""/>
    <s v=""/>
    <m/>
    <s v=""/>
    <s v=""/>
    <s v=""/>
    <s v=""/>
    <s v=""/>
    <s v=""/>
    <m/>
    <s v=""/>
    <s v=""/>
    <n v="0"/>
    <n v="0"/>
    <n v="0"/>
    <n v="0"/>
    <n v="0"/>
    <s v="No"/>
    <s v=""/>
    <s v=""/>
    <n v="0"/>
    <s v="No"/>
    <s v=""/>
    <s v=""/>
    <n v="0"/>
    <s v="No"/>
    <s v=""/>
    <s v=""/>
    <s v=""/>
    <n v="0"/>
    <m/>
    <n v="4"/>
    <n v="4"/>
    <n v="4"/>
    <n v="4"/>
    <n v="4"/>
    <n v="4"/>
    <n v="3"/>
    <n v="4"/>
    <n v="4"/>
    <n v="4"/>
    <n v="39"/>
    <s v="SI"/>
    <m/>
    <s v="SI, SON PRI"/>
    <s v="ok tienen todos los datos"/>
    <n v="0.4"/>
    <n v="20251"/>
    <m/>
    <n v="3"/>
    <n v="10"/>
    <n v="8"/>
    <n v="10"/>
    <n v="20"/>
    <n v="15"/>
    <n v="20"/>
    <n v="13"/>
    <n v="13"/>
    <n v="88"/>
    <n v="0.4"/>
    <m/>
    <n v="3.5"/>
    <n v="4.5"/>
    <n v="1"/>
    <n v="4"/>
    <n v="3.5"/>
    <n v="4"/>
    <n v="1"/>
    <n v="4.5"/>
    <n v="86"/>
    <n v="0.4"/>
    <n v="0.5"/>
    <e v="#N/A"/>
    <m/>
    <m/>
    <n v="0"/>
    <m/>
    <m/>
    <s v="Administración de Negocios"/>
    <e v="#N/A"/>
    <s v="001"/>
    <e v="#N/A"/>
  </r>
  <r>
    <s v="CC"/>
    <n v="1027740661"/>
    <s v="1000389602"/>
    <s v="ANDRÉS FELIPE GIRALDO ARBELAEZ"/>
    <s v="Estudios por primera vez"/>
    <x v="1"/>
    <s v="Descartado por ingresos altos"/>
    <m/>
    <s v="En publico objetivo"/>
    <s v="2da Cohorte"/>
    <s v="Admitido"/>
    <s v="afgiralda1@eafit.edu.co"/>
    <s v="afgiralda1@eafit.edu.co"/>
    <s v="afgiralda1@eafit.edu.co"/>
    <s v="573226034217"/>
    <d v="2025-05-16T00:00:00"/>
    <s v="Activo en Programa"/>
    <s v="001-Administración de Negocios"/>
    <s v="Escuela de Administración"/>
    <d v="2006-05-02T00:00:00"/>
    <n v="19"/>
    <s v="Antioquia"/>
    <s v="Medellín"/>
    <s v="Hombre"/>
    <s v="Soltero"/>
    <s v="NO"/>
    <s v="NO"/>
    <n v="0"/>
    <s v="NO"/>
    <s v="NA"/>
    <s v="NO"/>
    <s v="NA"/>
    <s v="NO"/>
    <s v="NA"/>
    <s v="No"/>
    <s v="322/603-4217"/>
    <s v="573226034217"/>
    <s v="Estrato 3"/>
    <s v="CL 21#20 14"/>
    <s v="Antioquia"/>
    <s v="San Rafael"/>
    <s v="Si"/>
    <s v="Propio"/>
    <s v="SI"/>
    <s v="2024"/>
    <s v="AC202432073591"/>
    <n v="315"/>
    <n v="63"/>
    <n v="62"/>
    <s v="Pública"/>
    <s v="IE San Rafael"/>
    <n v="2024"/>
    <m/>
    <s v="SAN RAFAEL¿"/>
    <s v="Bachillerato"/>
    <s v="Académico"/>
    <m/>
    <s v="11"/>
    <s v="Escala de 0 - 5"/>
    <s v="Escala de 0 - 5"/>
    <s v="4"/>
    <s v="3,4"/>
    <m/>
    <s v="4"/>
    <s v="3,4"/>
    <m/>
    <n v="4"/>
    <n v="4.3"/>
    <m/>
    <n v="3.8"/>
    <n v="4.5999999999999996"/>
    <m/>
    <s v="4"/>
    <s v="3,9"/>
    <m/>
    <s v="4"/>
    <s v="4,2"/>
    <m/>
    <s v="4"/>
    <s v="3,4"/>
    <m/>
    <s v="De 9 y 10"/>
    <n v="4.1750000000000007"/>
    <s v="NO"/>
    <s v="NA"/>
    <n v="0"/>
    <n v="0"/>
    <s v="No"/>
    <n v="40"/>
    <m/>
    <n v="40"/>
    <m/>
    <n v="40"/>
    <m/>
    <m/>
    <n v="40"/>
    <s v="Con detalle por componente"/>
    <s v="Ninguna"/>
    <s v="En mi futuro, me veo como un administrador de empresas exitoso, desarrollando organizaciones que ayuden a las personas menos favorecidas de la región antioqueña. Mi objetivo es generar empleo y capacitar a las personas con las nuevas tecnologías de la era digital en la que estamos inmersos. Esto lo haría con el propósito de mitigar la problemática que presentan las zonas rurales de Antioquia: la brecha digital. La generación de empleo causaría dos impactos relevantes en las personas. El primero sería el soporte económico, y el segundo, la reducción de la desconexión que existe en la región. La brecha digital es una problemática que perpetúa la desigualdad, ya que impide el acceso a oportunidades educativas, laborales y sociales, entre otras._x000a__x000a_Desde muy pequeño, he estado empapado del sector comercial. Mis padres han tenido diferentes negocios, lo que ha despertado en mí un especial interés en ellos. Gracias a esto, ya he adquirido ciertos conocimientos prácticos en el área. Este año, tuve la gran oportunidad de realizar un curso de marketing digital en la universidad. Fue una experiencia valiosa que me ayudó a enriquecer mi conocimiento. Sin embargo, me inclino más por el área de la administración, debido a mi afinidad con sus temáticas. Posteriormente, podría realizar un énfasis en finanzas o mercadeo._x000a__x000a_La región cuenta con muchos espacios que pueden fomentar el turismo. La creación de empresas y una buena administración pueden maximizar el potencial turístico de Antioquia. Para concluir, tengo conocimiento de que EAFIT, desde su creación, ha sido una universidad enfocada en la administración y las finanzas. Se distingue por su calidad humana, y también es de mi interés, ya que busca educar empresarios transformadores de la sociedad._x000a__x000a_Por último, deseo obtener una beca de la universidad, ya que facilitaría que los recursos que mi madre obtiene se destinen de forma apropiada para mi desplazamiento y las responsabilidades inherentes a mi preparación profesional."/>
    <s v="Amigos"/>
    <s v="Por la calidad académica."/>
    <s v="Vocación."/>
    <n v="2"/>
    <s v="1"/>
    <s v="NO"/>
    <s v="SI"/>
    <s v="Entre 1 y 2 millones"/>
    <s v="Si"/>
    <s v="SI"/>
    <s v="SI"/>
    <m/>
    <s v="SI"/>
    <m/>
    <s v="NO"/>
    <s v=""/>
    <s v=""/>
    <s v="Si"/>
    <s v="Ivan De Jesus Giraldo"/>
    <s v="Soltero"/>
    <s v="UNIVERSITARIOS"/>
    <s v="70"/>
    <s v="Pensionado"/>
    <s v="Pensionado"/>
    <s v="Pensionado"/>
    <s v="Ninguna"/>
    <n v="4000000"/>
    <s v="No"/>
    <s v="NO"/>
    <s v="NO"/>
    <s v="Mi padre no vive conmigo, el tiene un hogar aparte, la colaboración de el para mi educación limitada"/>
    <s v="Si"/>
    <s v="Janet Clemencia Arbelaez"/>
    <s v="Otro"/>
    <m/>
    <s v="49"/>
    <s v="Comerciante independiente"/>
    <s v="Independiente (trabaja por cuenta propia)"/>
    <s v="Propietaria panadería y repostería La Tartaleta"/>
    <s v="La Tartaleta San Rafael"/>
    <n v="2000000"/>
    <s v="Si"/>
    <s v="NO"/>
    <s v="NO"/>
    <s v="Mi madre es la persona que va a apoyarme en todo el proceso en mi educación profesional"/>
    <n v="6000000"/>
    <s v="Si"/>
    <s v="Javier De Jesus Arbelaez Taborda"/>
    <s v="Abuelo / Abuela"/>
    <s v="78"/>
    <s v="Pensionado"/>
    <s v="EPM"/>
    <n v="3500000"/>
    <s v="No"/>
    <s v=""/>
    <s v=""/>
    <s v=""/>
    <s v=""/>
    <s v=""/>
    <m/>
    <s v=""/>
    <s v=""/>
    <s v=""/>
    <s v=""/>
    <s v=""/>
    <s v=""/>
    <m/>
    <s v=""/>
    <s v=""/>
    <n v="0"/>
    <n v="0"/>
    <n v="0"/>
    <n v="0"/>
    <n v="0"/>
    <s v="No"/>
    <s v=""/>
    <s v=""/>
    <n v="0"/>
    <s v="No"/>
    <s v=""/>
    <s v=""/>
    <n v="0"/>
    <s v="No"/>
    <s v=""/>
    <s v=""/>
    <s v=""/>
    <n v="0"/>
    <s v="0"/>
    <n v="4"/>
    <n v="4"/>
    <n v="3"/>
    <n v="4"/>
    <n v="4"/>
    <n v="4"/>
    <n v="4"/>
    <n v="4"/>
    <n v="4"/>
    <n v="4"/>
    <n v="39"/>
    <s v="SI"/>
    <s v="SI, TIPO IE"/>
    <s v="PRI SIN TIPO IE"/>
    <s v="pendiente tipo ie"/>
    <e v="#N/A"/>
    <e v="#N/A"/>
    <m/>
    <n v="3"/>
    <n v="10"/>
    <n v="8"/>
    <n v="5"/>
    <n v="15"/>
    <n v="15"/>
    <n v="10"/>
    <n v="12.5"/>
    <n v="12"/>
    <n v="67"/>
    <n v="0.4"/>
    <m/>
    <n v="3.5"/>
    <n v="2.5"/>
    <n v="3"/>
    <n v="3"/>
    <n v="3.5"/>
    <n v="2.5"/>
    <n v="3"/>
    <n v="3.5"/>
    <n v="65.5"/>
    <n v="0.4"/>
    <n v="0.4"/>
    <e v="#N/A"/>
    <m/>
    <m/>
    <s v="SI, TIPO IE"/>
    <m/>
    <m/>
    <s v="Administración de Negocios"/>
    <e v="#N/A"/>
    <s v="001"/>
    <e v="#N/A"/>
  </r>
  <r>
    <s v="TI"/>
    <n v="1027740662"/>
    <s v="1000309614"/>
    <s v="SEBASTIAN RODRIGUEZ MONTOYA"/>
    <s v="Estudios por primera vez"/>
    <x v="1"/>
    <s v="Descartado por propiedades"/>
    <m/>
    <s v="En publico objetivo"/>
    <s v="2da Cohorte"/>
    <s v="Admitido"/>
    <s v="srodrigu30@eafit.edu.co"/>
    <s v="srodrigu30@eafit.edu.co"/>
    <s v="rtian274@gmail.com"/>
    <s v="315/662-3979"/>
    <d v="2025-05-16T00:00:00"/>
    <s v="Activo en Programa"/>
    <s v="112-Comunicación Social"/>
    <s v="Escuela de Artes y Humanidades"/>
    <d v="2006-04-20T00:00:00"/>
    <n v="19"/>
    <s v="Antioquia"/>
    <s v="Medellín"/>
    <s v="Hombre"/>
    <s v="Soltero"/>
    <s v="NO"/>
    <s v="SI"/>
    <s v="Montería"/>
    <s v="NO"/>
    <s v="NA"/>
    <s v="NO"/>
    <s v="NA"/>
    <s v="NO"/>
    <s v="NA"/>
    <s v="No"/>
    <s v="301/591-3656"/>
    <s v="315/662-3979"/>
    <s v="Estrato 3"/>
    <s v="CL 29 28 36"/>
    <s v="Antioquia"/>
    <s v="Medellín"/>
    <s v="No aplica, no soy foráneo"/>
    <s v="Propio"/>
    <s v="SI"/>
    <s v="2022"/>
    <s v="AC202244555249"/>
    <n v="310"/>
    <n v="73"/>
    <n v="60"/>
    <s v="Privada"/>
    <s v="INST COLOMBO VENEZOLANO"/>
    <n v="2022"/>
    <s v="Antioquia"/>
    <s v="Medellín"/>
    <s v="BACHILLER"/>
    <s v="ACAD"/>
    <s v="TIPO: Privada, INSTITUCION: INST COLOMBO VENEZOLANO, AÑO: 2022, CIUDAD: Medellín, TITULO: BACHILLER"/>
    <s v="11"/>
    <s v="Escala de 0 - 5"/>
    <s v="Escala de 0 - 5"/>
    <s v="5"/>
    <s v="4,2"/>
    <m/>
    <s v="4,5"/>
    <s v="4"/>
    <m/>
    <n v="4.2"/>
    <n v="4.5"/>
    <m/>
    <n v="4.3"/>
    <n v="4.5"/>
    <m/>
    <s v="5"/>
    <s v="5"/>
    <m/>
    <s v="4,5"/>
    <s v="4,6"/>
    <m/>
    <s v="4,5"/>
    <s v="4,5"/>
    <m/>
    <s v="De 9 y 10"/>
    <n v="4.375"/>
    <s v="NO"/>
    <s v="NA"/>
    <n v="0"/>
    <n v="0"/>
    <s v="No"/>
    <n v="45"/>
    <m/>
    <n v="40"/>
    <m/>
    <n v="45"/>
    <m/>
    <m/>
    <n v="43.333333333333336"/>
    <s v="Con detalle por componente"/>
    <s v="Deportistas de alto rendimiento o representativo,Espacios de liderazgo o representación social,Trabajo social o comunitario"/>
    <s v="Mi proyecto ejerciendo la comunicación social es el medio para transformar vidas y construir una sociedad más consciente, empática y con propósito. Desde mi experiencia acompañando jóvenes, he visto el poder que tiene una palabra bien dicha, o una historia bien contada. Pienso fielmente que la comunicación no solo informa, sino también forma, guía, e inspira. Anhelo usar las herramientas de la comunicación para hablar sobre temas que realmente me importan identidad, propósito, esperanza, carácter y dirección de vida. Me interesa tanto la comunicación verbal como la no verbal, y cómo cada una puede ser utilizada para conectar con las personas de manera real y significativa. Me veo desarrollando proyectos, contenidos y espacios que despierten el pensamiento, la reflexión y la acción, especialmente en jóvenes que buscan un propósito y dirección, y aun los que no saben que les hace falta, o los que no quieren buscar uno._x000a__x000a_Conseguir la beca representa para mí la oportunidad de acceder a una formación de alta calidad, algo que me ayudaría a profesionalizar mi propósito. Me permitirá fortalecer mis capacidades, crecer profesionalmente y poder ampliar el impacto que ya ha comenzado a tener en mi comunidad, y llevarlo más allá._x000a__x000a_Seré un comunicador que no solo transmite información, sino que seré un puente para la transformación de ambientes y corazones. Quiero generar contenido que confronte sin herir, que inspire sin imponer, y que acompañe sin juzgar. Mi deseo es que, a través de mi influencia, mis ideas y mis acciones, las personas puedan sentirse amadas y guiadas hacia el camino, la verdad y la vida. Comunicar es en lo que quiero caminar con excelencia, verdad y amor."/>
    <s v="Otro"/>
    <s v="Por la oferta académica."/>
    <s v="Vocación."/>
    <n v="5"/>
    <s v="2"/>
    <s v="SI"/>
    <s v="NO"/>
    <s v="Entre 2 y 3 millones"/>
    <s v="Si"/>
    <n v="0"/>
    <n v="0"/>
    <m/>
    <s v="SI"/>
    <s v="Beca"/>
    <s v="NO"/>
    <s v=""/>
    <s v=""/>
    <s v="Si"/>
    <s v="Ildelfonso Suarez Jimenez"/>
    <m/>
    <m/>
    <m/>
    <s v="Conductor"/>
    <s v="Pensionado"/>
    <s v="Pensionado"/>
    <s v="N/A"/>
    <n v="1200000"/>
    <s v="Si"/>
    <m/>
    <m/>
    <s v="Es mi padrastro, con quien vivo desde pequeño, que hizo de figura paterna"/>
    <s v="Si"/>
    <s v="María Elena Montoya"/>
    <s v="Soltero"/>
    <s v="BACHILLERATO"/>
    <s v="60"/>
    <s v="ama de casa"/>
    <s v="Labores del hogar y cuidado"/>
    <s v="Ama de casa"/>
    <s v="N/A"/>
    <n v="0"/>
    <s v="Si"/>
    <s v="NO"/>
    <s v="NO"/>
    <m/>
    <n v="1200000"/>
    <s v="Si"/>
    <s v="Elizabeth Rodriguez Montoya"/>
    <s v="Hermano / Hermana"/>
    <s v="32"/>
    <s v="Comerciante"/>
    <s v="Linea Estetica"/>
    <n v="1550000"/>
    <s v="Si"/>
    <s v="Samuel Muriel Rodriguez"/>
    <s v="Sobrino"/>
    <s v="6"/>
    <s v="Estudiante"/>
    <s v="Cosmos School"/>
    <n v="0"/>
    <s v="No"/>
    <s v=""/>
    <s v=""/>
    <s v=""/>
    <s v=""/>
    <s v=""/>
    <m/>
    <s v=""/>
    <s v=""/>
    <n v="350000000"/>
    <n v="0"/>
    <n v="0"/>
    <n v="0"/>
    <n v="0"/>
    <s v="Si"/>
    <s v="Chevrolet"/>
    <s v="2014"/>
    <n v="24000000"/>
    <s v="No"/>
    <s v=""/>
    <s v=""/>
    <n v="0"/>
    <s v="Si"/>
    <s v="Moto"/>
    <s v="Akt"/>
    <s v="2011"/>
    <n v="2000000"/>
    <m/>
    <n v="3"/>
    <n v="3"/>
    <n v="2"/>
    <n v="4"/>
    <n v="4"/>
    <n v="3"/>
    <n v="3"/>
    <n v="4"/>
    <n v="4"/>
    <n v="3"/>
    <n v="33"/>
    <s v="SI"/>
    <m/>
    <s v="SI, SON PRI"/>
    <s v="ok tienen todos los datos"/>
    <e v="#N/A"/>
    <e v="#N/A"/>
    <m/>
    <n v="2"/>
    <n v="10"/>
    <n v="8"/>
    <n v="5"/>
    <n v="15"/>
    <n v="10"/>
    <n v="15"/>
    <n v="13.5"/>
    <n v="13.5"/>
    <n v="68.5"/>
    <n v="0.4"/>
    <m/>
    <n v="2"/>
    <n v="2.5"/>
    <n v="8"/>
    <n v="1"/>
    <n v="2"/>
    <n v="2.5"/>
    <n v="8"/>
    <n v="1"/>
    <n v="66.5"/>
    <n v="0.4"/>
    <n v="0.4"/>
    <e v="#N/A"/>
    <m/>
    <m/>
    <n v="0"/>
    <m/>
    <m/>
    <s v="Comunicación Social"/>
    <e v="#N/A"/>
    <s v="112"/>
    <e v="#N/A"/>
  </r>
  <r>
    <s v="CC"/>
    <n v="1027740852"/>
    <s v="1000393774"/>
    <s v="ANTONIO GÓMEZ RESTREPO"/>
    <s v="Estudios por primera vez"/>
    <x v="1"/>
    <s v="No cumple, estrato 4"/>
    <m/>
    <s v="En publico objetivo"/>
    <s v="2da Cohorte"/>
    <s v="Admitido"/>
    <s v="agomezr15@eafit.edu.co"/>
    <s v="agomezr15@eafit.edu.co"/>
    <s v="anto1234gom@gmail.com"/>
    <s v="302/312-5884"/>
    <d v="2025-05-16T00:00:00"/>
    <s v="Activo en Programa"/>
    <s v="002-Negocios Internacionales"/>
    <s v="Escuela de Administración"/>
    <d v="2006-12-26T00:00:00"/>
    <n v="18"/>
    <s v="Antioquia"/>
    <s v="Medellín"/>
    <s v="Hombre"/>
    <s v="Soltero"/>
    <s v="NO"/>
    <s v="NO"/>
    <n v="0"/>
    <s v="NO"/>
    <s v="NA"/>
    <s v="NO"/>
    <s v="NA"/>
    <s v="NO"/>
    <s v="NA"/>
    <s v="No"/>
    <s v="302/312-5884"/>
    <s v="302/312-5884"/>
    <s v="Estrato 4"/>
    <s v="TV 27 A SUR #42 46"/>
    <s v="Antioquia"/>
    <s v="Envigado"/>
    <s v="No aplica, no soy foráneo"/>
    <s v="Familiar"/>
    <s v="SI"/>
    <s v="2024"/>
    <s v="AC202433233152"/>
    <n v="394"/>
    <n v="73"/>
    <n v="100"/>
    <s v="Privada"/>
    <s v="COLOMBO BRITANICO"/>
    <n v="2024"/>
    <s v="Antioquia"/>
    <s v="Envigado"/>
    <s v="BACHILLER"/>
    <n v="0"/>
    <s v="TIPO: Privada, INSTITUCION: COLOMBO BRITANICO, AÑO: 2024, CIUDAD: Envigado, TITULO: BACHILLER"/>
    <s v="11"/>
    <s v="Escala de 0 - 7"/>
    <s v="Escala de 0 - 7"/>
    <s v="4"/>
    <s v="4,5"/>
    <m/>
    <s v="4"/>
    <s v="4"/>
    <m/>
    <n v="4"/>
    <n v="4.5"/>
    <m/>
    <n v="4"/>
    <n v="5"/>
    <m/>
    <s v="4,7"/>
    <s v="5"/>
    <m/>
    <s v="5"/>
    <s v="4,2"/>
    <m/>
    <s v="4,5"/>
    <s v="4"/>
    <m/>
    <s v="De 9 y 10"/>
    <n v="4.375"/>
    <s v="NO"/>
    <s v="NA"/>
    <n v="0"/>
    <n v="0"/>
    <s v="No"/>
    <n v="50"/>
    <m/>
    <n v="50"/>
    <m/>
    <n v="50"/>
    <m/>
    <m/>
    <n v="50"/>
    <s v="Con detalle por componente"/>
    <s v="Deportistas de alto rendimiento o representativo"/>
    <s v="Visualizo mi futuro como un líder dinámico en el ámbito de los negocios internacionales, aplicando mis fortalezas como deportista líder de selección Colombia y Antioquia en repetidas ocasiones  – disciplina, estrategia y trabajo en equipo – para forjar acuerdos y expandir mercados. Mi carisma y habilidades sociales me permitirán construir relaciones sólidas y efectivas, mientras que mi capacidad intelectual me impulsará a tomar decisiones estratégicas informadas. Me veo dirigiendo equipos de personas con respeto, responsabilidad, creatividad y disciplina cultivando un ambiente de alto rendimiento y colaboración._x000a__x000a_La obtención de esta beca es fundamental para transformar mi región a través del Ultimate Frisbee Colombiano y Antioqueño. Mi sueño es profesionalizar este deporte, gestionando la federación para establecer alianzas que atraigan inversión y patrocinios específicamente para los semilleros y procesos juveniles de todo mi departamento, así creando bases solidas de jugadores que representen a Antioquia en un futuro. Esto no solo brindará mejores oportunidades a los atletas, sino que también proyectará una imagen positiva de Colombia a nivel global, fomentando el turismo deportivo y generando un impacto económico significativo. Mi formación en Negocios Internacionales me proporcionará las herramientas para estructurar acuerdos beneficiosos, desarrollar estrategias de marketing deportivo efectivas y gestionar organizaciones deportivas de manera sostenible. Aspiro a ser un puente entre el talento deportivo colombiano y las oportunidades internacionales, elevando el estatus y el reconocimiento del Ultimate Frisbee en Antioquia y en todo el país."/>
    <s v="Otro"/>
    <s v="Internacionalización."/>
    <s v="Vocación."/>
    <n v="4"/>
    <s v="1"/>
    <s v="NO"/>
    <s v="NO"/>
    <s v="Entre 4 y 5 millones"/>
    <s v="Si"/>
    <s v="NO"/>
    <n v="0"/>
    <m/>
    <s v="SI"/>
    <s v="Beca"/>
    <s v="NO"/>
    <s v=""/>
    <s v=""/>
    <s v="Si"/>
    <s v="Luis Felipe Gómez Arango"/>
    <s v="Casado"/>
    <s v="UNIVERSITARIOS"/>
    <s v="61"/>
    <s v="Diseñador grafico"/>
    <s v="Empleado (con contrato laboral)"/>
    <s v="jefe de personal"/>
    <s v="GOMEZ ARANGO S.A.S."/>
    <n v="5100000"/>
    <s v="Si"/>
    <s v="NO"/>
    <s v="SI"/>
    <s v=""/>
    <s v="Si"/>
    <s v="Alejandra Restrepo Vélez"/>
    <s v="Casado"/>
    <s v="UNIVERSITARIOS"/>
    <s v="51"/>
    <s v="Artista plastica"/>
    <s v="Labores del hogar y cuidado"/>
    <s v="Ama de casa"/>
    <s v="N/A"/>
    <n v="0"/>
    <s v="Si"/>
    <s v="NO"/>
    <s v="SI"/>
    <m/>
    <n v="5100000"/>
    <s v="Si"/>
    <s v="Juan José Gómez Restrepo"/>
    <s v="Hermano / Hermana"/>
    <s v="20"/>
    <s v="Estudiante"/>
    <s v="Escuela de Audio y Sonido"/>
    <n v="0"/>
    <s v="No"/>
    <s v=""/>
    <s v=""/>
    <s v=""/>
    <s v=""/>
    <s v=""/>
    <m/>
    <s v=""/>
    <s v=""/>
    <s v=""/>
    <s v=""/>
    <s v=""/>
    <s v=""/>
    <m/>
    <s v=""/>
    <s v=""/>
    <n v="0"/>
    <n v="320000000"/>
    <n v="0"/>
    <n v="0"/>
    <n v="0"/>
    <s v="Si"/>
    <s v="Chevrolet"/>
    <s v="2013"/>
    <n v="2600000"/>
    <s v="No"/>
    <s v=""/>
    <s v=""/>
    <n v="0"/>
    <s v="No"/>
    <s v=""/>
    <s v=""/>
    <s v=""/>
    <n v="0"/>
    <m/>
    <n v="4"/>
    <n v="4"/>
    <n v="4"/>
    <n v="4"/>
    <n v="4"/>
    <n v="4"/>
    <n v="4"/>
    <n v="4"/>
    <n v="4"/>
    <n v="4"/>
    <n v="40"/>
    <s v="SI"/>
    <m/>
    <s v="SI, SON PRI"/>
    <s v="ok tienen todos los datos"/>
    <s v="Negada"/>
    <n v="20251"/>
    <m/>
    <n v="3"/>
    <n v="4"/>
    <n v="4"/>
    <n v="15"/>
    <n v="5"/>
    <n v="15"/>
    <n v="20"/>
    <n v="12.5"/>
    <n v="9.5"/>
    <n v="68.5"/>
    <n v="0.4"/>
    <m/>
    <n v="2"/>
    <n v="3.5"/>
    <n v="3"/>
    <n v="1"/>
    <n v="2"/>
    <n v="3.5"/>
    <n v="6"/>
    <n v="1"/>
    <n v="71.5"/>
    <n v="0.4"/>
    <n v="0.4"/>
    <e v="#N/A"/>
    <m/>
    <m/>
    <n v="0"/>
    <m/>
    <m/>
    <s v="Negocios Internacionales"/>
    <e v="#N/A"/>
    <s v="002"/>
    <e v="#N/A"/>
  </r>
  <r>
    <s v="TI"/>
    <n v="1027741082"/>
    <s v="1000389513"/>
    <s v="JERONIMO PELAEZ ESTRADA"/>
    <s v="Estudios por primera vez"/>
    <x v="1"/>
    <s v="Descartado por notas"/>
    <m/>
    <s v="En publico objetivo"/>
    <s v="2da Cohorte"/>
    <s v="Admitido"/>
    <s v="jpelaeze@eafit.edu.co"/>
    <s v="jpelaeze@eafit.edu.co"/>
    <s v="jpelaez1170@gmail.com"/>
    <s v="573045835224"/>
    <d v="2025-05-16T00:00:00"/>
    <s v="Activo en Programa"/>
    <s v="010-Ingeniería de Sistemas"/>
    <s v="E Ciencias Aplic e Ingeniería"/>
    <d v="2007-09-28T00:00:00"/>
    <n v="18"/>
    <s v="Antioquia"/>
    <s v="Medellín"/>
    <s v="Hombre"/>
    <s v="Soltero"/>
    <s v="NO"/>
    <s v="NO"/>
    <n v="0"/>
    <s v="NO"/>
    <s v="NA"/>
    <s v="NO"/>
    <s v="NA"/>
    <s v="NO"/>
    <s v="NA"/>
    <s v="No"/>
    <s v="304/583-5524"/>
    <s v="573045835224"/>
    <s v="Estrato 3"/>
    <s v="CL 32 #32 24"/>
    <s v="Antioquia"/>
    <s v="Medellín"/>
    <s v="No aplica, no soy foráneo"/>
    <s v="Propio"/>
    <s v="SI"/>
    <s v="2024"/>
    <s v="AC202433232790"/>
    <n v="352"/>
    <n v="68"/>
    <n v="68"/>
    <s v="Privada"/>
    <s v="COL DIVINO SALVADOR"/>
    <n v="2024"/>
    <s v="Antioquia"/>
    <s v="Medellín"/>
    <s v="BACHILLER"/>
    <s v="TECN"/>
    <s v="TIPO: Privada, INSTITUCION: COL DIVINO SALVADOR, AÑO: 2024, CIUDAD: Medellín, TITULO: BACHILLER"/>
    <s v="11"/>
    <s v="Escala de 0 - 5"/>
    <s v="Escala de 0 - 5"/>
    <s v="4,1"/>
    <s v="4,1"/>
    <m/>
    <s v="4,1"/>
    <s v="4,1"/>
    <m/>
    <n v="3.8"/>
    <n v="3.8"/>
    <m/>
    <n v="4.3"/>
    <n v="4.3"/>
    <m/>
    <s v="4,3"/>
    <s v="4,3"/>
    <m/>
    <s v="4,4"/>
    <s v="4,4"/>
    <m/>
    <s v="3,8"/>
    <s v="3,8"/>
    <m/>
    <s v="De 9 y 10"/>
    <n v="4.05"/>
    <s v="NO"/>
    <s v="NA"/>
    <n v="0"/>
    <n v="0"/>
    <s v="No"/>
    <n v="40"/>
    <m/>
    <n v="45"/>
    <m/>
    <n v="45"/>
    <m/>
    <m/>
    <n v="43.333333333333336"/>
    <s v="Con detalle por componente"/>
    <s v="Artísticas o culturales"/>
    <s v="Con el pregrado de ingeniería de sistemas, me visualizo asumiendo y superando los desafíos que se presenten para contribuir al mejoramiento del desarrollo tecnológico de nuestro entorno; con la llegada inesperada de las inteligencias artificiales y la alta demanda de la competitividad en las ramas del conocimiento relacionadas con la tecnología, me encuentro con la aspiración de un futuro próspero para trabajar y mejorar la conectividad regional, la automatización y la eficiencia de esta industria en crecimiento que sin duda, en el futuro seguirá con una alta demanda laboral para el avance y soporte de las tecnologías que nos rodean y que utilizamos a diario. _x000a__x000a_Lo anteriormente descrito lo podré conseguir con la ayuda de una beca en la universidad EAFIT, ya que, por limitaciones financieras de mi situación, a mi familia y a mí se nos presenta dificultad para costear el valor total de la carrera, sin embargo me apasiona la idea de estudiar en la universidad que yo considero que es la mejor opción para mí, y así acarrear los valores institucionales que adquiera en mi formación hacia mi entorno laboral; inspirando, creando y transformando mi entorno con mi carrera y la ayuda de la excelencia de EAFIT."/>
    <s v="Amigos"/>
    <s v="Por la calidad académica."/>
    <s v="Alta empleabilidad."/>
    <n v="3"/>
    <s v="0"/>
    <s v="SI"/>
    <s v="NO"/>
    <s v="Entre 1 y 2 millones"/>
    <s v="Si"/>
    <n v="0"/>
    <s v="SI"/>
    <s v="Crédito educativo propio"/>
    <s v="SI"/>
    <s v="Beca"/>
    <s v="NO"/>
    <s v=""/>
    <s v=""/>
    <s v="Sin información"/>
    <n v="0"/>
    <m/>
    <m/>
    <m/>
    <s v=""/>
    <s v=""/>
    <m/>
    <s v=""/>
    <m/>
    <s v=""/>
    <m/>
    <m/>
    <s v="No cuento con información"/>
    <s v="Si"/>
    <s v="Sandra Milena Estrada Mejía"/>
    <s v="Otro"/>
    <s v="TECNOLOGÍA"/>
    <s v="43"/>
    <s v="Independiente"/>
    <s v="Independiente (trabaja por cuenta propia)"/>
    <s v="Venta de productos de belleza"/>
    <s v="De manera independiente"/>
    <n v="1800000"/>
    <s v="Si"/>
    <s v="SI"/>
    <s v="SI"/>
    <s v="Mi madre es la que asume toda mi manutención y también aporta con los gastos del hogar"/>
    <n v="1800000"/>
    <s v="Si"/>
    <s v="Guillermo Estrada Betancur"/>
    <s v="Abuelo / Abuela"/>
    <s v="70"/>
    <s v="Pensionado"/>
    <s v="Otros"/>
    <n v="1100000"/>
    <s v="Si"/>
    <s v="Gloria Patricia Mejía"/>
    <s v="Abuelo / Abuela"/>
    <s v="60"/>
    <s v="Ama de casa"/>
    <s v="No aplica"/>
    <n v="0"/>
    <s v="No"/>
    <s v=""/>
    <s v=""/>
    <s v=""/>
    <s v=""/>
    <s v=""/>
    <m/>
    <s v=""/>
    <s v=""/>
    <n v="0"/>
    <n v="109109000"/>
    <n v="0"/>
    <n v="0"/>
    <n v="0"/>
    <s v="No"/>
    <s v=""/>
    <s v=""/>
    <n v="0"/>
    <s v="No"/>
    <s v=""/>
    <s v=""/>
    <n v="0"/>
    <s v="Si"/>
    <s v="Moto"/>
    <s v="yamaha"/>
    <s v="2013"/>
    <n v="3000000"/>
    <m/>
    <n v="4"/>
    <n v="4"/>
    <n v="3"/>
    <n v="4"/>
    <n v="4"/>
    <n v="3"/>
    <n v="4"/>
    <n v="4"/>
    <n v="4"/>
    <n v="4"/>
    <n v="38"/>
    <s v="SI"/>
    <m/>
    <s v="SI, SON PRI"/>
    <s v="ok tienen todos los datos"/>
    <s v="Negada"/>
    <n v="20251"/>
    <m/>
    <n v="3"/>
    <n v="10"/>
    <n v="8"/>
    <n v="10"/>
    <n v="15"/>
    <n v="15"/>
    <n v="15"/>
    <n v="14.5"/>
    <n v="14.5"/>
    <n v="79.5"/>
    <n v="0.4"/>
    <m/>
    <n v="2"/>
    <n v="2.5"/>
    <n v="8"/>
    <n v="2"/>
    <n v="2"/>
    <n v="2.5"/>
    <n v="8"/>
    <n v="2"/>
    <n v="77.5"/>
    <n v="0.5"/>
    <n v="0.5"/>
    <e v="#N/A"/>
    <m/>
    <m/>
    <n v="0"/>
    <m/>
    <m/>
    <s v="Ingeniería de Sistemas"/>
    <e v="#N/A"/>
    <s v="010"/>
    <e v="#N/A"/>
  </r>
  <r>
    <s v="TI"/>
    <n v="1027741122"/>
    <s v="1000359929"/>
    <s v="SERGIO ALEJANDRO BURITICA GONZALEZ"/>
    <s v="Estudios por primera vez"/>
    <x v="1"/>
    <s v="Descartado por ingresos altos"/>
    <m/>
    <s v="En publico objetivo"/>
    <s v="2da Cohorte"/>
    <s v="Admitido"/>
    <s v="saburiticg@eafit.edu.co"/>
    <s v="saburiticg@eafit.edu.co"/>
    <s v="0528buritica.gonzalez@gmail.com"/>
    <s v="573053242700"/>
    <d v="2025-05-16T00:00:00"/>
    <s v="Activo en Programa"/>
    <s v="014-Ingeniería Mecánica"/>
    <s v="E Ciencias Aplic e Ingeniería"/>
    <d v="2007-11-23T00:00:00"/>
    <n v="18"/>
    <s v="Antioquia"/>
    <s v="Medellín"/>
    <s v="Hombre"/>
    <s v="Soltero"/>
    <s v="NO"/>
    <s v="NO"/>
    <n v="0"/>
    <s v="NO"/>
    <s v="NA"/>
    <s v="NO"/>
    <s v="NA"/>
    <s v="NO"/>
    <s v="NA"/>
    <s v="No"/>
    <s v="305/324-2700"/>
    <s v="573053242700"/>
    <s v="Estrato 3"/>
    <s v="CR 46 #44 SUR 187"/>
    <s v="Antioquia"/>
    <s v="Envigado"/>
    <s v="No aplica, no soy foráneo"/>
    <s v="Arriendo"/>
    <s v="SI"/>
    <s v="2024"/>
    <s v="AC202437042583"/>
    <n v="347"/>
    <n v="70"/>
    <n v="74"/>
    <s v="Pública"/>
    <s v="I.E. JOSE MANUEL RESTREPO VELE"/>
    <n v="2024"/>
    <m/>
    <s v="Envigado"/>
    <s v="Bachillerato"/>
    <s v="BACHILLER"/>
    <s v="TIPO: Pública, INSTITUCION: I.E. JOSE MANUEL RESTREPO VELE, AÑO: 2024, CIUDAD: Envigado, TITULO: BACHILLER"/>
    <s v="11"/>
    <s v="Escala de 0 - 5"/>
    <s v="Escala de 0 - 5"/>
    <s v="4"/>
    <s v="4,5"/>
    <m/>
    <s v="4"/>
    <s v="4,5"/>
    <m/>
    <n v="4.5"/>
    <n v="4"/>
    <m/>
    <n v="3.4"/>
    <n v="3.9"/>
    <m/>
    <s v="4,5"/>
    <s v="3,4"/>
    <m/>
    <s v="4"/>
    <s v="4"/>
    <m/>
    <s v="4"/>
    <s v="4"/>
    <m/>
    <s v="De 9 y 10"/>
    <n v="3.95"/>
    <s v="NO"/>
    <s v="NA"/>
    <n v="0"/>
    <n v="0"/>
    <s v="No"/>
    <n v="40"/>
    <m/>
    <n v="45"/>
    <m/>
    <n v="45"/>
    <m/>
    <m/>
    <n v="43.333333333333336"/>
    <s v="Con detalle por componente"/>
    <s v="Deportistas de alto rendimiento o representativo,Otras (por ejemplo, un talento extraordinario),Artísticas o culturales"/>
    <s v="Soy un joven de 17 años, nacido y criado en Envigado, en una familia donde el trabajo duro ha sido siempre el camino. En casa aún no hay profesionales graduados, pero sí hay mucho amor, esfuerzo y sueños por cumplir. Estudié en un colegio público, y aunque nunca nos ha faltado lo esencial, a veces el dinero no alcanza. Aun así, mis padres siempre han hecho lo posible para que a mi hermano y a mí no nos falte educación._x000a__x000a_Quiero estudiar Ingeniería Mecánica porque creo que desde ahí puedo aportar a mejorar nuestro entorno. Me motiva la idea de diseñar soluciones reales, accesibles y útiles para comunidades faltas de recursos. Sueño con crear sistemas de energía alternativa a bajo costo, como turbinas hidráulicas pequeñas para veredas sin acceso constante a electricidad, o paneles solares con materiales reciclados. Proyectos como estos ya existen y son posibles en Colombia; solo se necesita gente comprometida para llevarlos a más lugares._x000a__x000a_También me interesa ayudar a las pequeñas industrias locales a mejorar sus procesos, rediseñando piezas y sistemas para que sean más eficientes y sostenibles. Esto no solo ayuda a las empresas, sino que puede generar empleo y mejorar la calidad de vida de muchas familias._x000a__x000a_Quiero graduarme, no solo por mí, sino por todos los queme han ayudado a crecer. Esta beca representa una oportunidad enorme para prepararme y luego regresar esa gratitud con conocimiento a mi comunidad, para que crecer y salir adelante no sea un privilegio, sino una posibilidad real para muchos."/>
    <s v="A través del Colegio"/>
    <s v="Por la calidad académica."/>
    <s v="Alta empleabilidad."/>
    <n v="5"/>
    <s v="1"/>
    <s v="NO"/>
    <s v="NO"/>
    <s v="Entre 12 y 13 millones"/>
    <s v="No"/>
    <s v="SI"/>
    <s v="NO"/>
    <m/>
    <s v="SI"/>
    <s v="Beca"/>
    <s v="NO"/>
    <s v=""/>
    <s v=""/>
    <s v="Si"/>
    <s v="SERGIO ORLANDO BURITICA GONZALEZ"/>
    <s v="Casado"/>
    <s v="TÉCNICA"/>
    <s v="57"/>
    <s v="TECNICO ELECTROMECANICO"/>
    <s v="Independiente (trabaja por cuenta propia)"/>
    <s v="Reparación y mantenimiento de equipos"/>
    <s v="N/A"/>
    <n v="7000000"/>
    <s v="Si"/>
    <s v="SI"/>
    <s v="NO"/>
    <s v=""/>
    <s v="Si"/>
    <s v="LUZ MARY GONZALEZ BATERO"/>
    <s v="Casado"/>
    <s v="UNIVERSITARIOS"/>
    <s v="52"/>
    <s v="DIRECTORA DE SISTEMAS"/>
    <s v="Empleado (con contrato laboral)"/>
    <s v="Directora de sistemas"/>
    <s v="COSECHAS BEBIDAS NATURALES S.A.S"/>
    <n v="3400000"/>
    <s v="Si"/>
    <s v="NO"/>
    <s v="NO"/>
    <m/>
    <n v="10400000"/>
    <s v="Si"/>
    <s v="JERONIMO BURITICA GONZALEZ"/>
    <s v="Hermano / Hermana"/>
    <s v="28"/>
    <s v="Estudiante"/>
    <s v="UNIREMIGNTON"/>
    <n v="0"/>
    <s v="No"/>
    <s v="LUZ MARINA GONZALEZ DE BURITICA"/>
    <s v="Abuelo / Abuela"/>
    <s v="82"/>
    <s v="Pensionada"/>
    <s v="N/A"/>
    <n v="0"/>
    <s v="No"/>
    <s v=""/>
    <s v=""/>
    <s v=""/>
    <s v=""/>
    <s v=""/>
    <m/>
    <s v=""/>
    <s v=""/>
    <n v="0"/>
    <n v="0"/>
    <n v="0"/>
    <n v="0"/>
    <n v="0"/>
    <s v="Si"/>
    <s v="FOTON"/>
    <s v="2013"/>
    <n v="45000000"/>
    <s v="No"/>
    <s v=""/>
    <s v=""/>
    <n v="0"/>
    <s v="No"/>
    <s v=""/>
    <s v=""/>
    <s v=""/>
    <n v="0"/>
    <s v="Vehículo&amp;#58; Camioneta Fotón Tunland 2.0 de modelo 2013utilizada para la movilidad de trabajo del padre de familia"/>
    <n v="4"/>
    <n v="4"/>
    <n v="4"/>
    <n v="4"/>
    <n v="4"/>
    <n v="4"/>
    <n v="4"/>
    <n v="4"/>
    <n v="4"/>
    <n v="4"/>
    <n v="40"/>
    <s v="SI"/>
    <m/>
    <s v="SI, SON PRI"/>
    <s v="ok tienen todos los datos"/>
    <e v="#N/A"/>
    <e v="#N/A"/>
    <m/>
    <n v="3"/>
    <n v="10"/>
    <n v="8"/>
    <n v="10"/>
    <n v="10"/>
    <n v="15"/>
    <n v="15"/>
    <n v="12"/>
    <n v="12"/>
    <n v="72"/>
    <n v="0.4"/>
    <m/>
    <n v="3.5"/>
    <n v="4.5"/>
    <n v="0"/>
    <n v="4"/>
    <n v="3.5"/>
    <n v="4"/>
    <n v="0"/>
    <n v="4.5"/>
    <n v="70"/>
    <n v="0.4"/>
    <n v="0.4"/>
    <e v="#N/A"/>
    <m/>
    <m/>
    <n v="0"/>
    <m/>
    <m/>
    <s v="Ingeniería Mecánica"/>
    <e v="#N/A"/>
    <s v="014"/>
    <e v="#N/A"/>
  </r>
  <r>
    <s v="TI"/>
    <n v="1027741201"/>
    <s v="1000391818"/>
    <s v="VALENTINA MARÍN RAMÍREZ"/>
    <s v="Estudios por primera vez"/>
    <x v="1"/>
    <s v="Descartado por propiedades"/>
    <m/>
    <s v="En publico objetivo"/>
    <s v="2da Cohorte"/>
    <s v="Admitido"/>
    <s v="vmarinr1@eafit.edu.co"/>
    <s v="vmarinr1@eafit.edu.co"/>
    <s v="valentinamarinramirez19@gmail.com"/>
    <s v="+573184797336"/>
    <d v="2025-05-16T00:00:00"/>
    <s v="Activo en Programa"/>
    <s v="112-Comunicación Social"/>
    <s v="Escuela de Artes y Humanidades"/>
    <d v="2008-02-19T00:00:00"/>
    <n v="17"/>
    <s v="Antioquia"/>
    <s v="Medellín"/>
    <s v="Mujer"/>
    <s v="Soltero"/>
    <s v="NO"/>
    <s v="NO"/>
    <n v="0"/>
    <s v="NO"/>
    <s v="NA"/>
    <s v="NO"/>
    <s v="NA"/>
    <s v="NO"/>
    <s v="NA"/>
    <s v="No"/>
    <s v="313/671-1862"/>
    <s v="+573184797336"/>
    <s v="Estrato 3"/>
    <s v="CR 43 #40 H SUR- 23"/>
    <s v="Antioquia"/>
    <s v="Envigado"/>
    <s v="No aplica, no soy foráneo"/>
    <s v="Familiar"/>
    <s v="SI"/>
    <s v="2024"/>
    <s v="AC202430028739"/>
    <n v="349"/>
    <n v="73"/>
    <n v="68"/>
    <s v="Privada"/>
    <s v="GIMNASIO INTEGRAL SANTA ANA"/>
    <n v="2024"/>
    <s v="Antioquia"/>
    <s v="Envigado"/>
    <s v="BACHILLER"/>
    <s v="ACAD"/>
    <s v="TIPO: Privada, INSTITUCION: GIMNASIO INTEGRAL SANTA ANA, AÑO: 2024, CIUDAD: Envigado, TITULO: BACHILLER"/>
    <s v="11"/>
    <s v="Escala de 0 - 5"/>
    <s v="Escala de 0 - 5"/>
    <s v="3,8"/>
    <s v="3,8"/>
    <m/>
    <s v="3,7"/>
    <s v="3,7"/>
    <m/>
    <n v="4.2"/>
    <n v="4.0999999999999996"/>
    <m/>
    <n v="3.9"/>
    <n v="3.8"/>
    <m/>
    <s v="4,3"/>
    <s v="3,9"/>
    <m/>
    <s v="4,4"/>
    <s v="4,4"/>
    <m/>
    <s v="3,5"/>
    <s v="4"/>
    <m/>
    <s v="De 9 y 10"/>
    <n v="4"/>
    <s v="NO"/>
    <s v="NA"/>
    <n v="0"/>
    <n v="0"/>
    <s v="No"/>
    <n v="30"/>
    <m/>
    <n v="40"/>
    <m/>
    <n v="35"/>
    <m/>
    <s v="Tener presente la situación emocional que tiene con su padre y las dificultades económicas para pagar la matrícula."/>
    <n v="35"/>
    <s v="Con detalle por componente"/>
    <s v="Espacios de liderazgo o representación social"/>
    <s v="Desde pequeña me ha encantado todo lo que tenga que ver con cámaras, micrófonos, luces y escenarios. Me gusta imaginarme organizando eventos llenos de arte, emoción y mensajes que lleguen al corazón. Sueño con crear experiencias que inspiren, que conecten a las personas entre ellas y que, por un momento, las hagan sentirse vistas, escuchadas y tocadas por su propia realidad._x000a_Estudiar Comunicación Social en EAFIT me va a permitir hacer realidad todo eso que hoy solo vive en mi cabeza. Quiero aprender a comunicar desde lo artístico, a crear contenido con sentido y valor. Usar las herramientas que me da la carrera para contar historias que no solo informen, sino que emocionen, que dejen pensando, que muevan algo por dentro._x000a_No quiero solo hablar bien o expresarme con claridad. Quiero que lo que diga toque. Porque cuando algo se comunica con el corazón, se queda. Por eso, me encantaría llegar a muchos, siendo fiel a mi esencia y mostrando que en cada lugar al que voy, puedo dejar una huella._x000a_La beca me permitiría estudiar lo que más me apasiona y, al mismo tiempo, seguir creciendo sin dejar atrás mis principios ni de dónde vengo. Quiero demostrar que desde mi región también se pueden crear proyectos que inspiren, conecten y transformen. Trabajar con diferentes públicos, adaptarme, escuchar y crear contenido que realmente tenga sentido para ellos. Que lo artístico no se quede solo en lo bonito, sino que toque, que mueva, que transforme._x000a_Quiero seguir aprendiendo, crear, crecer y usar lo que soy para inspirar a otros. Porque mi forma de cambiar el mundo es comunicar, sentir, crear y conectar."/>
    <s v="Redes sociales"/>
    <s v="Por la calidad académica."/>
    <s v="Vocación."/>
    <n v="2"/>
    <s v="0"/>
    <s v="SI"/>
    <s v="NO"/>
    <s v="Entre 2 y 3 millones"/>
    <s v="No"/>
    <n v="0"/>
    <n v="0"/>
    <m/>
    <s v="SI"/>
    <s v="Beca"/>
    <s v="NO"/>
    <s v=""/>
    <s v=""/>
    <s v="Si"/>
    <s v="Edwin Fernando Marín Ramírez"/>
    <m/>
    <m/>
    <m/>
    <s v="Sin información"/>
    <s v="Desempleado (Se encuentra en la búsqueda activa de empleo)"/>
    <s v="Sin información"/>
    <s v="Sin información"/>
    <n v="0"/>
    <s v="No"/>
    <m/>
    <m/>
    <s v="Es ausente, no poseemos información."/>
    <s v="Si"/>
    <s v="Luisa Fernanda Ramírez Arango"/>
    <s v="Soltero"/>
    <s v="TÉCNICA"/>
    <s v="45"/>
    <s v="Secretaria/ Auxiliar contable"/>
    <s v="Empleado (con contrato laboral)"/>
    <s v="Secretaria ejecutiva"/>
    <s v="Universidad Nacional de Colombia"/>
    <n v="2700000"/>
    <s v="Si"/>
    <s v="SI"/>
    <s v="NO"/>
    <m/>
    <n v="2700000"/>
    <s v="Si"/>
    <s v="Gloria Estella Arango Restrepo"/>
    <s v="Abuelo / Abuela"/>
    <s v="68"/>
    <s v="Ama de casa"/>
    <s v="Ninguna"/>
    <n v="1500000"/>
    <s v="No"/>
    <s v=""/>
    <s v=""/>
    <s v=""/>
    <s v=""/>
    <s v=""/>
    <m/>
    <s v=""/>
    <s v=""/>
    <s v=""/>
    <s v=""/>
    <s v=""/>
    <s v=""/>
    <m/>
    <s v=""/>
    <s v=""/>
    <n v="0"/>
    <n v="380000000"/>
    <n v="0"/>
    <n v="0"/>
    <n v="0"/>
    <s v="No"/>
    <s v=""/>
    <s v=""/>
    <n v="0"/>
    <s v="No"/>
    <s v=""/>
    <s v=""/>
    <n v="0"/>
    <s v="No"/>
    <s v=""/>
    <s v=""/>
    <s v=""/>
    <n v="0"/>
    <m/>
    <n v="4"/>
    <n v="4"/>
    <n v="4"/>
    <n v="4"/>
    <n v="4"/>
    <n v="3"/>
    <n v="4"/>
    <n v="3"/>
    <n v="4"/>
    <n v="4"/>
    <n v="38"/>
    <s v="SI"/>
    <m/>
    <s v="SI, SON PRI"/>
    <s v="ok tienen todos los datos"/>
    <s v="Negada"/>
    <n v="20251"/>
    <m/>
    <n v="2"/>
    <n v="10"/>
    <n v="8"/>
    <n v="10"/>
    <n v="15"/>
    <n v="15"/>
    <n v="5"/>
    <n v="13.5"/>
    <n v="13.5"/>
    <n v="68.5"/>
    <n v="0.4"/>
    <m/>
    <n v="2"/>
    <n v="3.5"/>
    <n v="8"/>
    <n v="0"/>
    <n v="2"/>
    <n v="3.5"/>
    <n v="8"/>
    <n v="0"/>
    <n v="66.5"/>
    <n v="0.4"/>
    <n v="0.4"/>
    <e v="#N/A"/>
    <m/>
    <m/>
    <n v="0"/>
    <m/>
    <m/>
    <s v="Comunicación Social"/>
    <e v="#N/A"/>
    <s v="112"/>
    <e v="#N/A"/>
  </r>
  <r>
    <s v="TI"/>
    <n v="1027741241"/>
    <s v="1000407361"/>
    <s v="LAURA SOFIA BEDOYA ISAZA"/>
    <s v="Estudios por primera vez"/>
    <x v="1"/>
    <s v="Descartado por notas"/>
    <m/>
    <s v="En publico objetivo"/>
    <s v="2da Cohorte"/>
    <s v="Admitido"/>
    <s v="lsbedoyai@eafit.edu.co"/>
    <s v="lsbedoyai@eafit.edu.co"/>
    <s v="sarasofia924@gmail.com"/>
    <s v="305/347-3057"/>
    <d v="2025-05-16T00:00:00"/>
    <s v="Activo en Programa"/>
    <s v="169-Mercadeo"/>
    <s v="Escuela de Administración"/>
    <d v="2008-03-28T00:00:00"/>
    <n v="17"/>
    <s v="Antioquia"/>
    <s v="Medellín"/>
    <s v="Mujer"/>
    <s v="Soltero"/>
    <s v="NO"/>
    <s v="NO"/>
    <n v="0"/>
    <s v="NO"/>
    <s v="NA"/>
    <s v="NO"/>
    <s v="NA"/>
    <s v="NO"/>
    <s v="NA"/>
    <s v="No"/>
    <s v="305/347-3057"/>
    <s v="305/347-3057"/>
    <s v="Estrato 3"/>
    <s v="CR 43 B #71 SUR 37"/>
    <s v="Antioquia"/>
    <s v="Sabaneta"/>
    <s v="No aplica, no soy foráneo"/>
    <s v="Arriendo"/>
    <s v="SI"/>
    <s v="2024"/>
    <s v="AC202437407786"/>
    <n v="348"/>
    <n v="70"/>
    <n v="66"/>
    <s v="Pública"/>
    <s v="I. E. ADELAIDA CORREA ESTRADA"/>
    <n v="2024"/>
    <s v="Antioquia"/>
    <s v="Sabaneta"/>
    <s v="BACHILLER"/>
    <s v="ACAD"/>
    <s v="TIPO: Pública, INSTITUCION: I. E. ADELAIDA CORREA ESTRADA, AÑO: 2024, CIUDAD: Sabaneta, TITULO: BACHILLER"/>
    <s v="11"/>
    <s v="Escala de 0 - 5"/>
    <s v="Escala de 0 - 5"/>
    <s v="4,5"/>
    <s v="3,7"/>
    <m/>
    <s v="3,7"/>
    <s v="3,6"/>
    <m/>
    <n v="3.7"/>
    <n v="4"/>
    <m/>
    <n v="5"/>
    <n v="4"/>
    <m/>
    <s v="4,5"/>
    <s v="4,1"/>
    <m/>
    <s v="3,7"/>
    <s v="3,7"/>
    <m/>
    <s v="4,5"/>
    <s v="4"/>
    <m/>
    <s v="De 9 y 10"/>
    <n v="4.1749999999999998"/>
    <s v="NO"/>
    <s v="NA"/>
    <n v="0"/>
    <n v="0"/>
    <s v="No"/>
    <n v="50"/>
    <m/>
    <n v="50"/>
    <m/>
    <n v="50"/>
    <m/>
    <m/>
    <n v="50"/>
    <s v="Con detalle por componente"/>
    <s v="Deportistas de alto rendimiento o representativo"/>
    <s v="Me gustaría ayudar a pequeños negocios a mejorar su forma de darse a conocer, apoyar a emprendedores que no tienen muchos recursos y compartir con otras personas lo que vaya aprendiendo. Siento que el mercadeo puede ser una herramienta muy poderosa, y si tengo la oportunidad de estudiar en EAFIT con el apoyo de una beca, me comprometo a usar lo que aprenda para hacer una diferencia real en mi entorno. Si me gano una beca, no solo sería un alivio enorme para mí y mi familia, también sería una oportunidad para demostrar todo lo que puedo lograr. No quiero quedarme solo con lo que aprendo para mí, también quiero llevar ese conocimiento a la comunidad y aplicarlo en mi entorno."/>
    <s v="Página WEB"/>
    <s v="Por la calidad académica."/>
    <s v="Vocación."/>
    <n v="4"/>
    <s v="1"/>
    <s v="NO"/>
    <s v="NO"/>
    <s v="Entre 1 y 2 millones"/>
    <s v="No"/>
    <n v="0"/>
    <n v="0"/>
    <m/>
    <s v="SI"/>
    <s v="Beca"/>
    <s v="NO"/>
    <s v=""/>
    <s v=""/>
    <s v="Si"/>
    <s v="Ángel Horacio Bedoya Gonzalez"/>
    <s v="Casado"/>
    <s v="PRIMARIA"/>
    <s v="57"/>
    <s v="Operario"/>
    <s v="Empleado (con contrato laboral)"/>
    <s v="Operario"/>
    <s v="Impecable SAS"/>
    <n v="1423500"/>
    <s v="Si"/>
    <s v="NO"/>
    <s v="NO"/>
    <s v=""/>
    <s v="Si"/>
    <s v="María Cristina Isaza Zapata"/>
    <s v="Casado"/>
    <s v="BACHILLERATO"/>
    <s v="53"/>
    <s v="ama de casa"/>
    <s v="Labores del hogar y cuidado"/>
    <s v="Ama de casa"/>
    <s v="Hogar"/>
    <n v="0"/>
    <s v="Si"/>
    <s v="SI"/>
    <s v="NO"/>
    <m/>
    <n v="1423500"/>
    <s v="No, solo vivo con mis padres"/>
    <s v=""/>
    <s v=""/>
    <s v=""/>
    <s v=""/>
    <s v=""/>
    <m/>
    <s v=""/>
    <s v=""/>
    <s v=""/>
    <s v=""/>
    <s v=""/>
    <s v=""/>
    <m/>
    <s v=""/>
    <s v=""/>
    <s v=""/>
    <s v=""/>
    <s v=""/>
    <s v=""/>
    <m/>
    <s v=""/>
    <s v=""/>
    <n v="0"/>
    <n v="100000000"/>
    <n v="0"/>
    <n v="0"/>
    <n v="0"/>
    <s v="No"/>
    <s v=""/>
    <s v=""/>
    <n v="0"/>
    <s v="No"/>
    <s v=""/>
    <s v=""/>
    <n v="0"/>
    <s v="No"/>
    <s v=""/>
    <s v=""/>
    <s v=""/>
    <n v="0"/>
    <s v="El único bien con el que cuenta mi familia es un apartamento de interés social en San Antonio de prado."/>
    <n v="4"/>
    <n v="4"/>
    <n v="4"/>
    <n v="3"/>
    <n v="3"/>
    <n v="3"/>
    <n v="4"/>
    <n v="3"/>
    <n v="2"/>
    <n v="4"/>
    <n v="34"/>
    <s v="SI"/>
    <m/>
    <s v="SI, SON PRI"/>
    <s v="ok tienen todos los datos"/>
    <e v="#N/A"/>
    <e v="#N/A"/>
    <m/>
    <n v="3"/>
    <n v="10"/>
    <n v="8"/>
    <n v="10"/>
    <n v="15"/>
    <n v="10"/>
    <n v="20"/>
    <n v="17.5"/>
    <n v="18"/>
    <n v="83"/>
    <n v="0.5"/>
    <m/>
    <n v="3.5"/>
    <n v="3.5"/>
    <n v="8"/>
    <n v="3"/>
    <n v="3.5"/>
    <n v="3"/>
    <n v="8"/>
    <n v="3"/>
    <n v="80.5"/>
    <n v="0.6"/>
    <n v="0.6"/>
    <e v="#N/A"/>
    <m/>
    <m/>
    <n v="0"/>
    <m/>
    <m/>
    <s v="Mercadeo"/>
    <e v="#N/A"/>
    <s v="169"/>
    <e v="#N/A"/>
  </r>
  <r>
    <s v="CC"/>
    <n v="1027800681"/>
    <s v="1000407080"/>
    <s v="VALERIA CORREA MURILLO"/>
    <s v="Transferencia Externa"/>
    <x v="1"/>
    <s v="No cumple, otros estudios de pregrado"/>
    <m/>
    <s v="En publico objetivo"/>
    <s v="2da Cohorte"/>
    <s v="Admitido"/>
    <s v="vcorream3@eafit.edu.co"/>
    <e v="#N/A"/>
    <s v="valecorreaaa14@gmail.com"/>
    <s v="573206367041"/>
    <d v="2025-05-16T00:00:00"/>
    <s v="Activo en Programa"/>
    <s v="112-Comunicación Social"/>
    <s v="Escuela de Artes y Humanidades"/>
    <d v="2004-05-14T00:00:00"/>
    <n v="21"/>
    <s v="Antioquia"/>
    <s v="Medellín"/>
    <s v="Mujer"/>
    <s v="Soltero"/>
    <s v="NO"/>
    <s v="NO"/>
    <n v="0"/>
    <s v="NO"/>
    <s v="NA"/>
    <s v="NO"/>
    <s v="NA"/>
    <s v="NO"/>
    <s v="NA"/>
    <s v="No"/>
    <s v="320/636-7041"/>
    <s v="573206367041"/>
    <s v="Estrato 3"/>
    <s v="Calle 40sur #45-2 apto 302"/>
    <s v="Antioquia"/>
    <s v="Envigado"/>
    <s v="No aplica, no soy foráneo"/>
    <s v="Arriendo"/>
    <s v="SI"/>
    <s v="2021"/>
    <s v="AC202145277025"/>
    <n v="330"/>
    <n v="62"/>
    <n v="70"/>
    <s v="Privada"/>
    <s v="COLEGIO TERESIANO"/>
    <n v="2021"/>
    <s v="Antioquia"/>
    <s v="Envigado"/>
    <s v="BACHILLER"/>
    <s v="ACAD"/>
    <s v="TIPO: Privada, INSTITUCION: COLEGIO TERESIANO, AÑO: 2021, CIUDAD: Envigado, TITULO: BACHILLER"/>
    <n v="0"/>
    <n v="0"/>
    <s v="PCA TEX"/>
    <m/>
    <m/>
    <m/>
    <m/>
    <m/>
    <m/>
    <m/>
    <m/>
    <m/>
    <m/>
    <m/>
    <m/>
    <m/>
    <m/>
    <m/>
    <m/>
    <m/>
    <m/>
    <m/>
    <m/>
    <m/>
    <s v="Ver PCA TEX"/>
    <n v="4.3"/>
    <s v="SI"/>
    <s v="TIPO: Privada, INSTITUCION: UNIVERSIDAD CES, AÑO: 0, CIUDAD: Medellín, TITULO: NUTRICIONISTA DIETISTA (Medellín)"/>
    <s v="PREGRADO"/>
    <s v=" TITULO: NUTRICIONISTA DIETISTA (Medellín)"/>
    <s v="No"/>
    <n v="35"/>
    <m/>
    <n v="45"/>
    <m/>
    <n v="50"/>
    <m/>
    <m/>
    <n v="43.333333333333336"/>
    <s v="Con detalle por componente"/>
    <s v="Artísticas o culturales,Espacios de liderazgo o representación social"/>
    <s v="Como persona, siempre me he caracterizado por hablar, observar atentamente, escuchar y comunicar lo que pasa a mi alrededor. Me encanta estar conectada con el mundo, desde lo humano hasta el mundo digital, por medio de redes e información audiovisual. A pesar de que mi formación profesional la comencé estudiando Nutrición, donde no solo me destacaba por mi buen promedio, sino también por ser una imagen y voz en la facultad, en sexto semestre entendí que lo que realmente me apasiona es todo aquello que gire en torno a COMUNICAR._x000a__x000a_Al pensar en Comunicación Social, me inspiran diversos roles, desde ser una community manager para representar un proyecto o una marca, conectar con las personas construyendo comunidad y crear contenido de valor que informe, eduque, transforme y motive. Por otro lado, también me visualizo trabajando como periodista, donde cree conversaciones que incomoden, capten la atención y mantengan vivo el poder crítico como sociedad, con información veraz y confiable._x000a__x000a_Para lograr todo esto, me encantaría tener el privilegio de recibir la beca, puesto que sería una gran oportunidad para mí y mi familia. Me permitiría enfocarme completamente en mi formación, sin preocupaciones económicas que puedan limitar mis sueños, además de abrirme puertas para tener una educación con mayores y mejores recursos, siendo una gran profesional. La profesional en la que me convertiré no solo piensa en impactar pequeñas comunidades; quiero aportar a Medellín, su alta industria de entretenimiento, turismo y comercio desde mi trabajo, permitiendo ser una voz y que las ideas circulen, siendo parte de una transformación activa en todo mi entorno."/>
    <s v="Estudiantes de EAFIT"/>
    <s v="Por la calidad académica."/>
    <s v="Vocación."/>
    <n v="2"/>
    <s v="1"/>
    <s v="SI"/>
    <s v="NO"/>
    <s v="Entre 4 y 5 millones"/>
    <s v="No"/>
    <s v="SI"/>
    <n v="0"/>
    <m/>
    <s v="SI"/>
    <s v="Beca"/>
    <s v="NO"/>
    <s v=""/>
    <s v=""/>
    <s v="Sin información"/>
    <n v="0"/>
    <m/>
    <m/>
    <m/>
    <s v=""/>
    <s v=""/>
    <m/>
    <s v=""/>
    <m/>
    <s v=""/>
    <m/>
    <m/>
    <s v="Mi mamá se divorció de mi papá cuando tenía muy temprana edad (aproximadamente 5 años), mi mamá se quedó con mi patria potestad y mi padre nunca respondió económicamente por mi, de igual forma, no volví a tener información de él."/>
    <s v="Si"/>
    <s v="Eliana María Murillo Ortiz"/>
    <s v="Otro"/>
    <s v="UNIVERSITARIOS"/>
    <s v="44"/>
    <s v="Adminisitradora comercial y de mercadeo"/>
    <s v="Empleado (con contrato laboral)"/>
    <s v="Asesora integral"/>
    <s v="Bancolombia"/>
    <n v="5316968"/>
    <s v="Si"/>
    <s v="NO"/>
    <s v="NO"/>
    <s v="es una madre muy responsable, dedicada a su hogar, una mujer muy sensible, secilla, fuerte, paciente, además, con estabilidad laboral de 20 años en la empresa"/>
    <n v="5316968"/>
    <s v="Si"/>
    <s v="Nicolás Parra Murillo"/>
    <s v="Hermano / Hermana"/>
    <s v="8"/>
    <s v="Estudiante"/>
    <s v="Colegio Cumbres"/>
    <n v="0"/>
    <s v="No"/>
    <s v=""/>
    <s v=""/>
    <s v=""/>
    <s v=""/>
    <s v=""/>
    <m/>
    <s v=""/>
    <s v=""/>
    <s v=""/>
    <s v=""/>
    <s v=""/>
    <s v=""/>
    <m/>
    <s v=""/>
    <s v="Vivo con mi mamá y mi hermano de 8 años, mi madre se casó segunda vez hace 9 años pero  hace 1 año se divorció nuevamente, llevan una relación cordial pero también gastos compartidos de mi hermano, mientras que económicamente mi madre responde por mí al 100%"/>
    <n v="0"/>
    <n v="0"/>
    <n v="0"/>
    <n v="0"/>
    <n v="0"/>
    <s v="Si"/>
    <s v="Renault Twingo Dinamic"/>
    <s v="2008"/>
    <n v="12000000"/>
    <s v="No"/>
    <s v=""/>
    <s v=""/>
    <n v="0"/>
    <s v="No"/>
    <s v=""/>
    <s v=""/>
    <s v=""/>
    <n v="0"/>
    <s v="Carro propio a nombre de mi mamá, fue comprado de segunda mano hace 10 años."/>
    <n v="4"/>
    <n v="4"/>
    <n v="4"/>
    <n v="4"/>
    <n v="3"/>
    <n v="4"/>
    <n v="3"/>
    <n v="3"/>
    <n v="4"/>
    <n v="4"/>
    <n v="37"/>
    <s v="SI"/>
    <m/>
    <s v="SI, SON TEX, EN LUGAR DE NOTAS TIENEN PCA"/>
    <s v="ok tienen todos los datos"/>
    <e v="#N/A"/>
    <e v="#N/A"/>
    <m/>
    <n v="2"/>
    <n v="10"/>
    <n v="8"/>
    <n v="10"/>
    <n v="15"/>
    <n v="15"/>
    <n v="15"/>
    <n v="16.5"/>
    <n v="13.5"/>
    <n v="78.5"/>
    <n v="0.4"/>
    <m/>
    <n v="2"/>
    <n v="4.5"/>
    <n v="3"/>
    <n v="4"/>
    <n v="2"/>
    <n v="4"/>
    <n v="6"/>
    <n v="4.5"/>
    <n v="79.5"/>
    <n v="0.5"/>
    <n v="0.5"/>
    <e v="#N/A"/>
    <m/>
    <m/>
    <n v="0"/>
    <m/>
    <m/>
    <s v="Comunicación Social"/>
    <e v="#N/A"/>
    <s v="112"/>
    <e v="#N/A"/>
  </r>
  <r>
    <s v="CC"/>
    <n v="1027801871"/>
    <s v="1000405138"/>
    <s v="KAREN STEFANY ORTIZ BURITICÁ"/>
    <s v="Estudios por primera vez"/>
    <x v="1"/>
    <s v="Descartado por prueba y pre"/>
    <m/>
    <s v="En publico objetivo"/>
    <s v="1er Cohorte"/>
    <s v="Admitido"/>
    <s v="ksortizb@eafit.edu.co"/>
    <e v="#N/A"/>
    <s v="karenstefany058@gmail.com"/>
    <s v="314/537-1168"/>
    <d v="2025-04-25T00:00:00"/>
    <s v="Activo en Programa"/>
    <s v="169-Mercadeo"/>
    <s v="Escuela de Administración"/>
    <d v="2005-04-29T00:00:00"/>
    <n v="20"/>
    <s v="Antioquia"/>
    <s v="Medellín"/>
    <s v="Mujer"/>
    <s v="Soltero"/>
    <s v="NO"/>
    <s v="NO"/>
    <n v="0"/>
    <s v="NO"/>
    <s v="NA"/>
    <s v="NO"/>
    <s v="NA"/>
    <s v="NO"/>
    <s v="NA"/>
    <s v="No"/>
    <s v="314/537-1168"/>
    <s v="314/537-1168"/>
    <s v="Estrato 2"/>
    <s v="CR 96 CC 49 93"/>
    <s v="Antioquia"/>
    <s v="Medellín"/>
    <s v="No aplica, no soy foráneo"/>
    <s v="Arriendo"/>
    <s v="SI"/>
    <s v="2023"/>
    <s v="AC202343469301"/>
    <n v="320"/>
    <n v="70"/>
    <n v="66"/>
    <s v="Pública"/>
    <s v="INST EDUC JUAN XXIII"/>
    <n v="2023"/>
    <s v="Antioquia"/>
    <s v="Medellín"/>
    <s v="BACHILLER"/>
    <s v="TECN"/>
    <s v="TIPO: Pública, INSTITUCION: INST EDUC JUAN XXIII, AÑO: 2023, CIUDAD: Medellín, TITULO: BACHILLER"/>
    <s v="11"/>
    <s v="Escala Desempeño"/>
    <s v="Escala de 0 - 5"/>
    <s v="4"/>
    <s v="4"/>
    <m/>
    <s v="5"/>
    <s v="4,5"/>
    <m/>
    <n v="4.5"/>
    <n v="4.5"/>
    <m/>
    <n v="4"/>
    <n v="4"/>
    <m/>
    <s v="5"/>
    <s v="4,5"/>
    <m/>
    <s v="4"/>
    <s v="4"/>
    <m/>
    <s v="4,5"/>
    <s v="4"/>
    <m/>
    <s v="De 9 y 10"/>
    <n v="4.25"/>
    <s v="NO"/>
    <s v="NA"/>
    <n v="0"/>
    <n v="0"/>
    <s v="No"/>
    <n v="50"/>
    <m/>
    <n v="50"/>
    <m/>
    <n v="50"/>
    <m/>
    <s v="Estudio técnico veterinaria en un instituto de Bello, vive en la floresta con su madre y un primo, tiene dotes artísticas, le gusta el deporte futbol , voleibol, se desenvuelve bien, algo insegura de si misma"/>
    <n v="50"/>
    <s v="Con detalle por componente"/>
    <s v="Ninguna"/>
    <s v="Me visualizo siendo lider de una marca de maquillaje que se apoye mucho en la creatividad, que se salga un poco del maquillaje para el día a día y que también impulse la seguridad en las personas que lo usan diseñando estrategias de mercado que entienda las necesidades de los consumidores haciendo parte de un equipo con excelente calidad humana y teniendo un ambiente de trabajo ameno en donde cada persona se sienta libre de expresar ideas y que apesar de ser un lugar de trabajo se sienta cómodo y espontáneo._x000a__x000a_También, cuando la marca tenga estabilidad, quiero además de vender productos de maquillaje, también adentrarme un poquito en el mundo de los aromas, como por ejemplo cremas, perfumes, exfoliantes y todo ese tipo de cosas pero enfocado en los aromas femeninos ya que es algo que también me llama la atención._x000a__x000a_Tras la obtención de la beca podría transformar en primer lugar muchas situaciones de mi hogar y mi familia ya que sería la primera de mi círculo familiar que obtenga un título de educación superior y tendría los conocimientos para crear proyectos al finalizar la carrera que generen empleo y que además me permitan crecer financieramente haciendo algo que disfruto y así ayudar también a mi familia, principalmente a mi mamá."/>
    <s v="Página WEB"/>
    <s v="Por la calidad académica."/>
    <s v="Alta proyección de ingresos."/>
    <n v="2"/>
    <s v="3"/>
    <s v="SI"/>
    <s v="NO"/>
    <s v="Entre 1 y 2 millones"/>
    <s v="No"/>
    <n v="0"/>
    <n v="0"/>
    <m/>
    <s v="SI"/>
    <s v="Beca"/>
    <s v="NO"/>
    <s v=""/>
    <s v=""/>
    <s v="Si"/>
    <s v="Hernando de Jesús Ortiz Correa"/>
    <m/>
    <m/>
    <m/>
    <s v="Comerciante"/>
    <s v="Independiente (trabaja por cuenta propia)"/>
    <s v="NA"/>
    <s v="NA"/>
    <n v="1500000"/>
    <s v="No"/>
    <m/>
    <m/>
    <s v="No tengo mucho contacto con él, no es una persona familiar, prefiero evitar hablar con él"/>
    <s v="Si"/>
    <s v="Consuelo Buriticá Foronda"/>
    <s v="Soltero"/>
    <s v="BACHILLERATO"/>
    <s v="49"/>
    <s v="Auxiliar de bodega"/>
    <s v="Empleado (con contrato laboral)"/>
    <s v="Auxiliar de bodega"/>
    <s v="Helados Sorbetto"/>
    <n v="1650000"/>
    <s v="Si"/>
    <s v="NO"/>
    <s v="NO"/>
    <s v="Vive conmigo, nos mantiene a mí y a mi sobrinoMe apoya a seguir estudiando"/>
    <n v="3150000"/>
    <s v="Si"/>
    <s v="Alan Santiago Ocampo Ortiz"/>
    <s v="Sobrino"/>
    <s v="9"/>
    <s v="Estudiante"/>
    <s v="Institución educativa santa rosa del lima"/>
    <n v="0"/>
    <s v="No"/>
    <s v=""/>
    <s v=""/>
    <s v=""/>
    <s v=""/>
    <s v=""/>
    <m/>
    <s v=""/>
    <s v=""/>
    <s v=""/>
    <s v=""/>
    <s v=""/>
    <s v=""/>
    <m/>
    <s v=""/>
    <s v=""/>
    <n v="0"/>
    <n v="0"/>
    <n v="0"/>
    <n v="0"/>
    <n v="0"/>
    <s v="No"/>
    <s v=""/>
    <s v=""/>
    <n v="0"/>
    <s v="No"/>
    <s v=""/>
    <s v=""/>
    <n v="0"/>
    <s v="No"/>
    <s v=""/>
    <s v=""/>
    <s v=""/>
    <n v="0"/>
    <m/>
    <n v="3"/>
    <n v="4"/>
    <n v="3"/>
    <n v="3"/>
    <n v="3"/>
    <n v="3"/>
    <n v="3"/>
    <n v="3"/>
    <n v="4"/>
    <n v="3"/>
    <n v="32"/>
    <s v="SI"/>
    <m/>
    <s v="SI, SON PRI"/>
    <s v="ok tienen todos los datos"/>
    <e v="#N/A"/>
    <e v="#N/A"/>
    <m/>
    <n v="3"/>
    <n v="10"/>
    <n v="10"/>
    <n v="5"/>
    <n v="15"/>
    <n v="10"/>
    <n v="20"/>
    <n v="20"/>
    <n v="20"/>
    <n v="80"/>
    <s v="80 - 100%"/>
    <m/>
    <n v="3.5"/>
    <n v="4.5"/>
    <n v="8"/>
    <n v="4"/>
    <n v="3.5"/>
    <n v="4"/>
    <n v="8"/>
    <n v="4.5"/>
    <n v="80"/>
    <s v="80 - 100%"/>
    <n v="1"/>
    <e v="#N/A"/>
    <m/>
    <m/>
    <n v="0"/>
    <m/>
    <m/>
    <s v="Mercadeo"/>
    <e v="#N/A"/>
    <s v="169"/>
    <e v="#N/A"/>
  </r>
  <r>
    <s v="CC"/>
    <n v="1027802849"/>
    <s v="1000319748"/>
    <s v="LAURA CRISTINA GUTIERREZ RESTREPO"/>
    <s v="Estudios por primera vez"/>
    <x v="4"/>
    <s v="Descartado por ingresos altos"/>
    <s v="Ya pago matricula"/>
    <s v="En publico objetivo"/>
    <s v="1er Cohorte"/>
    <s v="Admitido"/>
    <s v="lcgutierrr@eafit.edu.co"/>
    <s v="lcgutierrr@eafit.edu.co"/>
    <s v="crisgutierrezr19@gmail.com"/>
    <s v="573148767656"/>
    <d v="2025-04-25T00:00:00"/>
    <s v="Activo en Programa"/>
    <s v="085-Ingeniería Diseño de Producto"/>
    <s v="E Ciencias Aplic e Ingeniería"/>
    <d v="2006-02-19T00:00:00"/>
    <n v="19"/>
    <s v="Antioquia"/>
    <s v="Maceo"/>
    <s v="Mujer"/>
    <s v="Soltero"/>
    <s v="NO"/>
    <s v="NO"/>
    <n v="0"/>
    <s v="NO"/>
    <s v="NA"/>
    <s v="NO"/>
    <s v="NA"/>
    <s v="NO"/>
    <s v="NA"/>
    <s v="No"/>
    <s v="314/876-7656"/>
    <s v="573148767656"/>
    <s v="Estrato 3"/>
    <s v="CR 87 A 32 81 BELÉN LAS MERCEDES"/>
    <s v="Antioquia"/>
    <s v="Medellín"/>
    <s v="No aplica, no soy foráneo"/>
    <s v="Propio"/>
    <s v="SI"/>
    <s v="2024"/>
    <s v="AC202431676311"/>
    <n v="356"/>
    <n v="79"/>
    <n v="72"/>
    <s v="Privada"/>
    <s v="COL CORAZONISTA"/>
    <n v="2024"/>
    <s v="Antioquia"/>
    <s v="Medellín"/>
    <s v="BACHILLER"/>
    <s v="ACAD"/>
    <s v="TIPO: Privada, INSTITUCION: COL CORAZONISTA, AÑO: 2024, CIUDAD: Medellín, TITULO: BACHILLER"/>
    <s v="11"/>
    <s v="Escala de 0 - 10"/>
    <s v="Escala de 0 - 10"/>
    <s v="7,8"/>
    <s v="7,8"/>
    <m/>
    <s v="7,7"/>
    <s v="7,7"/>
    <m/>
    <n v="7.2"/>
    <n v="7.2"/>
    <m/>
    <n v="7.9"/>
    <n v="7.9"/>
    <m/>
    <s v="7,2"/>
    <s v="7,2"/>
    <m/>
    <s v="7,6"/>
    <s v="7,6"/>
    <m/>
    <s v="7,1"/>
    <s v="7,1"/>
    <m/>
    <s v="De 9 y 10"/>
    <n v="7.5500000000000007"/>
    <s v="NO"/>
    <s v="NA"/>
    <n v="0"/>
    <n v="0"/>
    <s v="No"/>
    <n v="45"/>
    <m/>
    <n v="50"/>
    <m/>
    <n v="40"/>
    <m/>
    <m/>
    <n v="45"/>
    <s v="Con detalle por componente"/>
    <s v="Artísticas o culturales"/>
    <s v="Como ingeniera de diseño de producto, me visualizo en mi trabajo creando soluciones que mejoren la vida de las personas y al mismo tiempo, respeten al medio ambiente y a los animales. Siempre me ha interesado el diseño, pero no solo desde lo estético, sino como una herramienta para resolver problemas reales. Quiero enfocarme en crear productos tanto sostenibles como accesibles._x000a__x000a_Estudiar en EAFIT es una gran oportunidad para mí, y tener una beca haría una diferencia enorme. No solo sería un apoyo económico importante para mi familia, sería también una motivación para seguir esforzándome y dar lo mejor de mí. _x000a__x000a_Mi idea es usar lo que aprenda en el camino para contribuir a la transformación de Medellín y a otras regiones que necesiten ideas nuevas y responsables. Quiero que mi trabajo tengo un impacto real, cambiar la forma en la que consumimos, diseñamos y pensamos el producto, y poder aportar al desarrollo de una sociedad más consciente y comprometida con el entorno. Sé que estoy en el comienzo de este camino, pero tengo claro que quiero dejar una huella positiva, y esta beca sería uno de los primeros pasos para poder lograrlo."/>
    <s v="A través del Colegio"/>
    <s v="Por la calidad académica."/>
    <s v="Vocación."/>
    <n v="2"/>
    <s v="0"/>
    <s v="SI"/>
    <s v="NO"/>
    <s v="Entre 5 y 6 millones"/>
    <s v="No"/>
    <s v="NO"/>
    <s v="SI"/>
    <s v="Crédito entidad externa"/>
    <s v="SI"/>
    <s v="Beca"/>
    <s v="NO"/>
    <s v=""/>
    <s v=""/>
    <s v="Si"/>
    <s v="Javier Gonzalo Gutiérrez Niño"/>
    <s v="Casado"/>
    <s v="TECNOLOGÍA"/>
    <s v="49"/>
    <s v="Asesor comercial"/>
    <s v="Desempleado (Se encuentra en la búsqueda activa de empleo)"/>
    <s v="Conductor de plataformas termporalmente"/>
    <s v="Didi"/>
    <n v="1800000"/>
    <s v="Si"/>
    <s v="NO"/>
    <s v="NO"/>
    <s v=""/>
    <s v="Si"/>
    <s v="Margarita María Restrepo López"/>
    <s v="Otro"/>
    <s v="ESPECIALIZACIÓN"/>
    <s v="47"/>
    <s v="Ingeniera de alimentos"/>
    <s v="Empleado (con contrato laboral)"/>
    <s v="Jefe de Calidad"/>
    <s v="Postobón S.A."/>
    <n v="7267000"/>
    <s v="Si"/>
    <s v="NO"/>
    <s v="SI"/>
    <m/>
    <n v="9067000"/>
    <s v="No, solo vivo con mis padres"/>
    <s v=""/>
    <s v=""/>
    <s v=""/>
    <s v=""/>
    <s v=""/>
    <m/>
    <s v=""/>
    <s v=""/>
    <s v=""/>
    <s v=""/>
    <s v=""/>
    <s v=""/>
    <m/>
    <s v=""/>
    <s v=""/>
    <s v=""/>
    <s v=""/>
    <s v=""/>
    <s v=""/>
    <m/>
    <s v=""/>
    <s v=""/>
    <n v="0"/>
    <n v="600000000"/>
    <n v="0"/>
    <n v="0"/>
    <n v="0"/>
    <s v="Si"/>
    <s v="Renault Koleos"/>
    <s v="2014"/>
    <n v="37000000"/>
    <s v="No"/>
    <s v=""/>
    <s v=""/>
    <n v="0"/>
    <s v="Si"/>
    <s v="Carro"/>
    <s v="Renault Logan"/>
    <s v="2019"/>
    <n v="35000000"/>
    <s v="0"/>
    <n v="4"/>
    <n v="4"/>
    <n v="4"/>
    <n v="4"/>
    <n v="4"/>
    <n v="3"/>
    <n v="4"/>
    <n v="4"/>
    <n v="3"/>
    <n v="4"/>
    <n v="38"/>
    <s v="SI"/>
    <m/>
    <s v="SI, SON PRI"/>
    <s v="ok tienen todos los datos"/>
    <e v="#N/A"/>
    <e v="#N/A"/>
    <m/>
    <n v="3"/>
    <n v="10"/>
    <n v="8"/>
    <n v="10"/>
    <n v="10"/>
    <n v="15"/>
    <n v="15"/>
    <n v="5.5"/>
    <n v="5.5"/>
    <n v="65.5"/>
    <n v="0.4"/>
    <m/>
    <n v="2"/>
    <n v="2.5"/>
    <n v="1"/>
    <n v="0"/>
    <n v="2"/>
    <n v="2.5"/>
    <n v="1"/>
    <n v="0"/>
    <n v="63.5"/>
    <n v="0.4"/>
    <s v="Negado"/>
    <e v="#N/A"/>
    <m/>
    <m/>
    <n v="0"/>
    <m/>
    <m/>
    <s v="Ingeniería Diseño de Producto"/>
    <e v="#N/A"/>
    <m/>
    <e v="#N/A"/>
  </r>
  <r>
    <s v="CC"/>
    <n v="1027803335"/>
    <s v="1000405406"/>
    <s v="SAMUEL RESTREPO URIBE"/>
    <s v="Estudios por primera vez"/>
    <x v="1"/>
    <s v="Descartado por ingresos altos"/>
    <m/>
    <s v="En publico objetivo"/>
    <s v="2da Cohorte"/>
    <s v="Admitido"/>
    <s v="srestrepu4@eafit.edu.co"/>
    <e v="#N/A"/>
    <s v="samyrestrepo01@gmail.com"/>
    <s v="573015202284"/>
    <d v="2025-05-16T00:00:00"/>
    <s v="Activo en Programa"/>
    <s v="002-Negocios Internacionales"/>
    <s v="Escuela de Administración"/>
    <d v="2006-08-01T00:00:00"/>
    <n v="19"/>
    <s v="Antioquia"/>
    <s v="Medellín"/>
    <s v="Hombre"/>
    <s v="Soltero"/>
    <s v="NO"/>
    <s v="NO"/>
    <n v="0"/>
    <s v="NO"/>
    <s v="NA"/>
    <s v="NO"/>
    <s v="NA"/>
    <s v="NO"/>
    <s v="NA"/>
    <s v="No"/>
    <s v="604/256-3896"/>
    <s v="573015202284"/>
    <s v="Estrato 2"/>
    <s v="CR 78 #2 A 19"/>
    <s v="Antioquia"/>
    <s v="Medellín"/>
    <s v="No aplica, no soy foráneo"/>
    <s v="Familiar"/>
    <s v="SI"/>
    <s v="2023"/>
    <s v="AC202344527669"/>
    <n v="374"/>
    <n v="85"/>
    <n v="74"/>
    <s v="Pública"/>
    <s v="INST EDUC JUAN MARIA CESPEDES"/>
    <n v="2023"/>
    <s v="Antioquia"/>
    <s v="Medellín"/>
    <s v="BACHILLER"/>
    <s v="ACAD"/>
    <s v="TIPO: Pública, INSTITUCION: INST EDUC JUAN MARIA CESPEDES, AÑO: 2023, CIUDAD: Medellín, TITULO: BACHILLER"/>
    <s v="11"/>
    <s v="Escala Desempeño"/>
    <s v="Escala de 0 - 5"/>
    <s v="5"/>
    <s v="5"/>
    <m/>
    <s v="4,5"/>
    <s v="4,5"/>
    <m/>
    <n v="4.5"/>
    <n v="5"/>
    <m/>
    <n v="4.5"/>
    <n v="4.5"/>
    <m/>
    <s v="4,5"/>
    <s v="4,5"/>
    <m/>
    <s v="4,5"/>
    <s v="4,5"/>
    <m/>
    <s v="4,5"/>
    <s v="4,5"/>
    <m/>
    <s v="De 9 y 10"/>
    <n v="4.625"/>
    <s v="NO"/>
    <s v="NA"/>
    <n v="0"/>
    <n v="0"/>
    <s v="No"/>
    <n v="45"/>
    <m/>
    <n v="45"/>
    <m/>
    <n v="50"/>
    <m/>
    <m/>
    <n v="46.666666666666664"/>
    <s v="Con detalle por componente"/>
    <s v="Trabajo social o comunitario"/>
    <s v="Luego de terminar el pregrado, me veo trabajando en una empresa en el área de manejo de clientes internacionales o de gestión de proyectos, donde gracias a mis conocimientos podre ser de gran utilidad para la empresa y apoyar el crecimiento de esta misma. Además de con el tiempo, poder escalar diferentes puestos y ser encargado de un grupo de personas dentro de uno de los departamentos de la empresa._x000a_Por medio de la carrera de Negocios Internacionales, y gracias a la beca y la oportunidad de estudiar en una universidad de alta calidad, podré prepararme para participar en proyectos que beneficien a mi comunidad. Esto me permitirá apoyar a las personas y emprendimientos locales, compartir mis conocimientos y ser parte de un movimiento que reconoce a los jóvenes como actores clave en el crecimiento económico de la región y en su proyección hacia mercados extranjeros. Esta beca me permite, además de el cumplimiento de mis metas personales, convertirme en un apoyo para el progreso del país."/>
    <s v="A través del Colegio"/>
    <s v="Por la calidad académica."/>
    <s v="Alta proyección de ingresos."/>
    <n v="2"/>
    <s v="0"/>
    <s v="SI"/>
    <s v="NO"/>
    <s v="Entre 10 y 11 millones"/>
    <s v="No"/>
    <s v="NO"/>
    <n v="0"/>
    <m/>
    <s v="SI"/>
    <s v="Patrocinio empresarial"/>
    <s v="NO"/>
    <s v=""/>
    <s v=""/>
    <s v="Si"/>
    <s v="Apolinar Restrepo Loaiza"/>
    <s v="Unión marital"/>
    <s v="BACHILLERATO"/>
    <s v="54"/>
    <s v="Operario"/>
    <s v="Empleado (con contrato laboral)"/>
    <s v="Operario de Servicios"/>
    <s v="Amtex"/>
    <n v="3638036"/>
    <s v="Si"/>
    <s v="NO"/>
    <s v="NO"/>
    <s v=""/>
    <s v="Si"/>
    <s v="Lina María Uribe Vargas"/>
    <s v="Unión marital"/>
    <s v="MAESTRÍA"/>
    <s v="51"/>
    <s v="Docente"/>
    <s v="Empleado (con contrato laboral)"/>
    <s v="Docente de aula"/>
    <s v="Secretaría de Educación de Medellín"/>
    <n v="6835150"/>
    <s v="Si"/>
    <s v="NO"/>
    <s v="NO"/>
    <m/>
    <n v="10473186"/>
    <s v="No, solo vivo con mis padres"/>
    <s v=""/>
    <s v=""/>
    <s v=""/>
    <s v=""/>
    <s v=""/>
    <m/>
    <s v=""/>
    <s v=""/>
    <s v=""/>
    <s v=""/>
    <s v=""/>
    <s v=""/>
    <m/>
    <s v=""/>
    <s v=""/>
    <s v=""/>
    <s v=""/>
    <s v=""/>
    <s v=""/>
    <m/>
    <s v=""/>
    <s v=""/>
    <n v="0"/>
    <n v="143486000"/>
    <n v="0"/>
    <n v="0"/>
    <n v="0"/>
    <s v="Si"/>
    <s v="Chevrolet"/>
    <s v="2018"/>
    <n v="20882000"/>
    <s v="No"/>
    <s v=""/>
    <s v=""/>
    <n v="0"/>
    <s v="No"/>
    <s v=""/>
    <s v=""/>
    <s v=""/>
    <n v="0"/>
    <m/>
    <n v="4"/>
    <n v="4"/>
    <n v="4"/>
    <n v="4"/>
    <n v="3"/>
    <n v="3"/>
    <n v="3"/>
    <n v="4"/>
    <n v="3"/>
    <n v="4"/>
    <n v="36"/>
    <s v="SI"/>
    <m/>
    <s v="SI, SON PRI"/>
    <s v="ok tienen todos los datos"/>
    <e v="#N/A"/>
    <e v="#N/A"/>
    <m/>
    <n v="3"/>
    <n v="10"/>
    <n v="10"/>
    <n v="15"/>
    <n v="20"/>
    <n v="15"/>
    <n v="20"/>
    <n v="9"/>
    <n v="9"/>
    <n v="89"/>
    <n v="0.4"/>
    <m/>
    <n v="3.5"/>
    <n v="3.5"/>
    <n v="0"/>
    <n v="2"/>
    <n v="3.5"/>
    <n v="3.5"/>
    <n v="0"/>
    <n v="2"/>
    <n v="89"/>
    <n v="0.4"/>
    <n v="0.4"/>
    <e v="#N/A"/>
    <m/>
    <m/>
    <n v="0"/>
    <m/>
    <m/>
    <s v="Negocios Internacionales"/>
    <e v="#N/A"/>
    <s v="002"/>
    <e v="#N/A"/>
  </r>
  <r>
    <s v="TI"/>
    <n v="1027804561"/>
    <s v="1000381198"/>
    <s v="PAULINA ESCOBAR DIAZ"/>
    <s v="Cupo Reservado"/>
    <x v="1"/>
    <s v="No cumple, estrato 4"/>
    <m/>
    <s v="En publico objetivo"/>
    <s v="1er Cohorte"/>
    <s v="Admitido"/>
    <s v="pescobard@eafit.edu.co"/>
    <s v="pescobard@eafit.edu.co"/>
    <s v="paupauliescobar@gmail.com"/>
    <s v="573006473322"/>
    <d v="2025-04-25T00:00:00"/>
    <s v="Activo en Programa"/>
    <s v="169-Mercadeo"/>
    <s v="Escuela de Administración"/>
    <d v="2007-05-28T00:00:00"/>
    <n v="18"/>
    <s v="Antioquia"/>
    <s v="Medellín"/>
    <s v="Mujer"/>
    <s v="Soltero"/>
    <s v="NO"/>
    <s v="NO"/>
    <n v="0"/>
    <s v="NO"/>
    <s v="NA"/>
    <s v="NO"/>
    <s v="NA"/>
    <s v="NO"/>
    <s v="NA"/>
    <s v="No"/>
    <s v="230-4695"/>
    <s v="573006473322"/>
    <s v="Estrato 4"/>
    <s v="TV 51 B #64 B- 85"/>
    <s v="Antioquia"/>
    <s v="Medellín"/>
    <s v="No aplica, no soy foráneo"/>
    <s v="Propio"/>
    <s v="SI"/>
    <n v="2024"/>
    <s v="AC202433150133"/>
    <n v="338"/>
    <n v="66"/>
    <n v="67"/>
    <s v="Privada"/>
    <s v="INST JORGE ROBLEDO"/>
    <n v="2024"/>
    <m/>
    <s v="Medellín"/>
    <n v="0"/>
    <s v="BACHILLER"/>
    <s v="TIPO: Privada, INSTITUCION: INST JORGE ROBLEDO, AÑO: 2024, CIUDAD: Medellín, TITULO: BACHILLER"/>
    <n v="0"/>
    <n v="0"/>
    <s v="Escala de 0 - 5"/>
    <m/>
    <m/>
    <s v="4"/>
    <m/>
    <m/>
    <s v="4"/>
    <n v="3.56"/>
    <n v="4.1500000000000004"/>
    <n v="4.1399999999999997"/>
    <n v="3.5"/>
    <n v="3.97"/>
    <n v="4.5199999999999996"/>
    <m/>
    <m/>
    <s v="4"/>
    <m/>
    <m/>
    <s v="4"/>
    <m/>
    <m/>
    <s v="4"/>
    <s v="De 9, 10 y 11"/>
    <n v="3.9733333333333332"/>
    <s v="NA"/>
    <s v="NA"/>
    <n v="0"/>
    <n v="0"/>
    <s v="No"/>
    <s v="Sin informacion"/>
    <s v="Sin informacion"/>
    <s v="Sin informacion"/>
    <s v="Sin informacion"/>
    <s v="Sin informacion"/>
    <s v="Sin informacion"/>
    <s v="No se había postulado anteriormente a la convocatoria de becas"/>
    <n v="35"/>
    <s v="Cupo reservado"/>
    <s v="Artísticas o culturales,Otras (por ejemplo, un talento extraordinario),Espacios de liderazgo o representación social"/>
    <s v="Me proyecto adquiriendo conocimientos valiosos para fortalecer mis capacidades comerciales y potenciar así tanto mis emprendimientos independientes como el pequeño negocio familiar que está surgiendo a partir de una finca en Airbnb. Además sería para mí un honor poder aplicar y ser seleccionada como uno de los beneficiarios de esta beca, admiro mucho la universidad y sus métodos educativos, pues he asistido varias veces a sus clases abiertas y son estas mismas las que me hacen querer hacer parte de esta comunidad. Soy una persona con mucho deseo de superación, incluso mis padres hicieron el gran esfuerzo económico de pagarme mis estudios de primaria y secundaria en el Instituto Jorge Robledo para formarme con buenas bases desde pequeña, lo cual les agradezco inmensamente, orgullosamente Robledista salí con grandes metas y sueños que no considero imposibles. Aunque he intentado continuar mis estudios profesionales por medio de otras academias asequibles no logro adaptarme ya que siento que puedo dar más de mí, y no busco solo el título, busco mi superación personal y profesional a pesar de no tener los medios económicos suficientes para lograrlo en el lugar que anhelo. Aplico a esta beca porque sé que cumplo con el perfil de la persona que ustedes buscan y no lo hago con el ánimo de presumir, al contrario, me llena de alegría saber que aún tengo la oportunidad de cumplir mi sueño y estudiar en la universidad que plasmé en mi anuario cuando me gradué el año pasado."/>
    <s v="Amigos"/>
    <s v="Por la calidad académica."/>
    <s v="Vocación."/>
    <n v="3"/>
    <s v="Sin informacion"/>
    <s v="Sin informacion"/>
    <s v="Sin informacion"/>
    <s v="Sin informacion"/>
    <s v="Si"/>
    <n v="0"/>
    <n v="0"/>
    <m/>
    <s v="SI"/>
    <s v="Beca"/>
    <s v="NO"/>
    <s v=""/>
    <s v=""/>
    <s v="Si"/>
    <s v="Luis Carlos Escobar Palacio"/>
    <s v="Casado"/>
    <s v="BACHILLERATO"/>
    <s v="66"/>
    <s v="Periodista"/>
    <s v="Independiente (trabaja por cuenta propia)"/>
    <s v="Narrador deportivo"/>
    <s v="Luisk Publicidad S.A.S."/>
    <n v="7000000"/>
    <s v="Si"/>
    <s v="SI"/>
    <s v="NO"/>
    <s v="Mi papá es un gran partidario de que me postule a esta beca, él confía en mis capacidades y cree que mi capacitación en EAFIT me va a permitir explotar al máximo mi potencial."/>
    <s v="Si"/>
    <s v="Alexandra Díaz Tayo"/>
    <s v="Casado"/>
    <s v="UNIVERSITARIOS"/>
    <s v="52"/>
    <s v="Administradora de empresas"/>
    <s v="Independiente (trabaja por cuenta propia)"/>
    <s v="Asistente administrativa"/>
    <s v="Luisk Publicidad S.A.S."/>
    <n v="4000000"/>
    <s v="Si"/>
    <s v="NO"/>
    <s v="NO"/>
    <s v="Una mujer admirable, que se ha esforzado desde el día uno para que sus hijos reciban una buena formación académica y que a pesar de sus esfuerzos por monetizar diariamente no logra reunir los medios para financiar este costo sin una ayuda adicional."/>
    <n v="11000000"/>
    <s v="Si"/>
    <s v="Jerónimo Escobar"/>
    <s v="Hermano / Hermana"/>
    <s v="19"/>
    <s v="Estudiante"/>
    <s v="Politécnico Jaime Isaza Cadavid"/>
    <n v="1500000"/>
    <s v="Si"/>
    <s v=""/>
    <s v=""/>
    <s v=""/>
    <s v=""/>
    <s v=""/>
    <m/>
    <s v=""/>
    <s v=""/>
    <s v=""/>
    <s v=""/>
    <s v=""/>
    <s v=""/>
    <m/>
    <s v=""/>
    <s v="Somos una familia unida, que ha logrado superar sus adversidades juntos y no nos imponemos límites basándonos en aspectos económicos, siempre estamos el uno para el otro y nos apoyamos en las decisiones que hacemos a diario."/>
    <n v="300000000"/>
    <n v="0"/>
    <n v="0"/>
    <n v="0"/>
    <n v="0"/>
    <s v="Si"/>
    <s v="KIA"/>
    <s v="2015"/>
    <n v="22000000"/>
    <s v="No"/>
    <s v=""/>
    <s v=""/>
    <n v="0"/>
    <s v="Si"/>
    <s v="Prado Ego"/>
    <s v="Toyota"/>
    <s v="2004"/>
    <n v="34000000"/>
    <s v="Vehículos principalmente para realizar actividades laborales tales como&amp;#58; Didi y transporte de pasajeros a veredas."/>
    <n v="4"/>
    <n v="4"/>
    <n v="3"/>
    <n v="4"/>
    <n v="4"/>
    <n v="4"/>
    <n v="4"/>
    <n v="4"/>
    <n v="4"/>
    <n v="4"/>
    <n v="39"/>
    <s v="SI"/>
    <s v="SI, CRE"/>
    <s v="Son CRE, sin tipo de vivienda, nada del ICFES, sin nada de entrevista, y con solo 1 nota del colegio"/>
    <s v="se reviso docs, sin tipo de vivienda ni entrevista"/>
    <e v="#N/A"/>
    <e v="#N/A"/>
    <m/>
    <n v="3"/>
    <n v="4"/>
    <n v="4"/>
    <n v="10"/>
    <n v="10"/>
    <n v="15"/>
    <n v="5"/>
    <n v="5.5"/>
    <n v="5.5"/>
    <n v="49.5"/>
    <n v="0.4"/>
    <m/>
    <n v="2"/>
    <n v="2.5"/>
    <n v="0"/>
    <n v="1"/>
    <n v="2"/>
    <n v="2.5"/>
    <n v="0"/>
    <n v="1"/>
    <n v="49.5"/>
    <n v="0.4"/>
    <n v="0.4"/>
    <e v="#N/A"/>
    <m/>
    <m/>
    <s v="SI, CRE"/>
    <m/>
    <m/>
    <s v="Mercadeo"/>
    <e v="#N/A"/>
    <s v="169"/>
    <e v="#N/A"/>
  </r>
  <r>
    <s v="TI"/>
    <n v="1027804632"/>
    <s v="1000405417"/>
    <s v="ARLETH JULIANA ARIAS VALOYES"/>
    <s v="Estudios por primera vez"/>
    <x v="1"/>
    <s v="Descartado por ingresos altos"/>
    <m/>
    <s v="En publico objetivo"/>
    <s v="2da Cohorte"/>
    <s v="Admitido"/>
    <s v="ajariasv@eafit.edu.co"/>
    <e v="#N/A"/>
    <s v="arlethjulianaariasvaloyes9@gmail.com"/>
    <s v="573142111622"/>
    <d v="2025-05-16T00:00:00"/>
    <s v="Activo en Programa"/>
    <s v="002-Negocios Internacionales"/>
    <s v="Escuela de Administración"/>
    <d v="2007-06-19T00:00:00"/>
    <n v="18"/>
    <s v="Antioquia"/>
    <s v="Medellín"/>
    <s v="Mujer"/>
    <s v="Soltero"/>
    <s v="SI"/>
    <s v="NO"/>
    <n v="0"/>
    <s v="NO"/>
    <s v="NA"/>
    <s v="SI"/>
    <s v="Afrocolombianos"/>
    <s v="SI"/>
    <s v="Afrocolombianos"/>
    <s v="No"/>
    <s v="321/812-4196"/>
    <s v="573142111622"/>
    <s v="Estrato 1"/>
    <s v="CR 10 #27 68"/>
    <s v="Chocó"/>
    <s v="Quibdó"/>
    <s v="No"/>
    <s v="Familiar"/>
    <s v="SI"/>
    <s v="2024"/>
    <s v="AC202433701208"/>
    <n v="377"/>
    <n v="75"/>
    <n v="78"/>
    <s v="Pública"/>
    <s v="IE FEM DE ENSEÑANZA MEDIA"/>
    <n v="2024"/>
    <s v="Chocó"/>
    <s v="Quibdó"/>
    <s v="BACHILLER"/>
    <s v="COME"/>
    <s v="TIPO: Pública, INSTITUCION: IE FEM DE ENSEÑANZA MEDIA, AÑO: 2024, CIUDAD: Quibdó, TITULO: BACHILLER"/>
    <s v="11"/>
    <s v="Escala de 0 - 5"/>
    <s v="Escala de 0 - 5"/>
    <s v="4,5"/>
    <s v="5"/>
    <m/>
    <s v="4,5"/>
    <s v="4,5"/>
    <m/>
    <n v="4.7"/>
    <n v="4.7"/>
    <m/>
    <n v="4.7"/>
    <n v="4.7"/>
    <m/>
    <s v="5"/>
    <s v="4,7"/>
    <m/>
    <s v="5"/>
    <s v="4,4"/>
    <m/>
    <s v="4,7"/>
    <s v="4,5"/>
    <m/>
    <s v="De 9 y 10"/>
    <n v="4.7"/>
    <s v="NO"/>
    <s v="NA"/>
    <n v="0"/>
    <n v="0"/>
    <s v="No"/>
    <n v="50"/>
    <m/>
    <n v="50"/>
    <m/>
    <n v="50"/>
    <m/>
    <m/>
    <n v="50"/>
    <s v="Con detalle por componente"/>
    <s v="Ninguna"/>
    <s v="Me visualizo siendo una profesional en Negocios Internacionales que ayude a las empresas del Chocó a crecer, innovar y conectar con el mundo. Sueño con un departamento donde el talento, los productos locales y la biodiversidad no sean invisibles, sino protagonistas en los mercados internacionales. Desde mi formación, quiero impulsar a las empresas de mi región a exportar, atraer inversión y generar empleos dignos, sostenibles y con enfoque social. Me apasiona el aprendizaje, los idiomas y las oportunidades de crecimiento, y sé que a través de esta carrera podré asesorar a organizaciones que quieran transformar positivamente su entorno._x000a__x000a_La obtención de esta beca sería mucho más que un apoyo financiero: sería un voto de confianza en mi proyecto de vida. He demostrado que soy disciplinada, constante y comprometida con la excelencia. A pesar de las dificultades de estudiar en una región con menos oportunidades, me he formado con esfuerzo, dedicación y amor por el conocimiento. Esta beca me permitiría estudiar en una universidad de excelente calidad como lo es EAFIT, aprender nuevos idiomas, conocer otras culturas y acceder a una educación que potencie mis capacidades._x000a__x000a_Gracias a este apoyo, podré regresar a mi región con herramientas reales para aportar a su desarrollo económico y social. Desde los negocios, quiero generar impacto: apoyar emprendimientos locales, abrir caminos de comercio justo y sostenible, y demostrar que en el Chocó hay jóvenes capaces de liderar procesos de transformación. Con esta beca, quiero seguir demostrando que los sueños sí se cumplen cuando se trabaja con responsabilidad, compromiso y esperanza."/>
    <s v="Referencias familiares"/>
    <s v="Por la calidad académica."/>
    <s v="Recomendación."/>
    <n v="2"/>
    <s v="0"/>
    <s v="SI"/>
    <s v="NO"/>
    <s v="Entre 8 y 9 millones"/>
    <s v="No"/>
    <n v="0"/>
    <s v="SI"/>
    <s v="Crédito entidad externa"/>
    <s v="SI"/>
    <s v="Beca"/>
    <s v="NO"/>
    <s v=""/>
    <s v=""/>
    <s v="Si"/>
    <s v="Celimo Dany Arias Lloreda"/>
    <s v="Soltero"/>
    <s v="ESPECIALIZACIÓN"/>
    <s v="49"/>
    <s v="Contaduría pública"/>
    <s v="Otra"/>
    <s v="Contador público"/>
    <s v="WOUNDEKO"/>
    <n v="4366000"/>
    <s v="Si"/>
    <s v="SI"/>
    <s v="NO"/>
    <s v="Su contrato actual es por prestación de servicios profesionales inferior a un año."/>
    <s v="Si"/>
    <s v="Refa Arleth Valoyes Cuesta"/>
    <s v="Unión marital"/>
    <s v="MAESTRÍA"/>
    <s v="54"/>
    <s v="Economía"/>
    <s v="Empleado (con contrato laboral)"/>
    <s v="Docente de aulagrado 3CM"/>
    <s v="Institución Normal Superior de Quibdó"/>
    <n v="7987557"/>
    <s v="Si"/>
    <s v="NO"/>
    <s v="NO"/>
    <s v="El sueldo de la madre indicado es el sueldo basico sin descontar&amp;#58; Aporte Empleado Fondo Prest. Magisterio - Aporte Empleado Fondo Solidaridad Magisterio - Aporte tercera parte Fondo Prestacional Ascenso - Banco popular - Retención en la Fuente por Salarios - UMACH"/>
    <n v="12353557"/>
    <s v="No, solo vivo con mis padres"/>
    <s v=""/>
    <s v=""/>
    <s v=""/>
    <s v=""/>
    <s v=""/>
    <m/>
    <s v=""/>
    <s v=""/>
    <s v=""/>
    <s v=""/>
    <s v=""/>
    <s v=""/>
    <m/>
    <s v=""/>
    <s v=""/>
    <s v=""/>
    <s v=""/>
    <s v=""/>
    <s v=""/>
    <m/>
    <s v=""/>
    <s v=""/>
    <n v="0"/>
    <n v="0"/>
    <n v="0"/>
    <n v="0"/>
    <n v="0"/>
    <s v="No"/>
    <s v=""/>
    <s v=""/>
    <n v="0"/>
    <s v="No"/>
    <s v=""/>
    <s v=""/>
    <n v="0"/>
    <s v="Si"/>
    <s v="Moto"/>
    <s v="Honda"/>
    <s v="2017"/>
    <n v="4500000"/>
    <m/>
    <n v="4"/>
    <n v="4"/>
    <n v="3"/>
    <n v="4"/>
    <n v="4"/>
    <n v="3"/>
    <n v="3"/>
    <n v="3"/>
    <n v="3"/>
    <n v="4"/>
    <n v="35"/>
    <s v="SI"/>
    <m/>
    <s v="SI, SON PRI"/>
    <s v="ok tienen todos los datos"/>
    <e v="#N/A"/>
    <e v="#N/A"/>
    <m/>
    <n v="3"/>
    <n v="6"/>
    <n v="6"/>
    <n v="15"/>
    <n v="20"/>
    <n v="15"/>
    <n v="20"/>
    <n v="11.5"/>
    <n v="11"/>
    <n v="87"/>
    <n v="0.4"/>
    <m/>
    <n v="3.5"/>
    <n v="3.5"/>
    <n v="0"/>
    <n v="4"/>
    <n v="3.5"/>
    <n v="3.5"/>
    <n v="0"/>
    <n v="4.5"/>
    <n v="87.5"/>
    <n v="0.4"/>
    <n v="0.4"/>
    <e v="#N/A"/>
    <m/>
    <m/>
    <n v="0"/>
    <m/>
    <m/>
    <s v="Negocios Internacionales"/>
    <e v="#N/A"/>
    <s v="002"/>
    <e v="#N/A"/>
  </r>
  <r>
    <s v="TI"/>
    <n v="1027805126"/>
    <s v="1000397303"/>
    <s v="MICHEL MOLINA PEREZ"/>
    <s v="Estudios por primera vez"/>
    <x v="1"/>
    <s v="Descartado por bajo icfes"/>
    <m/>
    <s v="En publico objetivo"/>
    <s v="3ra Cohorte"/>
    <s v="Admitido"/>
    <s v="mmolinap1@eafit.edu.co"/>
    <s v="mmolinap1@eafit.edu.co"/>
    <s v="mmolinap1@eafit.edu.co"/>
    <s v="573215739050"/>
    <d v="2025-05-30T00:00:00"/>
    <s v="Activo en Programa"/>
    <s v="169-Mercadeo"/>
    <s v="Escuela de Administración"/>
    <d v="2007-10-04T00:00:00"/>
    <n v="18"/>
    <s v="Antioquia"/>
    <s v="Medellín"/>
    <s v="Mujer"/>
    <s v="Soltero"/>
    <s v="NO"/>
    <s v="NO"/>
    <n v="0"/>
    <s v="NO"/>
    <s v="NA"/>
    <s v="NO"/>
    <s v="NA"/>
    <s v="NO"/>
    <s v="NA"/>
    <s v="No"/>
    <s v="321/573-9050"/>
    <s v="573215739050"/>
    <s v="Estrato 3"/>
    <s v="CR 83 B N 32 87"/>
    <s v="Antioquia"/>
    <s v="Medellín"/>
    <s v="No aplica, no soy foráneo"/>
    <s v="Arriendo"/>
    <s v="SI"/>
    <s v="2024"/>
    <s v="AC202432939098"/>
    <n v="308"/>
    <n v="63"/>
    <n v="65"/>
    <s v="Pública"/>
    <s v="INST EDUC JUAN MARIA CESPEDES"/>
    <n v="2024"/>
    <s v="Antioquia"/>
    <s v="Medellín"/>
    <s v="BACHILLER"/>
    <s v="ACAD"/>
    <s v="TIPO: Pública, INSTITUCION: INST EDUC JUAN MARIA CESPEDES, AÑO: 2024, CIUDAD: Medellín, TITULO: BACHILLER"/>
    <s v="11"/>
    <s v="Escala Desempeño"/>
    <s v="Escala de 0 - 5"/>
    <s v="4,5"/>
    <s v="4,5"/>
    <m/>
    <s v="4"/>
    <s v="4"/>
    <m/>
    <n v="4"/>
    <n v="4"/>
    <m/>
    <n v="4"/>
    <n v="4.5"/>
    <m/>
    <s v="4"/>
    <s v="4"/>
    <m/>
    <s v="4,5"/>
    <s v="4,5"/>
    <m/>
    <s v="4"/>
    <s v="4,5"/>
    <m/>
    <s v="De 9 y 10"/>
    <n v="4.125"/>
    <s v="NO"/>
    <s v="NA"/>
    <n v="0"/>
    <n v="0"/>
    <s v="No"/>
    <n v="35"/>
    <m/>
    <n v="40"/>
    <m/>
    <n v="40"/>
    <m/>
    <m/>
    <n v="38.333333333333336"/>
    <s v="Con detalle por componente"/>
    <s v="Artísticas o culturales"/>
    <s v="En el transcurso del último año, he descubierto que emprender no es simplemente vender un producto: es comprender a las personas, interpretar sus necesidades y conectar con ellas a través de propuestas auténticas y con significado. Esta comprensión es la base de mi decisión de postularme al pregrado de Mercadeo en la Universidad EAFIT. Más allá de la formación académica, busco en esta carrera que me brinde las herramientas necesarias para transformar una iniciativa personal en un proyecto con verdadero impacto social._x000a__x000a_A inicios de este año, lancé un pequeño emprendimiento de gomitas enchiladas. Además, recientemente participé con mi emprendimiento en la feria tutores de la universidad. Esto es impulsado por mi deseo de aprender, de generar ingresos y de crear mi propia empresa. Esta experiencia me ha permitido construir una marca propia, manejar las redes sociales de manera estratégica e identificar las preferencias de mis clientes. Además, me ha llevado a cuestionarme sobre ¿cómo las estrategias de mercadeo pueden transformar realidades? ¿De qué manera la comunicación efectiva y la innovación pueden contribuir al desarrollo económico y social de un país?_x000a__x000a_El mercadeo me apasiona porque reúne tres elementos que me definen: la creatividad, la capacidad de análisis y la conexión humana. Mi mayor motivación es la posibilidad de comprender cómo influenciamos y cómo somos influenciados por lo que consumimos. En los próximos años, me visualizo estudiando cómo se construyen marcas que inspiran, cómo se diseñan estrategias que aporten valor real, y cómo se puede innovar conservando mis valores éticos. En este sentido, el enfoque del programa de EAFIT, con su visión integral y aplicada, representa el espacio ideal para formarme integralmente y proyectarme en el futuro. _x000a__x000a_Estoy convencida que empezar la vida universitaria con un emprendimiento activo me permite tener una perspectiva distinta: aprender a hacerlo mejor. Además, estudiando inglés en EAFIT he corroborado que esta universidad ofrece educación de alta calidad académica centrada en la innovación. El entorno de esta universidad es ideal para crecer y alcanzar mi meta de ser una persona con impacto social, que inspire a otros jóvenes a crear, a arriesgarse y a liderar proyectos. Quiero que mi proyecto evolucione, pero también quiero adquirir una visión amplia del mercado para acompañar a otros, formar redes y contribuir a un ecosistema emprendedor más consciente._x000a__x000a_En resumen, realizar el programa de Mercadeo en EAFIT es un paso coherente con mi historia, mis intereses y mis metas. Es una oportunidad para fortalecer lo que ya he iniciado y para construir puentes entre las marcas y las personas, así como entre necesidades sociales y soluciones creativas. Un futuro profesional que combine pasión, conocimiento y propósito."/>
    <s v="A través del Colegio"/>
    <s v="Por la calidad académica."/>
    <s v="Vocación."/>
    <n v="2"/>
    <s v="1"/>
    <s v="SI"/>
    <s v="NO"/>
    <s v="Entre 2 y 3 millones"/>
    <s v="No"/>
    <n v="0"/>
    <s v="NO"/>
    <m/>
    <s v="SI"/>
    <s v="Beca"/>
    <s v="NO"/>
    <s v=""/>
    <s v=""/>
    <s v="No, fallecido"/>
    <n v="0"/>
    <m/>
    <m/>
    <m/>
    <s v=""/>
    <s v=""/>
    <m/>
    <s v=""/>
    <m/>
    <s v=""/>
    <m/>
    <m/>
    <s v=""/>
    <s v="Si"/>
    <s v="Jeisy Anned Perez Isaza"/>
    <s v="Otro"/>
    <s v="TÉCNICA"/>
    <s v="37"/>
    <s v="Tecnica en operaciones comerciales"/>
    <s v="Empleado (con contrato laboral)"/>
    <s v="Asistente Administrativo"/>
    <s v="Teleantioquia"/>
    <n v="2063517"/>
    <s v="Si"/>
    <s v="SI"/>
    <s v="NO"/>
    <m/>
    <n v="2063517"/>
    <s v="Si"/>
    <s v="Simon Molina Perez"/>
    <s v="Hermano / Hermana"/>
    <s v="12"/>
    <s v="Estudiante"/>
    <s v="I.E Juan Maria Cespedes"/>
    <n v="0"/>
    <s v="No"/>
    <s v=""/>
    <s v=""/>
    <s v=""/>
    <s v=""/>
    <s v=""/>
    <m/>
    <s v=""/>
    <s v=""/>
    <s v=""/>
    <s v=""/>
    <s v=""/>
    <s v=""/>
    <m/>
    <s v=""/>
    <s v=""/>
    <n v="0"/>
    <n v="0"/>
    <n v="0"/>
    <n v="0"/>
    <n v="0"/>
    <s v="No"/>
    <s v=""/>
    <s v=""/>
    <n v="0"/>
    <s v="No"/>
    <s v=""/>
    <s v=""/>
    <n v="0"/>
    <s v="No"/>
    <s v=""/>
    <s v=""/>
    <s v=""/>
    <n v="0"/>
    <m/>
    <n v="4"/>
    <n v="4"/>
    <n v="3"/>
    <n v="3"/>
    <n v="4"/>
    <n v="4"/>
    <n v="4"/>
    <n v="3"/>
    <n v="4"/>
    <n v="4"/>
    <n v="37"/>
    <s v="SI"/>
    <m/>
    <s v="SI, SON PRI"/>
    <s v="ok tienen todos los datos"/>
    <s v="Negada"/>
    <n v="20251"/>
    <m/>
    <n v="3"/>
    <n v="10"/>
    <n v="8"/>
    <n v="5"/>
    <n v="15"/>
    <n v="15"/>
    <n v="10"/>
    <n v="20"/>
    <n v="20"/>
    <n v="75"/>
    <s v="80 - 100%"/>
    <m/>
    <n v="3.5"/>
    <n v="4.5"/>
    <n v="8"/>
    <n v="4"/>
    <n v="3.5"/>
    <n v="4"/>
    <n v="8"/>
    <n v="4.5"/>
    <n v="73"/>
    <s v="80 - 100%"/>
    <n v="0.8"/>
    <e v="#N/A"/>
    <m/>
    <m/>
    <n v="0"/>
    <m/>
    <m/>
    <s v="Mercadeo"/>
    <e v="#N/A"/>
    <s v="169"/>
    <e v="#N/A"/>
  </r>
  <r>
    <s v="TI"/>
    <n v="1027805272"/>
    <s v="1000021991"/>
    <s v="TOMAS LOPEZ HOYOS"/>
    <s v="Estudios por primera vez"/>
    <x v="6"/>
    <s v="No cumple, estrato 4"/>
    <m/>
    <s v="En publico objetivo"/>
    <s v="1er Cohorte"/>
    <s v="Admitido"/>
    <s v="tlopezh@eafit.edu.co"/>
    <s v="tlopezh@eafit.edu.co"/>
    <s v="tomashoyos2027@gmail.com"/>
    <s v="314/625-5717"/>
    <d v="2025-04-25T00:00:00"/>
    <s v="Activo en Programa"/>
    <s v="199-Finanzas"/>
    <s v="E.Finanzas, Economía, Gobierno"/>
    <d v="2007-11-20T00:00:00"/>
    <n v="18"/>
    <s v="Antioquia"/>
    <s v="Medellín"/>
    <s v="Hombre"/>
    <s v="Soltero"/>
    <s v="NO"/>
    <s v="NO"/>
    <n v="0"/>
    <s v="NO"/>
    <s v="NA"/>
    <s v="NO"/>
    <s v="NA"/>
    <s v="NO"/>
    <s v="NA"/>
    <s v="No"/>
    <s v="604 6036734"/>
    <s v="314/625-5717"/>
    <s v="Estrato 4"/>
    <s v="CR 28 #29 190"/>
    <s v="Antioquia"/>
    <s v="Medellín"/>
    <s v="No aplica, no soy foráneo"/>
    <s v="Propio"/>
    <s v="SI"/>
    <s v="2024"/>
    <s v="AC202433190386"/>
    <n v="351"/>
    <n v="69"/>
    <n v="70"/>
    <s v="Privada"/>
    <s v="COLEGIO SAN JOSÉ DE LA SALLE"/>
    <n v="2024"/>
    <s v="Antioquia"/>
    <s v="Medellín"/>
    <s v="BACHILLER"/>
    <s v="ACAD"/>
    <s v="TIPO: Privada, INSTITUCION: COLEGIO SAN JOSÉ DE LA SALLE, AÑO: 2024, CIUDAD: Medellín, TITULO: BACHILLER"/>
    <s v="11"/>
    <s v="Escala de 0 - 5"/>
    <s v="Escala de 0 - 5"/>
    <s v="4,5"/>
    <s v="4,5"/>
    <m/>
    <s v="4,5"/>
    <s v="4,5"/>
    <m/>
    <n v="4"/>
    <n v="4.3"/>
    <m/>
    <n v="4.5"/>
    <n v="4.3"/>
    <m/>
    <s v="4,5"/>
    <s v="4,5"/>
    <m/>
    <s v="4,5"/>
    <s v="4,5"/>
    <m/>
    <s v="4,5"/>
    <s v="4,5"/>
    <m/>
    <s v="De 9 y 10"/>
    <n v="4.2750000000000004"/>
    <s v="NO"/>
    <s v="NA"/>
    <n v="0"/>
    <n v="0"/>
    <s v="No"/>
    <n v="40"/>
    <m/>
    <n v="40"/>
    <m/>
    <n v="45"/>
    <m/>
    <s v="Quiere estudiar Finanzas porque quiere dirigir una empresa"/>
    <n v="41.666666666666664"/>
    <s v="Con detalle por componente"/>
    <s v="Deportistas de alto rendimiento o representativo"/>
    <s v="Me veo o como un gran empresario, creando mi propia empresa a partir del conocimiento adquirido en la universidad o perteneciendo a una de las grandes empresas del país o en el exterior en el área de finanzas, generando valor agregado para la toma de decisiones financieras. Combinando la disciplina del deporte de alto rendimiento con la preparación del programa de finanzas, me permitiría consolidarme de manera integral en educación financiera basada en valores y conocimientos teóricos aplicados a cualquier idea de negocio o empresa en la que me desempeñe en el mundo laboral."/>
    <s v="A través del Colegio"/>
    <s v="Proyección laboral."/>
    <s v="Alta empleabilidad."/>
    <n v="2"/>
    <s v="2"/>
    <s v="NO"/>
    <s v="NO"/>
    <s v="Entre 7 y 8 millones"/>
    <s v="No"/>
    <n v="0"/>
    <n v="0"/>
    <m/>
    <s v="SI"/>
    <s v="Beca"/>
    <s v="NO"/>
    <s v=""/>
    <s v=""/>
    <s v="Si"/>
    <s v="Jorge Hernán López Vásquez"/>
    <s v="Casado"/>
    <s v="TÉCNICA"/>
    <s v="50"/>
    <s v="Administrador sin graduar"/>
    <s v="Otra"/>
    <s v="Ensamblador"/>
    <s v="Morgan Corporation"/>
    <n v="8000000"/>
    <s v="No"/>
    <s v="NO"/>
    <s v="NO"/>
    <s v="Mi padre se encuentra viviendo y laborando en estados unidos mediante la modalidad de trabajo por horas, sin embargo, recientemente presentó un accidente laboral que trajo como consecuencia una cirugía y unas restricciones médicas y laborales a mediano plazo."/>
    <s v="Si"/>
    <s v="Maria Eibar Hoyos"/>
    <s v="Casado"/>
    <s v="ESPECIALIZACIÓN"/>
    <s v="43"/>
    <s v="Ingeniera Financiera"/>
    <s v="Empleado (con contrato laboral)"/>
    <s v="Analista"/>
    <s v="ISA Intercolombia"/>
    <n v="6900000"/>
    <s v="Si"/>
    <s v="SI"/>
    <s v="SI"/>
    <s v="Madre cabeza de familia"/>
    <n v="14900000"/>
    <s v="Si"/>
    <s v="Cristóbal López Hoyos"/>
    <s v="Hermano / Hermana"/>
    <s v="4"/>
    <s v="Estudiante"/>
    <s v="Colegio Sagrado Corazón Montemayor"/>
    <n v="0"/>
    <s v="No"/>
    <s v=""/>
    <s v=""/>
    <s v=""/>
    <s v=""/>
    <s v=""/>
    <m/>
    <s v=""/>
    <s v=""/>
    <s v=""/>
    <s v=""/>
    <s v=""/>
    <s v=""/>
    <m/>
    <s v=""/>
    <s v=""/>
    <n v="0"/>
    <n v="370000000"/>
    <n v="0"/>
    <n v="0"/>
    <n v="0"/>
    <s v="Si"/>
    <s v="Renault"/>
    <s v="2001"/>
    <n v="7000000"/>
    <s v="No"/>
    <s v=""/>
    <s v=""/>
    <n v="0"/>
    <s v="No"/>
    <s v=""/>
    <s v=""/>
    <s v=""/>
    <n v="0"/>
    <s v="Ninguna"/>
    <n v="4"/>
    <n v="4"/>
    <n v="4"/>
    <n v="4"/>
    <n v="4"/>
    <n v="4"/>
    <n v="4"/>
    <n v="4"/>
    <n v="4"/>
    <n v="4"/>
    <n v="40"/>
    <s v="SI"/>
    <m/>
    <s v="SI, SON PRI"/>
    <s v="ok tienen todos los datos"/>
    <e v="#N/A"/>
    <e v="#N/A"/>
    <m/>
    <n v="2"/>
    <n v="4"/>
    <n v="4"/>
    <n v="10"/>
    <n v="15"/>
    <n v="15"/>
    <n v="10"/>
    <n v="4.5"/>
    <n v="4.5"/>
    <n v="58.5"/>
    <n v="0.4"/>
    <m/>
    <n v="2"/>
    <n v="2.5"/>
    <n v="0"/>
    <n v="0"/>
    <n v="2"/>
    <n v="2.5"/>
    <n v="0"/>
    <n v="0"/>
    <n v="58.5"/>
    <n v="0.4"/>
    <s v="Negado"/>
    <e v="#N/A"/>
    <m/>
    <m/>
    <n v="0"/>
    <m/>
    <m/>
    <s v="Finanzas"/>
    <e v="#N/A"/>
    <m/>
    <e v="#N/A"/>
  </r>
  <r>
    <s v="TI"/>
    <n v="1027805465"/>
    <s v="1000393383"/>
    <s v="ZAIRA TORO JIMENEZ"/>
    <s v="Estudios por primera vez"/>
    <x v="1"/>
    <s v="Descartado por propiedades"/>
    <m/>
    <s v="En publico objetivo"/>
    <s v="1er Cohorte"/>
    <s v="Admitido"/>
    <s v="ztoroj@eafit.edu.co"/>
    <s v="ztoroj@eafit.edu.co"/>
    <s v="torozairatj@gmail.com"/>
    <s v="573053050882"/>
    <d v="2025-04-25T00:00:00"/>
    <s v="Activo en Programa"/>
    <s v="237-Diseño Interactivo"/>
    <s v="Escuela de Artes y Humanidades"/>
    <d v="2008-01-09T00:00:00"/>
    <n v="17"/>
    <s v="Antioquia"/>
    <s v="Medellín"/>
    <s v="Mujer"/>
    <s v="Soltero"/>
    <s v="NO"/>
    <s v="NO"/>
    <n v="0"/>
    <s v="NO"/>
    <s v="NA"/>
    <s v="NO"/>
    <s v="NA"/>
    <s v="NO"/>
    <s v="NA"/>
    <s v="No"/>
    <s v="506-7851"/>
    <s v="573053050882"/>
    <s v="Estrato 2"/>
    <s v="CL 5 SUR 13 B 221"/>
    <s v="Antioquia"/>
    <s v="Medellín"/>
    <s v="No aplica, no soy foráneo"/>
    <s v="Propio"/>
    <s v="SI"/>
    <s v="2024"/>
    <s v="AC202433290400"/>
    <n v="314"/>
    <n v="60"/>
    <n v="58"/>
    <s v="Privada"/>
    <s v="COLEGIO LA SALLE ENVIGADO"/>
    <n v="2024"/>
    <s v="Antioquia"/>
    <s v="Envigado"/>
    <s v="BACHILLER"/>
    <s v="ACAD"/>
    <s v="TIPO: Privada, INSTITUCION: COLEGIO LA SALLE ENVIGADO, AÑO: 2024, CIUDAD: Envigado, TITULO: BACHILLER"/>
    <s v="11"/>
    <s v="Escala Desempeño"/>
    <s v="Escala de 0 - 5"/>
    <s v="4"/>
    <s v="4"/>
    <m/>
    <s v="4"/>
    <s v="4"/>
    <m/>
    <n v="4"/>
    <n v="4"/>
    <m/>
    <n v="4"/>
    <n v="4"/>
    <m/>
    <s v="4"/>
    <s v="4"/>
    <m/>
    <s v="4,5"/>
    <s v="4"/>
    <m/>
    <s v="4"/>
    <s v="4"/>
    <m/>
    <s v="De 9 y 10"/>
    <n v="4"/>
    <s v="NO"/>
    <s v="NA"/>
    <n v="0"/>
    <n v="0"/>
    <s v="No"/>
    <n v="40"/>
    <m/>
    <n v="40"/>
    <m/>
    <n v="40"/>
    <m/>
    <s v="A pesar de que la aspirante manifiesta su decisión por Diseño Interactivo, habla de intereses relacionados a programas como Mercadeo o Comunicación Social."/>
    <n v="40"/>
    <s v="Con detalle por componente"/>
    <s v="Artísticas o culturales,Trabajo social o comunitario"/>
    <s v="Me visualizo ejerciendo mi carrera de diseño interactivo como ya una profesional completa y comprometida en crear experiencias digitales que respondan y solucionen las necesidades reales de las personas, mi objetivo es diseñar y crear experiencias, innovadoras ,interactivas, útiles y accesibles. Especialmente en áreas de educación ,comerciales ,desarrollo tecnológico  y culturales. Esta carrera me permite combinar mi creatividad e innovación con la tecnología._x000a__x000a_Quiero trabajar en proyectos que generen un impacto social sobre todo en Medellín y Colombia, Voy ser parte de proyectos que acerquen la tecnología que aun no tienen un acceso y alcance  para que descubran y utilicen la tecnología descubriendo así  su importancia y utilidad  .Quiero contribuir al desarrollo de Medellín participando en proyectos que apoyen a los jóvenes, emprendedores y proyectos sociales /comunitarios con menos oportunidades._x000a_ _x000a_Al obtener la beca me visualizo implementando la tecnología en la educación de los colegios de Medellín y sus afueras, ya que  la mayoría de los colegios de bajos recursos cuentan con ninguno o muy pocos recursos tecnológicos los cuales son demasiado útiles y didácticos ,ayudando así a la fácil comprensión del estudiante o la persona  en todas sus edades._x000a_ _x000a_Para concluir con la beca talento podre formarme profesionalmente en la carrera y universidad que amo y así usar este conocimiento para aportar a Medellín con soluciones digitales que generen un cambio positivo en las vidas de las personas ,esta oportunidad aparte de impulsar mi crecimiento personal y ético ,también me permitirá impactar a otros desde mi labor como  una gran diseñadora interactiva."/>
    <s v="Estudiantes de EAFIT"/>
    <s v="Por la calidad académica."/>
    <s v="Alta proyección de ingresos."/>
    <n v="3"/>
    <s v="2"/>
    <s v="NO"/>
    <s v="NO"/>
    <s v="Entre 2 y 3 millones"/>
    <s v="No"/>
    <n v="0"/>
    <n v="0"/>
    <m/>
    <s v="SI"/>
    <s v="Beca"/>
    <s v="NO"/>
    <s v=""/>
    <s v=""/>
    <s v="Si"/>
    <s v="Rey Esaú Toro Acevedo"/>
    <s v="Soltero"/>
    <s v="TECNOLOGÍA"/>
    <s v="65"/>
    <s v="tecnólogo electricista"/>
    <s v="Empleado (con contrato laboral)"/>
    <s v="conductor"/>
    <s v="SIMPLIFIQUEMOS S.A.S"/>
    <n v="1423500"/>
    <s v="No"/>
    <s v="SI"/>
    <s v="SI"/>
    <s v="padre responsable tanto como en el hogar como en el empleo, cumple con todas sus responsabilidades,se caracteriza por ser perseverante ,comprometido y paciente en el ámbito laboral. En la crianza es protector ,guía ,comunicador y presente ."/>
    <s v="Si"/>
    <s v="Nury Jimenez Toro"/>
    <s v="Casado"/>
    <s v="TECNOLOGÍA"/>
    <s v="47"/>
    <s v="tecnóloga de sistemas de gestión ambiental"/>
    <s v="Independiente (trabaja por cuenta propia)"/>
    <s v="Rentista de capital y ama de casa"/>
    <s v="sus ingresos actuales proviene de la renta de un capital"/>
    <n v="2569370"/>
    <s v="No"/>
    <s v="NO"/>
    <s v="SI"/>
    <s v="Madre presente ,comprensiva, estricta y protectora, En el ámbito laboral es muy responsable ,proactiva ,funcional ,dedicada y líder."/>
    <n v="3992870"/>
    <s v="Si"/>
    <s v="Rey Brandon Toro Jimenez"/>
    <s v="Hermano / Hermana"/>
    <s v="21"/>
    <s v="estudiante de ingeniería de sistemas"/>
    <s v="Universidad católica Luis Amigo"/>
    <n v="0"/>
    <s v="No"/>
    <s v=""/>
    <s v=""/>
    <s v=""/>
    <s v=""/>
    <s v=""/>
    <m/>
    <s v=""/>
    <s v=""/>
    <s v=""/>
    <s v=""/>
    <s v=""/>
    <s v=""/>
    <m/>
    <s v=""/>
    <m/>
    <n v="265503000"/>
    <n v="0"/>
    <n v="0"/>
    <n v="49416000"/>
    <n v="0"/>
    <s v="Si"/>
    <s v="pegout 306"/>
    <s v="97"/>
    <n v="5000000"/>
    <s v="No"/>
    <s v=""/>
    <s v=""/>
    <n v="0"/>
    <s v="No"/>
    <s v=""/>
    <s v=""/>
    <s v=""/>
    <n v="0"/>
    <s v="los patrimonios hacen parte de la propiedad conyugal"/>
    <n v="4"/>
    <n v="4"/>
    <n v="4"/>
    <n v="4"/>
    <n v="4"/>
    <n v="4"/>
    <n v="4"/>
    <n v="4"/>
    <n v="4"/>
    <n v="4"/>
    <n v="40"/>
    <s v="SI"/>
    <m/>
    <s v="SI, SON PRI"/>
    <s v="ok tienen todos los datos"/>
    <e v="#N/A"/>
    <e v="#N/A"/>
    <m/>
    <n v="3"/>
    <n v="10"/>
    <n v="10"/>
    <n v="5"/>
    <n v="15"/>
    <n v="15"/>
    <n v="10"/>
    <n v="12.5"/>
    <n v="11.5"/>
    <n v="66.5"/>
    <n v="0.4"/>
    <m/>
    <n v="2"/>
    <n v="2.5"/>
    <n v="6"/>
    <n v="1"/>
    <n v="2"/>
    <n v="2.5"/>
    <n v="7"/>
    <n v="1"/>
    <n v="67.5"/>
    <n v="0.4"/>
    <n v="0.4"/>
    <e v="#N/A"/>
    <m/>
    <m/>
    <n v="0"/>
    <m/>
    <m/>
    <s v="Diseño Interactivo"/>
    <e v="#N/A"/>
    <s v="237"/>
    <e v="#N/A"/>
  </r>
  <r>
    <s v="TI"/>
    <n v="1027805512"/>
    <s v="1000387701"/>
    <s v="VALERIA VALLEJO OSPINA"/>
    <s v="Estudios por primera vez"/>
    <x v="5"/>
    <s v="Cumple Nutresa"/>
    <m/>
    <s v="En publico objetivo"/>
    <s v="1er Cohorte"/>
    <s v="Admitido"/>
    <s v="vvallejoo2@eafit.edu.co"/>
    <s v="vvallejoo2@eafit.edu.co"/>
    <s v="valeria.vallejo.ospina13@gmail.com"/>
    <s v="573136662905"/>
    <d v="2025-04-25T00:00:00"/>
    <s v="Activo en Programa"/>
    <s v="169-Mercadeo"/>
    <s v="Escuela de Administración"/>
    <d v="2008-01-09T00:00:00"/>
    <n v="17"/>
    <s v="Antioquia"/>
    <s v="Medellín"/>
    <s v="Mujer"/>
    <s v="Soltero"/>
    <s v="NO"/>
    <s v="NO"/>
    <n v="0"/>
    <s v="NO"/>
    <s v="NA"/>
    <s v="NO"/>
    <s v="NA"/>
    <s v="NO"/>
    <s v="NA"/>
    <s v="No"/>
    <s v="300/686-7873"/>
    <s v="573136662905"/>
    <s v="Estrato 2"/>
    <s v="CL 22 CR 84 BC- 93"/>
    <s v="Antioquia"/>
    <s v="Medellín"/>
    <s v="No aplica, no soy foráneo"/>
    <s v="Arriendo"/>
    <s v="SI"/>
    <s v="2024"/>
    <s v="AC202433365152"/>
    <n v="327"/>
    <n v="57"/>
    <n v="66"/>
    <s v="Pública"/>
    <s v="OCTAVIO HARRY JACQUELINE KENNE"/>
    <n v="2024"/>
    <s v="Antioquia"/>
    <s v="Medellín"/>
    <s v="BACHILLER"/>
    <s v="ACAD"/>
    <s v="TIPO: Pública, INSTITUCION: OCTAVIO HARRY JACQUELINE KENNE, AÑO: 2024, CIUDAD: Medellín, TITULO: BACHILLER"/>
    <s v="11"/>
    <s v="Escala de 0 - 5"/>
    <s v="Escala de 0 - 5"/>
    <s v="4,2"/>
    <s v="5"/>
    <m/>
    <s v="4"/>
    <s v="4,7"/>
    <m/>
    <n v="4"/>
    <n v="4.5999999999999996"/>
    <m/>
    <n v="4.3"/>
    <n v="4.5999999999999996"/>
    <m/>
    <s v="4"/>
    <s v="4,9"/>
    <m/>
    <s v="4"/>
    <s v="4,7"/>
    <m/>
    <s v="4,2"/>
    <s v="4,5"/>
    <m/>
    <s v="De 9 y 10"/>
    <n v="4.375"/>
    <s v="NO"/>
    <s v="NA"/>
    <n v="0"/>
    <n v="0"/>
    <s v="No"/>
    <n v="45"/>
    <m/>
    <n v="50"/>
    <m/>
    <n v="45"/>
    <m/>
    <m/>
    <n v="46.666666666666664"/>
    <s v="Con detalle por componente"/>
    <s v="Trabajo social o comunitario"/>
    <s v="Me visualizó ejerciendo como profesional de mercadeo de tal manera que mis estrategias no solamente impacten a las empresas y al sector comercial, sino que vayan más allá, comprometiendo mi labor en ayudar a aquellas pequeñas empresas o emprendedores que luchan día a día para sacar sus negocios adelante. Lo cual no solo impulsa la economía, también contribuye al desarrollo de nuestra ciudad y región. _x000a_Al obtener esta beca aspiro que con todo el conocimiento y prácticas adquirido lograr ser una guía que contribuya al crecimiento de todas aquellas personas que sueñan con ver prosperar sus productos. _x000a_Con la educación obtenida con ayuda de esta financiación lograr ayudar a que muchas familias que quieren que sus negocios prosperen y sus productos tenga el alcance que merecen lo logren, fortaleciendo el consumo de productos locales, de lo hecho con orgullo en Colombia y también impulsar la internalización de estos para lograr trascender fronteras de todas las clases y poder más en alto el nombre de nuestro país._x000a_Como hija de una madre emprendedora se lo importante que es tener la orientación de alguien con conocimientos que ayude a darle el reconocimiento a su negocio y a sus productos, ya que de dichos emprendimientos y microempresas viven miles de familias en nuestro país, por lo cual  me gustaría ser aquella persona que logré darles un mejor posicionamiento y reconocimiento  para que como mi mamá los emprendedores de nuestro país puedan tener una buena calidad de vida y adaptarse al mercado."/>
    <s v="Página WEB"/>
    <s v="Por recomendación."/>
    <s v="Vocación."/>
    <n v="1"/>
    <s v="0"/>
    <s v="SI"/>
    <s v="NO"/>
    <s v="Entre 1 y 2 millones"/>
    <s v="Si"/>
    <n v="0"/>
    <s v="NO"/>
    <m/>
    <s v="SI"/>
    <s v="Beca"/>
    <s v="NO"/>
    <s v=""/>
    <s v=""/>
    <s v="Sin información"/>
    <s v="GIOVANY HUMBERTO VALLEJO TABORDA"/>
    <s v="Soltero"/>
    <s v="BACHILLERATO"/>
    <s v="53"/>
    <s v=""/>
    <s v=""/>
    <m/>
    <s v=""/>
    <m/>
    <s v=""/>
    <s v="NO"/>
    <s v="NO"/>
    <s v="Mi padre no vive conmigo ni me brinda apoyo económico, tengo la información básica sobre el pero no tengo conocimiento de sus ingresos ni trabajo, ya que mi contacto con él es casi nulo."/>
    <s v="Si"/>
    <s v="Gloria Patricia Ospina Parra"/>
    <s v="Otro"/>
    <s v="BACHILLERATO"/>
    <s v="57"/>
    <s v="Independiente"/>
    <s v="Independiente (trabaja por cuenta propia)"/>
    <s v="Propietaria"/>
    <s v="Negocio de comida rapida"/>
    <n v="2000000"/>
    <s v="Si"/>
    <s v="SI"/>
    <s v="NO"/>
    <s v="Mi madre es trabajadora independiente, cabeza de familia y emprendedora."/>
    <n v="2000000"/>
    <s v="No, solo vivo con mis padres"/>
    <s v=""/>
    <s v=""/>
    <s v=""/>
    <s v=""/>
    <s v=""/>
    <m/>
    <s v=""/>
    <s v=""/>
    <s v=""/>
    <s v=""/>
    <s v=""/>
    <s v=""/>
    <m/>
    <s v=""/>
    <s v=""/>
    <s v=""/>
    <s v=""/>
    <s v=""/>
    <s v=""/>
    <m/>
    <s v=""/>
    <s v=""/>
    <n v="0"/>
    <n v="0"/>
    <n v="0"/>
    <n v="0"/>
    <n v="0"/>
    <s v="No"/>
    <s v=""/>
    <s v=""/>
    <n v="0"/>
    <s v="No"/>
    <s v=""/>
    <s v=""/>
    <n v="0"/>
    <s v="No"/>
    <s v=""/>
    <s v=""/>
    <s v=""/>
    <n v="0"/>
    <s v="No contamos con ningún bien propio."/>
    <n v="4"/>
    <n v="4"/>
    <n v="3"/>
    <n v="4"/>
    <n v="4"/>
    <n v="3"/>
    <n v="4"/>
    <n v="3"/>
    <n v="3"/>
    <n v="4"/>
    <n v="36"/>
    <s v="SI"/>
    <m/>
    <s v="SI, SON PRI"/>
    <s v="ok tienen todos los datos"/>
    <e v="#N/A"/>
    <e v="#N/A"/>
    <m/>
    <n v="3"/>
    <n v="10"/>
    <n v="10"/>
    <n v="5"/>
    <n v="15"/>
    <n v="15"/>
    <n v="20"/>
    <n v="20"/>
    <n v="20"/>
    <n v="85"/>
    <s v="80 - 100%"/>
    <m/>
    <n v="3.5"/>
    <n v="4.5"/>
    <n v="8"/>
    <n v="4"/>
    <n v="3.5"/>
    <n v="4"/>
    <n v="8"/>
    <n v="4.5"/>
    <n v="85"/>
    <s v="80 - 100%"/>
    <n v="1"/>
    <s v="VALERIA VALLEJO OSPINA"/>
    <m/>
    <m/>
    <n v="0"/>
    <s v="EN ORDEN"/>
    <n v="0"/>
    <s v="Mercadeo"/>
    <s v="Pres. para revision docs nutresa"/>
    <m/>
    <s v="NUTRESA"/>
  </r>
  <r>
    <s v="TI"/>
    <n v="1027805668"/>
    <s v="1000404964"/>
    <s v="SIMÓN MAESTRE CANO"/>
    <s v="Estudios por primera vez"/>
    <x v="1"/>
    <s v="Descartado por notas"/>
    <m/>
    <s v="En publico objetivo"/>
    <s v="1er Cohorte"/>
    <s v="Admitido"/>
    <s v="smaestrec@eafit.edu.co"/>
    <e v="#N/A"/>
    <s v="simonmaestrecano1423@gmail.com"/>
    <s v="573194778276"/>
    <d v="2025-04-28T00:00:00"/>
    <s v="Activo en Programa"/>
    <s v="183-Biología"/>
    <s v="E Ciencias Aplic e Ingeniería"/>
    <d v="2008-02-18T00:00:00"/>
    <n v="17"/>
    <s v="Antioquia"/>
    <s v="Medellín"/>
    <s v="Hombre"/>
    <s v="Soltero"/>
    <s v="NO"/>
    <s v="NO"/>
    <n v="0"/>
    <s v="NO"/>
    <s v="NA"/>
    <s v="NO"/>
    <s v="NA"/>
    <s v="NO"/>
    <s v="NA"/>
    <s v="No"/>
    <s v="236-7466"/>
    <s v="573194778276"/>
    <s v="Estrato 2"/>
    <s v="CL 98 A #50 10 BRR SANTA CRUZ LA ROSA"/>
    <s v="Antioquia"/>
    <s v="Medellín"/>
    <s v="No aplica, no soy foráneo"/>
    <s v="Familiar"/>
    <s v="SI"/>
    <s v="2024"/>
    <s v="AC202436823249"/>
    <n v="346"/>
    <n v="70"/>
    <n v="76"/>
    <s v="Privada"/>
    <s v="INST SALESIANO PEDRO JUSTO BER"/>
    <n v="2024"/>
    <s v="Antioquia"/>
    <s v="Medellín"/>
    <s v="BACHILLER"/>
    <s v="TECN"/>
    <s v="TIPO: Privada, INSTITUCION: INST SALESIANO PEDRO JUSTO BER, AÑO: 2024, CIUDAD: Medellín, TITULO: BACHILLER"/>
    <s v="12"/>
    <s v="Escala de 0 - 5"/>
    <s v="Escala de 0 - 5"/>
    <s v="3,2"/>
    <s v="3,2"/>
    <m/>
    <s v="3,2"/>
    <s v="3,2"/>
    <m/>
    <n v="3.6"/>
    <n v="3.1"/>
    <m/>
    <n v="3.7"/>
    <n v="4"/>
    <m/>
    <s v="4,1"/>
    <s v="3,8"/>
    <m/>
    <s v="3,6"/>
    <s v="3,6"/>
    <m/>
    <s v="3,9"/>
    <s v="4,3"/>
    <m/>
    <s v="De 9 y 10"/>
    <n v="3.6"/>
    <s v="NO"/>
    <s v="NA"/>
    <n v="0"/>
    <n v="0"/>
    <s v="No"/>
    <n v="50"/>
    <m/>
    <n v="50"/>
    <m/>
    <n v="50"/>
    <m/>
    <m/>
    <n v="50"/>
    <s v="Con detalle por componente"/>
    <s v="Artísticas o culturales,Deportistas de alto rendimiento o representativo"/>
    <s v="Desde muy joven he sentido una conexión profunda con la naturaleza y un interés por entender cómo funcionan los seres vivos. Con el tiempo, este interés se convirtió en una preocupación por el cuidado del medio ambiente, especialmente al ver cómo se deterioran muchos ecosistemas por falta de conciencia. Por eso quiero formarme profesionalmente: para aportar soluciones, generar conciencia y trabajar por la conservación de la biodiversidad en Colombia. Me veo reformando las áreas afectadas por el daño humano e incluso descubriendo nuevas especies de flora y fauna despues de una restauración ambiental. _x000a__x000a_Estoy seguro de que adquirir una beca por parte de la Universidad EAFIT no solo me brindará las herramientas necesarias sino también una educación de excelencia, además de que con esto podré marcar un gran impacto en este ámbito, quiero un futuro en dónde cada persona en este mundo experimente con la misma intensidad con la que siento yo con la naturaleza y así garantizar la longevidad de la fauna y flora tanto dentro y fuera de Colombia. Mi objetivo es que todos podamos soñar con un futuro verde y habitable, tanto para nosotros como para cada ser vivo en el planeta."/>
    <s v="Amigos"/>
    <s v="Por la calidad académica."/>
    <s v="Recomendación."/>
    <n v="4"/>
    <s v="0"/>
    <s v="SI"/>
    <s v="NO"/>
    <s v="Entre 1 y 2 millones"/>
    <s v="No"/>
    <n v="0"/>
    <n v="0"/>
    <m/>
    <s v="SI"/>
    <s v="Beca"/>
    <s v="NO"/>
    <s v=""/>
    <s v=""/>
    <s v="Si"/>
    <s v="Dario Maestre Castañeda"/>
    <s v="Soltero"/>
    <s v="BACHILLERATO"/>
    <s v="40"/>
    <s v="Comerciante"/>
    <s v="Independiente (trabaja por cuenta propia)"/>
    <s v="Vendedor"/>
    <s v="Negocio propio"/>
    <n v="1500000"/>
    <s v="No"/>
    <s v="SI"/>
    <s v="NO"/>
    <s v=""/>
    <s v="Si"/>
    <s v="Karla Patricia Cano Guerra"/>
    <s v="Soltero"/>
    <s v="BACHILLERATO"/>
    <s v="39"/>
    <s v="Manicurista"/>
    <s v="Independiente (trabaja por cuenta propia)"/>
    <s v="Manicurista"/>
    <s v="Independiente"/>
    <n v="700000"/>
    <s v="Si"/>
    <s v="NO"/>
    <s v="NO"/>
    <m/>
    <n v="2200000"/>
    <s v="Si"/>
    <s v="Nestor David Cano Alvarez"/>
    <s v="Abuelo / Abuela"/>
    <s v="62"/>
    <s v="Pensionado"/>
    <s v="Pensión"/>
    <n v="1365000"/>
    <s v="Si"/>
    <s v="Gloria Amparo Guerra Avendaño"/>
    <s v="Abuelo / Abuela"/>
    <s v="67"/>
    <s v="Ama de casa"/>
    <s v="Trabajo independiente"/>
    <n v="200000"/>
    <s v="Si"/>
    <s v="Thiago Pineda Cano"/>
    <s v="Primos"/>
    <s v="9"/>
    <s v="Estudiante Desplazado"/>
    <s v="Institución Educativa ciro Mendía"/>
    <n v="0"/>
    <s v="No"/>
    <s v=""/>
    <n v="126000000"/>
    <n v="0"/>
    <n v="0"/>
    <n v="0"/>
    <n v="0"/>
    <s v="No"/>
    <s v=""/>
    <s v=""/>
    <n v="0"/>
    <s v="No"/>
    <s v=""/>
    <s v=""/>
    <n v="0"/>
    <s v="No"/>
    <s v=""/>
    <s v=""/>
    <s v=""/>
    <n v="0"/>
    <m/>
    <n v="4"/>
    <n v="4"/>
    <n v="4"/>
    <n v="4"/>
    <n v="4"/>
    <n v="4"/>
    <n v="4"/>
    <n v="4"/>
    <n v="4"/>
    <n v="4"/>
    <n v="40"/>
    <s v="SI"/>
    <m/>
    <s v="SI, SON PRI"/>
    <s v="ok tienen todos los datos"/>
    <e v="#N/A"/>
    <e v="#N/A"/>
    <m/>
    <n v="2"/>
    <n v="10"/>
    <n v="10"/>
    <n v="10"/>
    <n v="10"/>
    <n v="15"/>
    <n v="20"/>
    <n v="15.5"/>
    <n v="15.5"/>
    <n v="80.5"/>
    <n v="0.4"/>
    <m/>
    <n v="2"/>
    <n v="3.5"/>
    <n v="8"/>
    <n v="2"/>
    <n v="2"/>
    <n v="3.5"/>
    <n v="8"/>
    <n v="2"/>
    <n v="80.5"/>
    <n v="0.5"/>
    <n v="0.5"/>
    <e v="#N/A"/>
    <m/>
    <m/>
    <n v="0"/>
    <m/>
    <m/>
    <s v="Biología"/>
    <e v="#N/A"/>
    <s v="183"/>
    <e v="#N/A"/>
  </r>
  <r>
    <s v="TI"/>
    <n v="1027806042"/>
    <s v="1000407000"/>
    <s v="MELINA ACEVEDO MEDINA"/>
    <s v="Estudios por primera vez"/>
    <x v="1"/>
    <s v="No cumple, estrato 4"/>
    <m/>
    <s v="En publico objetivo"/>
    <s v="2da Cohorte"/>
    <s v="Admitido"/>
    <s v="macevedom3@eafit.edu.co"/>
    <e v="#N/A"/>
    <s v="melinaacevedo555@gmail.com"/>
    <s v="573003922866"/>
    <d v="2025-05-16T00:00:00"/>
    <s v="Activo en Programa"/>
    <s v="169-Mercadeo"/>
    <s v="Escuela de Administración"/>
    <d v="2008-05-05T00:00:00"/>
    <n v="17"/>
    <s v="Antioquia"/>
    <s v="Medellín"/>
    <s v="Mujer"/>
    <s v="Soltero"/>
    <s v="NO"/>
    <s v="NO"/>
    <n v="0"/>
    <s v="NO"/>
    <s v="NA"/>
    <s v="NO"/>
    <s v="NA"/>
    <s v="NO"/>
    <s v="NA"/>
    <s v="No"/>
    <s v="604/591-3313"/>
    <s v="573003922866"/>
    <s v="Estrato 4"/>
    <s v="CR 42 #68 61"/>
    <s v="Antioquia"/>
    <s v="Medellín"/>
    <s v="No aplica, no soy foráneo"/>
    <s v="Propio"/>
    <s v="SI"/>
    <s v="2024"/>
    <s v="AC202430168110"/>
    <n v="322"/>
    <n v="60"/>
    <n v="65"/>
    <s v="Privada"/>
    <s v="COLEGIO DE LA INMACULADA"/>
    <n v="2024"/>
    <m/>
    <s v="Medellín"/>
    <s v="Bachillerato"/>
    <s v="Académico"/>
    <m/>
    <s v="11"/>
    <s v="Escala de 0 - 5"/>
    <s v="Escala de 0 - 5"/>
    <s v="4,5"/>
    <s v="4,5"/>
    <m/>
    <s v="4,5"/>
    <s v="4,5"/>
    <m/>
    <n v="4"/>
    <n v="4.5"/>
    <m/>
    <n v="4.5"/>
    <n v="4.5"/>
    <m/>
    <s v="4,5"/>
    <s v="4,5"/>
    <m/>
    <s v="4,5"/>
    <s v="4,5"/>
    <m/>
    <s v="4,5"/>
    <s v="4,5"/>
    <m/>
    <s v="De 9 y 10"/>
    <n v="4.375"/>
    <s v="NO"/>
    <s v="NA"/>
    <n v="0"/>
    <n v="0"/>
    <s v="No"/>
    <n v="35"/>
    <m/>
    <n v="50"/>
    <m/>
    <n v="45"/>
    <m/>
    <s v="Melina es una persona que se expresa muy bien, tiene muchas ganas de estudiar en la Universidad y sigue las cuentas de los grupos asociados al pregrado, y del pregrado mismo, en redes sociales. Sueña con tener su negocio de maquillaje el cual es su pasión."/>
    <n v="43.333333333333336"/>
    <s v="Con detalle por componente"/>
    <s v="Trabajo social o comunitario"/>
    <s v="Hola, soy Melina Acevedo Medina y hoy quiero contarles por qué me visualizo como una empresaria exitosa en el mundo del mercadeo. Desde que estaba en el colegio he soñado con ser una mujer emprendedora, y elegir esta carrera me permitirá cumplirlo, todo nace de mi experiencia como maquilladora, gracias a esta pasión le di vida a mi sueño de crear una marca de belleza colombiana que represente con orgullo a nuestro país, tanto a nivel nacional como internacional y poder llevar los productos y talentos de Colombia a nuevos mercados. _x000a_Durante la pandemia, aprendí inglés por mi cuenta, lo cual sé que me ayudará en esta carrera y podré mostrar al mundo toda la calidad, innovación y ganas de cumplir sueños que tenemos en _x000a_Colombia._x000a__x000a_Para hacer realidad este sueño, espero estar estudiando en EAFIT, una universidad que admiro por su gente , su infraestructura, su hermoso campus, las actividades académicas y extracurriculares que ofrecen, y especialmente por sus clubes estudiantiles, como CLUBMERC y PARTNERS._x000a__x000a_No me gustaría vivir esta experiencia en ningún otro lugar, me siento identificada con la visión de EAFIT sobre sus estudiantes, tengo claro que forman líderes que cambian todo a su alrededor, con ética, creatividad y un compromiso serio con su país. Cada día me acerco más a esa meta, y tengo toda la esperanza de contribuir al cambio en mi entorno y tener el orgullo de representar a mi país a través de mis próximos proyectos._x000a__x000a_Obtener una beca sería fundamental para alcanzar mi sueño, ya que, a pesar de que mi familia me apoya pase lo que pase, no contamos con los recursos económicos suficientes para cubrir la totalidad de la matrícula de mi carrera MERCADEO. _x000a__x000a_Aspiro a recibir ayuda con algún porcentaje que me permita avanzar sin limitaciones y enorgullecer a quienes me rodean y me quieren ver feliz. Estoy convencida de que, con fe y esfuerzo, puedo lograr mis metas, las cuales van más allá de mi carrera._x000a__x000a_Soy una persona muy comprometida socialmente y tengo una profunda pasión por los animales. Desde hace un tiempo, soy voluntaria en una fundación que rescata animales abandonados; sus circunstancias me han inspirado a realizar un gran cambio sin esperar más. Estoy segura de que, al estudiar en EAFIT, me convertiré en la persona que deseo ser, y los aprendizajes que voy a obtener me permitirán combinar mi profesión que me apasiona con un componente social que destine parte de mis recursos a ayudar a los animales necesitados,  ya que es algo que mi corazón no me permite dejar atrás._x000a__x000a_Esta beca representa una oportunidad que transformaría mi vida totalmente, dándome la posibilidad de estudiar en la universidad que admiro una profesión que me hace feliz. Espero contribuir, desde mi carrera, a construir un futuro significativo y trabajar por un país mejor para todos. Si pueden ayudarme a cumplir esta meta estaré profundamente agradecida._x000a__x000a_Gracias por leer."/>
    <s v="Estudiantes de EAFIT"/>
    <s v="Por la oferta académica."/>
    <s v="Vocación."/>
    <n v="2"/>
    <s v="1"/>
    <s v="SI"/>
    <s v="NO"/>
    <s v="Entre 5 y 6 millones"/>
    <s v="No"/>
    <s v="NO"/>
    <s v="SI"/>
    <s v="Crédito entidad externa"/>
    <s v="SI"/>
    <s v="Beca"/>
    <s v="NO"/>
    <s v=""/>
    <s v=""/>
    <s v="Si"/>
    <s v="Martin Acevedo Jaramillo"/>
    <s v="Casado"/>
    <s v="TÉCNICA"/>
    <s v="58"/>
    <s v="Fotógrafo"/>
    <s v="Independiente (trabaja por cuenta propia)"/>
    <s v="Fotógrafo"/>
    <s v="Trabajo independiente de servicios de fotografía"/>
    <n v="4273000"/>
    <s v="Si"/>
    <s v="NO"/>
    <s v="NO"/>
    <s v="Ninguna"/>
    <s v="Si"/>
    <s v="Catalina Medina Castrillón"/>
    <s v="Casado"/>
    <s v="MAESTRÍA"/>
    <s v="47"/>
    <s v="Docente"/>
    <s v="Empleado (con contrato laboral)"/>
    <s v="Docente de preescolar"/>
    <s v="I.E CAMPO VALDÉS"/>
    <n v="4897000"/>
    <s v="Si"/>
    <s v="NO"/>
    <s v="NO"/>
    <s v="Ninguna"/>
    <n v="9170000"/>
    <s v="No, solo vivo con mis padres"/>
    <s v=""/>
    <s v=""/>
    <s v=""/>
    <s v=""/>
    <s v=""/>
    <m/>
    <s v=""/>
    <s v=""/>
    <s v=""/>
    <s v=""/>
    <s v=""/>
    <s v=""/>
    <m/>
    <s v=""/>
    <s v=""/>
    <s v=""/>
    <s v=""/>
    <s v=""/>
    <s v=""/>
    <m/>
    <s v=""/>
    <s v=""/>
    <n v="0"/>
    <n v="247000000"/>
    <n v="0"/>
    <n v="0"/>
    <n v="0"/>
    <s v="Si"/>
    <s v="audi"/>
    <s v="2017"/>
    <n v="60000000"/>
    <s v="No"/>
    <s v=""/>
    <s v=""/>
    <n v="0"/>
    <s v="No"/>
    <s v=""/>
    <s v=""/>
    <s v=""/>
    <n v="0"/>
    <s v="Apartamento con hipoteca"/>
    <n v="4"/>
    <n v="4"/>
    <n v="3"/>
    <n v="4"/>
    <n v="4"/>
    <n v="3"/>
    <n v="4"/>
    <n v="4"/>
    <n v="4"/>
    <n v="4"/>
    <n v="38"/>
    <s v="SI"/>
    <s v="SI, TIPO IE"/>
    <s v="PRI SIN TIPO IE"/>
    <s v="pendiente tipo ie"/>
    <e v="#N/A"/>
    <e v="#N/A"/>
    <m/>
    <n v="3"/>
    <n v="4"/>
    <n v="4"/>
    <n v="5"/>
    <n v="15"/>
    <n v="15"/>
    <n v="15"/>
    <n v="6.5"/>
    <n v="6.5"/>
    <n v="60.5"/>
    <n v="0.4"/>
    <m/>
    <n v="2"/>
    <n v="2.5"/>
    <n v="1"/>
    <n v="1"/>
    <n v="2"/>
    <n v="2.5"/>
    <n v="1"/>
    <n v="1"/>
    <n v="60.5"/>
    <n v="0.4"/>
    <n v="0.4"/>
    <e v="#N/A"/>
    <m/>
    <m/>
    <s v="SI, TIPO IE"/>
    <m/>
    <m/>
    <s v="Mercadeo"/>
    <e v="#N/A"/>
    <s v="169"/>
    <e v="#N/A"/>
  </r>
  <r>
    <s v="TI"/>
    <n v="1027882626"/>
    <s v="1000392139"/>
    <s v="VALENTINA AGUILAR MEDINA"/>
    <s v="Estudios por primera vez"/>
    <x v="1"/>
    <s v="Cumple Nutresa"/>
    <m/>
    <s v="En publico objetivo"/>
    <s v="3ra Cohorte"/>
    <s v="Admitido"/>
    <s v="vaguilarm1@eafit.edu.co"/>
    <s v="vaguilarm1@eafit.edu.co"/>
    <s v="vaguime17@gmail.com"/>
    <s v="302/843-3862"/>
    <d v="2025-05-30T00:00:00"/>
    <s v="Activo en Programa"/>
    <s v="013-Ingeniería Civil"/>
    <s v="E Ciencias Aplic e Ingeniería"/>
    <d v="2006-12-17T00:00:00"/>
    <n v="18"/>
    <s v="Antioquia"/>
    <s v="Andes"/>
    <s v="Mujer"/>
    <s v="Soltero"/>
    <s v="NO"/>
    <s v="NO"/>
    <n v="0"/>
    <s v="NO"/>
    <s v="NA"/>
    <s v="NO"/>
    <s v="NA"/>
    <s v="NO"/>
    <s v="NA"/>
    <s v="No"/>
    <s v="302/843-3862"/>
    <s v="302/843-3862"/>
    <s v="Estrato 2"/>
    <s v="CR 84 CL 42 A SUR- 156"/>
    <s v="Antioquia"/>
    <s v="San Antonio De Prado"/>
    <s v="No aplica, no soy foráneo"/>
    <s v="Arriendo"/>
    <s v="SI"/>
    <s v="2024"/>
    <s v="AC202431008135"/>
    <n v="323"/>
    <n v="62"/>
    <n v="73"/>
    <s v="Pública"/>
    <s v="I.E. ENRIQUE VELEZ ESCOBAR"/>
    <n v="2024"/>
    <s v="Antioquia"/>
    <s v="Itagui"/>
    <s v="BACHILLER"/>
    <s v="ACAD"/>
    <s v="TIPO: Pública, INSTITUCION: I.E. ENRIQUE VELEZ ESCOBAR, AÑO: 2024, CIUDAD: Itagui, TITULO: BACHILLER"/>
    <s v="11"/>
    <s v="Escala Desempeño"/>
    <s v="Escala de 0 - 5"/>
    <s v="4,5"/>
    <s v="4"/>
    <m/>
    <s v="4"/>
    <s v="4"/>
    <m/>
    <n v="4.5"/>
    <n v="4"/>
    <m/>
    <n v="4"/>
    <n v="5"/>
    <m/>
    <s v="4"/>
    <s v="4"/>
    <m/>
    <s v="4"/>
    <s v="4"/>
    <m/>
    <s v="4"/>
    <s v="3"/>
    <m/>
    <s v="De 9 y 10"/>
    <n v="4.375"/>
    <s v="NO"/>
    <s v="NA"/>
    <n v="0"/>
    <n v="0"/>
    <s v="No"/>
    <n v="50"/>
    <m/>
    <n v="50"/>
    <m/>
    <n v="50"/>
    <m/>
    <s v="Se admite al programa"/>
    <n v="50"/>
    <s v="Con detalle por componente"/>
    <s v="Espacios de liderazgo o representación social,Trabajo social o comunitario"/>
    <s v="Yo he crecido viendo cómo mi papá que es constructor, siempre ha trabajo en construcción, fue levantando muchas obras que han hecho que del pueblo donde yo nací, un pueblo más avanzado, me visualizo haciendo lo mismo que él pero de una manera más profesional, siempre me ha gustado aportar demasiado a mi entorno y de que de la mano de ustedes y mi esfuerzo, dedicación y vocación, podemos lograr demasiadas cosas que van a hacer el mundo mejor así sea de granito en granito podemos construir sueños y saciar necesidades que estén faltando. La beca para mi es algo soñado, desde hace muchos años mi sueño es estudiar ingeniería civil y ser una de las mejores ingenieras del país, esto solo lo lograré si lo hago de la mano de los mejores y quiero aprovechar esta oportunidad al máximo."/>
    <s v="Página WEB"/>
    <s v="Por la calidad académica."/>
    <s v="Vocación."/>
    <n v="4"/>
    <s v="4"/>
    <s v="SI"/>
    <s v="NO"/>
    <s v="Entre 1 y 2 millones"/>
    <s v="Si"/>
    <s v="NO"/>
    <s v="NO"/>
    <m/>
    <s v="SI"/>
    <s v="Beca"/>
    <s v="NO"/>
    <s v=""/>
    <s v=""/>
    <s v="Si"/>
    <s v="Fernando de Jesús Aguilar Lopez"/>
    <s v="Soltero"/>
    <s v="PRIMARIA"/>
    <s v="58"/>
    <s v="Constructor"/>
    <s v="Trabajador informal"/>
    <s v="Constructor"/>
    <s v="No labora formalmente en una empresa"/>
    <n v="1000000"/>
    <s v="No"/>
    <s v="NO"/>
    <s v="NO"/>
    <s v=""/>
    <s v="Si"/>
    <s v="Adriana maría Medina Montoya"/>
    <s v="Soltero"/>
    <s v="BACHILLERATO"/>
    <s v="52"/>
    <s v="Comerciante"/>
    <s v="Independiente (trabaja por cuenta propia)"/>
    <s v="Comerciante"/>
    <s v="No labora formalmente en una empresa"/>
    <n v="2750000"/>
    <s v="Si"/>
    <s v="NO"/>
    <s v="NO"/>
    <m/>
    <n v="3750000"/>
    <s v="Si"/>
    <s v="Sara Yulieth Aguilar Medina"/>
    <s v="Hermano / Hermana"/>
    <s v="29"/>
    <s v="Ama de casa"/>
    <s v="No labora actualmente"/>
    <n v="0"/>
    <s v="No"/>
    <s v=""/>
    <s v=""/>
    <s v=""/>
    <s v=""/>
    <s v=""/>
    <m/>
    <s v=""/>
    <s v=""/>
    <s v=""/>
    <s v=""/>
    <s v=""/>
    <s v=""/>
    <m/>
    <s v=""/>
    <s v=""/>
    <n v="0"/>
    <n v="0"/>
    <n v="0"/>
    <n v="0"/>
    <n v="0"/>
    <s v="No"/>
    <s v=""/>
    <s v=""/>
    <n v="0"/>
    <s v="No"/>
    <s v=""/>
    <s v=""/>
    <n v="0"/>
    <s v="No"/>
    <s v=""/>
    <s v=""/>
    <s v=""/>
    <n v="0"/>
    <m/>
    <n v="4"/>
    <n v="4"/>
    <n v="4"/>
    <n v="4"/>
    <n v="4"/>
    <n v="4"/>
    <n v="4"/>
    <n v="4"/>
    <n v="4"/>
    <n v="4"/>
    <n v="40"/>
    <s v="SI"/>
    <m/>
    <s v="SI, SON PRI"/>
    <s v="ok tienen todos los datos"/>
    <e v="#N/A"/>
    <e v="#N/A"/>
    <m/>
    <n v="2"/>
    <n v="10"/>
    <n v="10"/>
    <n v="5"/>
    <n v="15"/>
    <n v="15"/>
    <n v="20"/>
    <n v="19"/>
    <n v="18"/>
    <n v="83"/>
    <n v="0.5"/>
    <m/>
    <n v="3.5"/>
    <n v="4.5"/>
    <n v="6"/>
    <n v="4"/>
    <n v="3.5"/>
    <n v="4"/>
    <n v="7"/>
    <n v="4.5"/>
    <n v="84"/>
    <n v="0.7"/>
    <n v="0.8"/>
    <e v="#N/A"/>
    <s v="se aumenta considerando las dificultades economicas y es buena"/>
    <s v="KYSKAS"/>
    <n v="0"/>
    <s v="EN ORDEN"/>
    <n v="0"/>
    <s v="Ingeniería Civil"/>
    <s v="Pres. para revision docs nutresa"/>
    <s v="013"/>
    <e v="#N/A"/>
  </r>
  <r>
    <s v="TI"/>
    <n v="1029144780"/>
    <s v="1000400506"/>
    <s v="MARIAJOSE MEDINA AREVALO"/>
    <s v="Estudios por primera vez"/>
    <x v="1"/>
    <s v="Descartado por ingresos altos"/>
    <s v="Ambos padres profesionales"/>
    <s v="En publico objetivo"/>
    <s v="2da Cohorte"/>
    <s v="Admitido"/>
    <s v="mmedinaa2@eafit.edu.co"/>
    <s v="mmedinaa2@eafit.edu.co"/>
    <s v="magissmedare@gmail.com"/>
    <s v="312/545-5048"/>
    <d v="2025-05-16T00:00:00"/>
    <s v="Activo en Programa"/>
    <s v="169-Mercadeo"/>
    <s v="Escuela de Administración"/>
    <d v="2007-06-03T00:00:00"/>
    <n v="18"/>
    <s v="Huila"/>
    <s v="Colombia"/>
    <s v="Mujer"/>
    <s v="Soltero"/>
    <s v="NO"/>
    <s v="NO"/>
    <n v="0"/>
    <s v="NO"/>
    <s v="NA"/>
    <s v="NO"/>
    <s v="NA"/>
    <s v="NO"/>
    <s v="NA"/>
    <s v="No"/>
    <s v="313/223-8097"/>
    <s v="312/545-5048"/>
    <s v="Estrato 2"/>
    <s v="BRR 3 DE JULIO BL 30 AP 3 N"/>
    <s v="Boyacá"/>
    <s v="Chiquinquirá"/>
    <s v="Si"/>
    <s v="Arriendo"/>
    <s v="SI"/>
    <s v="2024"/>
    <s v="AC202430882144"/>
    <n v="365"/>
    <n v="67"/>
    <n v="76"/>
    <s v="Privada"/>
    <s v="COL. DE LA PRESENTACION ZIPAQU"/>
    <n v="2024"/>
    <s v="Cundinamarca"/>
    <s v="Zipaquirá"/>
    <s v="BACHILLER"/>
    <s v="ACAD"/>
    <s v="TIPO: Privada, INSTITUCION: COL. DE LA PRESENTACION ZIPAQU, AÑO: 2024, CIUDAD: Zipaquirá, TITULO: BACHILLER"/>
    <s v="12"/>
    <s v="Escala de 0 - 50"/>
    <s v="Escala de 0 - 5"/>
    <s v="4"/>
    <s v="40"/>
    <s v="45"/>
    <s v="4"/>
    <s v="4,5"/>
    <s v="40"/>
    <n v="4"/>
    <n v="4.5"/>
    <n v="4"/>
    <n v="4.5"/>
    <n v="4"/>
    <n v="4.5"/>
    <s v="4,5"/>
    <s v="4,5"/>
    <s v="45"/>
    <s v="4,5"/>
    <s v="4,5"/>
    <s v="45"/>
    <s v="4"/>
    <s v="45"/>
    <s v="45"/>
    <s v="De 9, 10 y 11"/>
    <n v="4.25"/>
    <s v="NO"/>
    <s v="NA"/>
    <n v="0"/>
    <n v="0"/>
    <s v="No"/>
    <n v="50"/>
    <m/>
    <n v="40"/>
    <m/>
    <n v="50"/>
    <m/>
    <s v="independiente, es de chiquinquira, ha estudiado a eafit y a la carrera frente a otras universidades en Bogotá, etc , realiza varias actividades , tiene muchas cualidades artísticas"/>
    <n v="46.666666666666664"/>
    <s v="Con detalle por componente"/>
    <s v="Artísticas o culturales,Trabajo social o comunitario,Espacios de liderazgo o representación social"/>
    <s v="Me veo emprendiedo mi propio proyecto, será algo que deje una  huella en la gente. Aun no lo he definido porque siento que hay demasiadas cosas por vivir y para dejar huella, primero debes estar lleno de ellas, de lo que si estoy segura, es que con los conocimientos que me brinde el pregrado de marketing, me encantaría, que a través de mi proyecto las personas se sintieran identificadas y así poder transmitir un mensaje y cambiar perspectivas. _x000a__x000a_Si obtengo una beca tendré la posibilidad de enseñarle a más perosnas lo que he aprendido, además de romper una barrera mental en mi familia del &quot;no puedo&quot; los impulsaría a perseguir sus sueños ya que habré logrado perseguir el mío. El orgullo de mis seres queridos sería un gran impulso para dar lo mejor de mi en cada en cada segundo, además, siendo el marketing una materia que me apasiona, estaría dispuesta a pasar por las incomodidades que me presente la vida, para resolverlas y acercarme cada dia mas a la vida que quiero. _x000a__x000a_En mi entorno existen diversas empresas pero, siempre he notado que en la rama del mercadeo existe una gran deficiencia por falta de conociminto.  Me gustaría poder ayudar de alguna manera a esos emprendimientos que no tiene muy claro que camino deben tomar. _x000a__x000a_Siento que una de mis pasiones es ayudar a la gente, por lo tanto, siempre buscaré como aportar a la sociedad de manera positiva a través de mis conocimientos, eso me haría feliz. Este sería solo en inicio de mi proyecto vida, porque aún me faltan demasiados peldaños por subir, sin embargo y de todo corazón, espero que en este primer paso, este acompañada por ustedes."/>
    <s v="Página WEB"/>
    <s v="Por la calidad académica."/>
    <s v="Vocación."/>
    <n v="4"/>
    <s v="1"/>
    <s v="NO"/>
    <s v="NO"/>
    <s v="Entre 1 y 2 millones"/>
    <s v="No"/>
    <n v="0"/>
    <n v="0"/>
    <m/>
    <n v="0"/>
    <m/>
    <s v="NO"/>
    <s v=""/>
    <s v=""/>
    <s v="Si"/>
    <s v="Jorge Alberto Medina Acosta"/>
    <s v="Soltero"/>
    <s v="ESPECIALIZACIÓN"/>
    <s v="43"/>
    <s v="Ingeniero ambienta."/>
    <s v="Empleado (con contrato laboral)"/>
    <s v="Administrador."/>
    <s v="Sandwicheros"/>
    <n v="3000000"/>
    <s v="No"/>
    <s v="SI"/>
    <s v="NO"/>
    <s v="Es muy atento simepre me apoya."/>
    <s v="Si"/>
    <s v="Diana Carolina Arévalo Arévalo"/>
    <s v="Soltero"/>
    <s v="UNIVERSITARIOS"/>
    <s v="40"/>
    <s v="Atríz"/>
    <s v="Empleado (con contrato laboral)"/>
    <s v="Maestra"/>
    <s v="UPTC Chiquinquira"/>
    <n v="1456000"/>
    <s v="Si"/>
    <s v="NO"/>
    <s v="NO"/>
    <s v="Me apoya totalmente"/>
    <n v="4456000"/>
    <s v="Si"/>
    <s v="Elsa Acosta"/>
    <s v="Abuelo / Abuela"/>
    <s v="72"/>
    <s v="Pensionada"/>
    <s v="N.A"/>
    <n v="1000000"/>
    <s v="No"/>
    <s v="Silvia Azurita Medina Arévalo"/>
    <s v="Hermano / Hermana"/>
    <s v="8"/>
    <s v="Estudiante"/>
    <s v="Luis Tirzo Garcia Chiquinquira"/>
    <n v="0"/>
    <s v="No"/>
    <s v=""/>
    <s v=""/>
    <s v=""/>
    <s v=""/>
    <s v=""/>
    <m/>
    <s v=""/>
    <s v=""/>
    <n v="0"/>
    <n v="24645000"/>
    <n v="0"/>
    <n v="0"/>
    <n v="0"/>
    <s v="No"/>
    <s v=""/>
    <s v=""/>
    <n v="0"/>
    <s v="No"/>
    <s v=""/>
    <s v=""/>
    <n v="0"/>
    <s v="No"/>
    <s v=""/>
    <s v=""/>
    <s v=""/>
    <n v="0"/>
    <s v="No tenemos vehículo."/>
    <n v="4"/>
    <n v="3"/>
    <n v="3"/>
    <n v="4"/>
    <n v="4"/>
    <n v="3"/>
    <n v="4"/>
    <n v="3"/>
    <n v="4"/>
    <n v="4"/>
    <n v="36"/>
    <s v="SI"/>
    <m/>
    <s v="SI, SON PRI"/>
    <s v="ok tienen todos los datos"/>
    <e v="#N/A"/>
    <e v="#N/A"/>
    <m/>
    <n v="3"/>
    <n v="10"/>
    <n v="10"/>
    <n v="15"/>
    <n v="15"/>
    <n v="15"/>
    <n v="20"/>
    <n v="16.5"/>
    <n v="14.5"/>
    <n v="89.5"/>
    <n v="0.4"/>
    <m/>
    <n v="2"/>
    <n v="3.5"/>
    <n v="6"/>
    <n v="3"/>
    <n v="2"/>
    <n v="3"/>
    <n v="7"/>
    <n v="4.5"/>
    <n v="91.5"/>
    <n v="0.5"/>
    <n v="0.5"/>
    <e v="#N/A"/>
    <m/>
    <m/>
    <n v="0"/>
    <s v="EN ORDEN"/>
    <n v="0"/>
    <s v="Mercadeo"/>
    <s v="Pres. para revision docs nutresa"/>
    <s v="169"/>
    <e v="#N/A"/>
  </r>
  <r>
    <s v="TI"/>
    <n v="1029722208"/>
    <s v="1000407783"/>
    <s v="YULISA DEL MAR OTERO PEREA"/>
    <s v="Estudios por primera vez"/>
    <x v="1"/>
    <s v="Descartado por ingresos altos"/>
    <s v="Madre profesional, buseta propiedad del padre conductor"/>
    <s v="En publico objetivo"/>
    <s v="2da Cohorte"/>
    <s v="Admitido"/>
    <s v="ymoterop@eafit.edu.co"/>
    <e v="#N/A"/>
    <s v="yulisadelmarotero@gmail.com"/>
    <s v="573223843583"/>
    <d v="2025-05-16T00:00:00"/>
    <s v="Activo en Programa"/>
    <s v="010-Ingeniería de Sistemas"/>
    <s v="E Ciencias Aplic e Ingeniería"/>
    <d v="2008-01-15T00:00:00"/>
    <n v="17"/>
    <s v="Córdoba"/>
    <s v="Montería"/>
    <s v="Mujer"/>
    <s v="Soltero"/>
    <s v="NO"/>
    <s v="NO"/>
    <n v="0"/>
    <s v="NO"/>
    <s v="NA"/>
    <s v="SI"/>
    <s v="Afrocolombianos"/>
    <s v="SI"/>
    <s v="Afrocolombianos"/>
    <s v="No"/>
    <s v="000-0000"/>
    <s v="573223843583"/>
    <s v="Estrato 2"/>
    <s v="TIERRA GRATA"/>
    <s v="Córdoba"/>
    <s v="Montelíbano"/>
    <s v="Si"/>
    <s v="Propio"/>
    <s v="SI"/>
    <s v="2024"/>
    <s v="AC202436944623"/>
    <n v="385"/>
    <n v="76"/>
    <n v="81"/>
    <s v="Pública"/>
    <s v="I.E. SAN ANTONIO MAR? CLARET"/>
    <n v="2024"/>
    <s v="Córdoba"/>
    <s v="Montelíbano"/>
    <s v="BACHILLER"/>
    <s v="ACAD"/>
    <s v="TIPO: Pública, INSTITUCION: I.E. SAN ANTONIO MAR? CLARET, AÑO: 2024, CIUDAD: Montelíbano, TITULO: BACHILLER"/>
    <s v="11"/>
    <s v="Escala de 0 - 5"/>
    <s v="Escala de 0 - 5"/>
    <s v="5"/>
    <s v="4,5"/>
    <m/>
    <s v="5"/>
    <s v="4,5"/>
    <m/>
    <n v="5"/>
    <n v="4.5"/>
    <m/>
    <n v="4.5"/>
    <n v="4.5"/>
    <m/>
    <s v="4,5"/>
    <s v="5"/>
    <m/>
    <s v="5"/>
    <s v="4,5"/>
    <m/>
    <s v="5"/>
    <s v="4,5"/>
    <m/>
    <s v="De 9 y 10"/>
    <n v="4.625"/>
    <s v="NO"/>
    <s v="NA"/>
    <n v="0"/>
    <n v="0"/>
    <s v="No"/>
    <n v="50"/>
    <m/>
    <n v="50"/>
    <m/>
    <n v="50"/>
    <m/>
    <m/>
    <n v="50"/>
    <s v="Con detalle por componente"/>
    <s v="Trabajo social o comunitario,Espacios de liderazgo o representación social"/>
    <s v="Desde pequeña he sentido una profunda curiosidad por la tecnología y su capacidad para transformar realidades. Al ser admitida en el programa de Ingeniería de Sistemas, me visualizo como una profesional capaz de crear soluciones tecnológicas innovadoras que respondan a las necesidades sociales y económicas de mi comunidad. Puesto que en Montelíbano el acceso a la tecnología y la formación en áreas digitales es limitado, lo cual me motiva profundamente a convertirme en un referente que aporte soluciones innovadoras y accesibles para mi comunidad._x000a__x000a_Como futura ingeniera, quiero diseñar herramientas digitales que respondan a las necesidades locales para poder potenciar el crecimiento de la región, por ejemplo crear aplicaciones que fortalezcan a  las grandes empresas para que sean auto sostenibles durante mucho tiempo y permitan el crecimiento de pequeños negocios, plataformas educativas que lleguen a zonas rurales, y espacios de formación que acerquen a niños y jóvenes al mundo de la tecnología. Mi sueño es que más personas tengan la oportunidad de aprender, emprender y crecer gracias al poder de la informática._x000a__x000a_La obtención de esta beca es una gran oportunidad, no solo para formarme con calidad y compromiso social sino para ser una inspiración para el resto de los jóvenes de mi localidad que al igual que yo sueñan con la oportunidad de entrar a universidades que tienen un alto compromiso social y de alguna forma la condición económica ha sido un impedimento."/>
    <s v="Página WEB"/>
    <s v="Por la calidad académica."/>
    <s v="Vocación."/>
    <n v="5"/>
    <s v="1"/>
    <s v="SI"/>
    <s v="NO"/>
    <s v="Entre 2 y 3 millones"/>
    <s v="No"/>
    <n v="0"/>
    <s v="SI"/>
    <s v="Crédito entidad externa"/>
    <n v="0"/>
    <m/>
    <s v="NO"/>
    <s v=""/>
    <s v=""/>
    <s v="Si"/>
    <s v="Edgar William Otero Ramos"/>
    <s v="Casado"/>
    <s v="TÉCNICA"/>
    <s v="54"/>
    <s v="Técnico de mecánica general de mantenimiento"/>
    <s v="Independiente (trabaja por cuenta propia)"/>
    <s v="conductor"/>
    <s v="Transportes Luz"/>
    <n v="1500000"/>
    <s v="Si"/>
    <s v="SI"/>
    <s v="NO"/>
    <s v=""/>
    <s v="Si"/>
    <s v="Corina Perea Uribe"/>
    <s v="Casado"/>
    <s v="UNIVERSITARIOS"/>
    <s v="45"/>
    <s v="Docente"/>
    <s v="Empleado (con contrato laboral)"/>
    <s v="Docente"/>
    <s v="Institución educativa San Antonio Maria Claret"/>
    <n v="3000000"/>
    <s v="Si"/>
    <s v="NO"/>
    <s v="NO"/>
    <m/>
    <n v="4500000"/>
    <s v="Si"/>
    <s v="Karol Ximena Otero Perea"/>
    <s v="Hermano / Hermana"/>
    <s v="16"/>
    <s v="Estudiante"/>
    <s v="Colegio El Rosario"/>
    <n v="0"/>
    <s v="No"/>
    <s v="Graciela Uribe de Perea"/>
    <s v="Abuelo / Abuela"/>
    <s v="78"/>
    <s v="desempleada"/>
    <s v=""/>
    <n v="0"/>
    <s v="No"/>
    <s v=""/>
    <s v=""/>
    <s v=""/>
    <s v=""/>
    <s v=""/>
    <m/>
    <s v=""/>
    <s v=""/>
    <n v="158760000"/>
    <n v="0"/>
    <n v="0"/>
    <n v="0"/>
    <n v="0"/>
    <s v="No"/>
    <s v=""/>
    <s v=""/>
    <n v="0"/>
    <s v="No"/>
    <s v=""/>
    <s v=""/>
    <n v="0"/>
    <s v="Si"/>
    <s v="Buseta"/>
    <s v="volkswagen"/>
    <s v="2016"/>
    <n v="60000000"/>
    <s v="La buseta es el medio de trabajo de mi padre ya que es conductor"/>
    <n v="4"/>
    <n v="4"/>
    <n v="4"/>
    <n v="4"/>
    <n v="4"/>
    <n v="4"/>
    <n v="4"/>
    <n v="4"/>
    <n v="4"/>
    <n v="4"/>
    <n v="40"/>
    <s v="SI"/>
    <m/>
    <s v="SI, SON PRI"/>
    <s v="ok tienen todos los datos"/>
    <e v="#N/A"/>
    <e v="#N/A"/>
    <m/>
    <n v="3"/>
    <n v="10"/>
    <n v="10"/>
    <n v="15"/>
    <n v="20"/>
    <n v="15"/>
    <n v="20"/>
    <n v="15"/>
    <n v="14"/>
    <n v="94"/>
    <n v="0.4"/>
    <m/>
    <n v="3.5"/>
    <n v="2.5"/>
    <n v="6"/>
    <n v="2"/>
    <n v="3.5"/>
    <n v="2.5"/>
    <n v="7"/>
    <n v="2"/>
    <n v="95"/>
    <n v="0.5"/>
    <n v="0.5"/>
    <e v="#N/A"/>
    <m/>
    <m/>
    <n v="0"/>
    <s v="EN ORDEN"/>
    <n v="0"/>
    <s v="Ingeniería de Sistemas"/>
    <s v="Pres. para revision docs nutresa"/>
    <s v="010"/>
    <e v="#N/A"/>
  </r>
  <r>
    <s v="TI"/>
    <n v="1029861099"/>
    <s v="1000402216"/>
    <s v="JUAN ESTEBAN PARODI CAICEDO"/>
    <s v="Estudios por primera vez"/>
    <x v="11"/>
    <s v="No cumple, estrato 4"/>
    <s v="Año graduacion e icfes 2025 - ver colegio"/>
    <s v="En publico objetivo"/>
    <s v="1er Cohorte"/>
    <s v="Admitido"/>
    <s v="jeparodic@eafit.edu.co"/>
    <s v="jeparodic@eafit.edu.co"/>
    <s v="juanes.parodic@gmail.com"/>
    <s v="573176159891"/>
    <d v="2025-04-25T00:00:00"/>
    <s v="Activo en Programa"/>
    <s v="014-Ingeniería Mecánica"/>
    <s v="E Ciencias Aplic e Ingeniería"/>
    <d v="2007-07-20T00:00:00"/>
    <n v="18"/>
    <s v="La Guajira"/>
    <s v="Riohacha"/>
    <s v="Hombre"/>
    <s v="Soltero"/>
    <s v="NO"/>
    <s v="NO"/>
    <n v="0"/>
    <s v="NO"/>
    <s v="NA"/>
    <s v="NO"/>
    <s v="NA"/>
    <s v="NO"/>
    <s v="NA"/>
    <s v="No"/>
    <s v="317/349-9042"/>
    <s v="573176159891"/>
    <s v="Estrato 4"/>
    <s v="CL 14 3 45"/>
    <s v="La Guajira"/>
    <s v="Albania"/>
    <s v="No aplica, no soy foráneo"/>
    <s v="Arriendo"/>
    <s v="SI"/>
    <n v="2025"/>
    <s v="AC202510067538"/>
    <n v="423"/>
    <n v="100"/>
    <n v="78"/>
    <s v="Privada"/>
    <s v="COLEGIO ALBANIA"/>
    <n v="2025"/>
    <s v="La Guajira"/>
    <s v="Albania"/>
    <s v="BACHILLER"/>
    <s v="ACAD"/>
    <s v="TIPO: Privada, INSTITUCION: COLEGIO ALBANIA, AÑO: 2025, CIUDAD: Albania, TITULO: BACHILLER"/>
    <s v="11"/>
    <s v="Escala de 0 - 7"/>
    <s v="Escala de 0 - 7"/>
    <s v="7"/>
    <s v="7"/>
    <m/>
    <s v="7"/>
    <s v="7"/>
    <m/>
    <n v="7"/>
    <n v="7"/>
    <m/>
    <n v="7"/>
    <n v="4.5"/>
    <m/>
    <s v="7"/>
    <s v="4,5"/>
    <m/>
    <s v="7"/>
    <s v="7"/>
    <m/>
    <s v="7"/>
    <s v="4,5"/>
    <m/>
    <s v="De 9 y 10"/>
    <n v="6.375"/>
    <s v="NO"/>
    <s v="NA"/>
    <n v="0"/>
    <n v="0"/>
    <s v="No"/>
    <n v="50"/>
    <m/>
    <n v="50"/>
    <m/>
    <n v="50"/>
    <m/>
    <m/>
    <n v="50"/>
    <s v="Con detalle por componente"/>
    <s v="Espacios de liderazgo o representación social,Trabajo social o comunitario"/>
    <s v="Soy originario de La Guajira, una región marcada no solo por la desigualdad, sino también por la falta de industrialización, lo que limita las oportunidades de desarrollo tanto para la juventud como para la comunidad en general. Me visualizo ejerciendo mi profesión como ingeniero mecánico con pasión y compromiso, aplicando los conocimientos adquiridos en mi pregrado para generar un impacto positivo en mi región. Espero que, al ingresar a EAFIT, pueda adquirir las competencias necesarias para crear empresa, impulsar proyectos innovadores y construir oportunidades para otros jóvenes que, como yo, desean contribuir a mejorar la calidad de vida de la comunidad y promover el desarrollo sostenible de mi departamento."/>
    <s v="Estudiantes de EAFIT"/>
    <s v="Universidad reconocida."/>
    <s v="Alta empleabilidad."/>
    <n v="4"/>
    <s v="3"/>
    <s v="NO"/>
    <s v="NO"/>
    <s v="Menos de 1millón"/>
    <s v="No"/>
    <n v="0"/>
    <n v="0"/>
    <m/>
    <s v="SI"/>
    <s v="Beca"/>
    <s v="NO"/>
    <s v=""/>
    <s v=""/>
    <s v="Si"/>
    <s v="PAULO CESAR PARODI DAZA"/>
    <s v="Casado"/>
    <s v="MAESTRÍA"/>
    <s v="47"/>
    <s v="Ingeniero Mecanico"/>
    <s v="Empleado (con contrato laboral)"/>
    <s v="SUPERVISOR DE PRIMERA LINEA"/>
    <s v="CERREJON"/>
    <n v="22003000"/>
    <s v="Si"/>
    <s v="SI"/>
    <s v="NO"/>
    <s v=""/>
    <s v="Si"/>
    <s v="KARINA YANETH CAICEDO BRITO"/>
    <m/>
    <m/>
    <m/>
    <s v="ODONTOLOGA"/>
    <s v="Desempleado (Se encuentra en la búsqueda activa de empleo)"/>
    <s v="Ninguno"/>
    <s v="NO APLICA"/>
    <n v="0"/>
    <s v="Si"/>
    <m/>
    <m/>
    <m/>
    <n v="22003000"/>
    <s v="Si"/>
    <s v="JUAN DAVID PARODI CAICEDO"/>
    <s v="Hermano / Hermana"/>
    <s v="13"/>
    <s v="Estudiante"/>
    <s v="COLEGIO ALBANIA"/>
    <n v="0"/>
    <s v="No"/>
    <s v="VERONICA ARLET PARODI CAICEDO"/>
    <s v="Hermano / Hermana"/>
    <s v="9"/>
    <s v="Estudiante"/>
    <s v="COLEGIO ALBANIA"/>
    <n v="0"/>
    <s v="No"/>
    <s v=""/>
    <s v=""/>
    <s v=""/>
    <s v=""/>
    <s v=""/>
    <m/>
    <s v=""/>
    <m/>
    <n v="250000000"/>
    <n v="0"/>
    <n v="0"/>
    <n v="0"/>
    <n v="0"/>
    <s v="Si"/>
    <s v="Mazda"/>
    <s v="2014"/>
    <n v="60000000"/>
    <s v="No"/>
    <s v=""/>
    <s v=""/>
    <n v="0"/>
    <s v="No"/>
    <s v=""/>
    <s v=""/>
    <s v=""/>
    <n v="0"/>
    <m/>
    <n v="4"/>
    <n v="4"/>
    <n v="4"/>
    <n v="4"/>
    <n v="4"/>
    <n v="4"/>
    <n v="4"/>
    <n v="4"/>
    <n v="3"/>
    <n v="4"/>
    <n v="39"/>
    <s v="SI"/>
    <m/>
    <s v="SI, SON PRI"/>
    <s v="ok tienen todos los datos"/>
    <e v="#N/A"/>
    <e v="#N/A"/>
    <m/>
    <n v="3"/>
    <n v="4"/>
    <n v="4"/>
    <n v="15"/>
    <n v="20"/>
    <n v="15"/>
    <n v="20"/>
    <n v="6"/>
    <n v="6.5"/>
    <n v="80.5"/>
    <n v="0.4"/>
    <m/>
    <n v="2"/>
    <n v="3.5"/>
    <n v="0"/>
    <n v="1"/>
    <n v="2"/>
    <n v="3"/>
    <n v="0"/>
    <n v="1"/>
    <n v="80"/>
    <n v="0.4"/>
    <s v="Negado"/>
    <e v="#N/A"/>
    <m/>
    <m/>
    <n v="0"/>
    <m/>
    <m/>
    <s v="Ingeniería Mecánica"/>
    <e v="#N/A"/>
    <m/>
    <e v="#N/A"/>
  </r>
  <r>
    <s v="CC"/>
    <n v="1029983871"/>
    <s v="1000401418"/>
    <s v="ORIOL ESTEBAN RAMOS MONTOYA"/>
    <s v="Estudios por primera vez"/>
    <x v="12"/>
    <s v="No cumple, estrato 4"/>
    <m/>
    <s v="En publico objetivo"/>
    <s v="1er Cohorte"/>
    <s v="Admitido"/>
    <s v="oeramosm@eafit.edu.co"/>
    <s v="oeramosm@eafit.edu.co"/>
    <s v="estebanras89@gmail.com"/>
    <s v="573053397549"/>
    <d v="2025-04-25T00:00:00"/>
    <s v="Activo en Programa"/>
    <s v="199-Finanzas"/>
    <s v="E.Finanzas, Economía, Gobierno"/>
    <d v="2006-09-03T00:00:00"/>
    <n v="19"/>
    <s v="Meta"/>
    <s v="Villavicencio"/>
    <s v="Hombre"/>
    <s v="Soltero"/>
    <s v="NO"/>
    <s v="NO"/>
    <n v="0"/>
    <s v="NO"/>
    <s v="NA"/>
    <s v="NO"/>
    <s v="NA"/>
    <s v="NO"/>
    <s v="NA"/>
    <s v="No"/>
    <s v="316/051-1968"/>
    <s v="573053397549"/>
    <s v="Estrato 4"/>
    <s v="CR 49 #41 69"/>
    <s v="Antioquia"/>
    <s v="Rionegro"/>
    <s v="Si"/>
    <s v="Arriendo"/>
    <s v="SI"/>
    <s v="2024"/>
    <s v="AC202431209204"/>
    <n v="313"/>
    <n v="63"/>
    <n v="60"/>
    <s v="Privada"/>
    <s v="Colegio el triángulo"/>
    <n v="2024"/>
    <m/>
    <s v="El Retiro"/>
    <s v="Bachillerato"/>
    <s v="Académico"/>
    <m/>
    <s v="11"/>
    <s v="Escala de 0 - 5"/>
    <s v="Escala de 0 - 5"/>
    <s v="4,3"/>
    <s v="4,3"/>
    <m/>
    <s v="4,4"/>
    <s v="4,3"/>
    <m/>
    <n v="4.0999999999999996"/>
    <n v="3.9"/>
    <m/>
    <n v="4.5"/>
    <n v="4.2"/>
    <m/>
    <s v="4"/>
    <s v="3,9"/>
    <m/>
    <s v="4,2"/>
    <s v="4,2"/>
    <m/>
    <s v="4,2"/>
    <s v="4,2"/>
    <m/>
    <s v="De 9 y 10"/>
    <n v="4.1749999999999998"/>
    <s v="NO"/>
    <s v="NA"/>
    <n v="0"/>
    <n v="0"/>
    <s v="No"/>
    <n v="50"/>
    <m/>
    <n v="40"/>
    <m/>
    <n v="50"/>
    <m/>
    <s v="Le encantaría trabajar en Bolsa_x000a_Ama los deportes y ha asistido a clases abiertas"/>
    <n v="46.666666666666664"/>
    <s v="Con detalle por componente"/>
    <s v="Ninguna"/>
    <s v="Me visualizo como una persona con la capacidad de tomar decisiones, proponer y ayudar para crecer personal y profesionalmente en el mundo de las finanzas. Una persona aplicada y comprometida en su disciplina que ayude a una empresa. En caso de obtener la beca ayudaría a los de mi región para que se proyecten y construyan un gran futuro, para el cual se necesita compromiso y disciplina."/>
    <s v="Otro"/>
    <s v="Por la calidad académica."/>
    <s v="Vocación."/>
    <n v="2"/>
    <s v="1"/>
    <s v="NO"/>
    <s v="NO"/>
    <s v="Más de 16 millones"/>
    <s v="No"/>
    <s v="SI"/>
    <s v="NO"/>
    <m/>
    <s v="SI"/>
    <s v="Beca"/>
    <s v="NO"/>
    <s v=""/>
    <s v=""/>
    <s v="Si"/>
    <s v="Oriol Adonis Ramos Fuentes"/>
    <s v="Casado"/>
    <s v="ESPECIALIZACIÓN"/>
    <s v="52"/>
    <s v="Medicina"/>
    <s v="Empleado (con contrato laboral)"/>
    <s v="Cirujano General"/>
    <s v="TAHUS"/>
    <n v="12000000"/>
    <s v="Si"/>
    <s v="NO"/>
    <s v="SI"/>
    <s v="Es un hombre que siempre busca lo mejor para todos, es un hombre con gran conocimiento, muy trabajador y disciplinado; siempre se propone mejorar tanto de manera personal como profesional. Una persona que busca lo mejor para su familia, siempre priorizó una buena educación para sus hijos y aporta lo suficiente para que nunca falte nada."/>
    <s v="Si"/>
    <s v="Paola Andrea Montoya Cagua"/>
    <s v="Soltero"/>
    <s v="UNIVERSITARIOS"/>
    <s v="47"/>
    <s v="Instrumentación quirúrgica"/>
    <s v="Labores del hogar y cuidado"/>
    <s v="Ama de casa"/>
    <s v="NINGUNA"/>
    <n v="0"/>
    <s v="Si"/>
    <s v="NO"/>
    <s v="NO"/>
    <s v="Siempre buscará lo mejor para su familia, es una persona muy trabajadora que solo se enfoca en su familia para que nunca le falte nada, siempre protegerá a sus hijos y buscará lo mejor para ellos. Siempre prioriza el respeto, la educación y la puntualidad."/>
    <n v="12000000"/>
    <s v="Si"/>
    <s v="Juan Pablo Ramos Montoya"/>
    <s v="Hermano / Hermana"/>
    <s v="24"/>
    <s v="Administración de empresas"/>
    <s v="Ninguna"/>
    <n v="0"/>
    <s v="Si"/>
    <s v=""/>
    <s v=""/>
    <s v=""/>
    <s v=""/>
    <s v=""/>
    <m/>
    <s v=""/>
    <s v=""/>
    <s v=""/>
    <s v=""/>
    <s v=""/>
    <s v=""/>
    <m/>
    <s v=""/>
    <s v=""/>
    <n v="0"/>
    <n v="0"/>
    <n v="0"/>
    <n v="0"/>
    <n v="0"/>
    <s v="Si"/>
    <s v="Renault"/>
    <s v="2023"/>
    <n v="49000000"/>
    <s v="No"/>
    <s v=""/>
    <s v=""/>
    <n v="0"/>
    <s v="No"/>
    <s v=""/>
    <s v=""/>
    <s v=""/>
    <n v="0"/>
    <m/>
    <n v="4"/>
    <n v="3"/>
    <n v="3"/>
    <n v="3"/>
    <n v="4"/>
    <n v="3"/>
    <n v="4"/>
    <n v="3"/>
    <n v="2"/>
    <n v="4"/>
    <n v="33"/>
    <s v="SI"/>
    <s v="SI, TIPO IE"/>
    <s v="PRI SIN TIPO IE"/>
    <s v="pendiente tipo ie"/>
    <e v="#N/A"/>
    <e v="#N/A"/>
    <m/>
    <n v="2"/>
    <n v="4"/>
    <n v="4"/>
    <n v="5"/>
    <n v="15"/>
    <n v="10"/>
    <n v="20"/>
    <n v="10.5"/>
    <n v="10.5"/>
    <n v="64.5"/>
    <n v="0.4"/>
    <m/>
    <n v="2"/>
    <n v="4.5"/>
    <n v="0"/>
    <n v="4"/>
    <n v="2"/>
    <n v="4"/>
    <n v="0"/>
    <n v="4.5"/>
    <n v="64.5"/>
    <n v="0.4"/>
    <s v="Negado"/>
    <e v="#N/A"/>
    <m/>
    <m/>
    <s v="SI, TIPO IE"/>
    <m/>
    <m/>
    <s v="Finanzas"/>
    <e v="#N/A"/>
    <m/>
    <e v="#N/A"/>
  </r>
  <r>
    <s v="CC"/>
    <n v="1030521411"/>
    <s v="1000374413"/>
    <s v="KEVING ALEJANDRO ZUÑIGA HIDALGO"/>
    <s v="Estudios por primera vez"/>
    <x v="1"/>
    <s v="Descartado por bajo icfes"/>
    <m/>
    <s v="En publico objetivo"/>
    <s v="2da Cohorte"/>
    <s v="Admitido"/>
    <s v="kazunigah@eafit.edu.co"/>
    <s v="kazunigah@eafit.edu.co"/>
    <s v="elkeving13@gmail.com"/>
    <s v="573128618487"/>
    <d v="2025-05-16T00:00:00"/>
    <s v="Activo en Programa"/>
    <s v="112-Comunicación Social"/>
    <s v="Escuela de Artes y Humanidades"/>
    <d v="2004-02-13T00:00:00"/>
    <n v="21"/>
    <s v="Bogotá"/>
    <s v="Bogotá D.C."/>
    <s v="Hombre"/>
    <s v="Soltero"/>
    <s v="NO"/>
    <s v="NO"/>
    <n v="0"/>
    <s v="NO"/>
    <s v="NA"/>
    <s v="NO"/>
    <s v="NA"/>
    <s v="NO"/>
    <s v="NA"/>
    <s v="No"/>
    <s v="312/861-8487"/>
    <s v="573128618487"/>
    <s v="Estrato 3"/>
    <s v="CL 9 A 75 A 10"/>
    <s v="Antioquia"/>
    <s v="Medellín"/>
    <s v="No aplica, no soy foráneo"/>
    <s v="Arriendo"/>
    <s v="SI"/>
    <s v="2021"/>
    <s v="AC202146032015"/>
    <n v="300"/>
    <n v="42"/>
    <n v="67"/>
    <s v="Privada"/>
    <s v="INST CORFERRINI - SEDE LA DIVI"/>
    <n v="2024"/>
    <s v="Antioquia"/>
    <s v="Medellín"/>
    <s v="BACHILLER"/>
    <s v="ACAD"/>
    <s v="TIPO: Privada, INSTITUCION: INST CORFERRINI - SEDE LA DIVI, AÑO: 2024, CIUDAD: Medellín, TITULO: BACHILLER"/>
    <s v="12"/>
    <s v="Escala de 0 - 5"/>
    <s v="Escala de 0 - 5"/>
    <s v="4"/>
    <s v="4"/>
    <s v="5"/>
    <s v="4"/>
    <s v="4"/>
    <s v="5"/>
    <n v="4"/>
    <n v="4.5"/>
    <n v="5"/>
    <n v="4"/>
    <n v="4"/>
    <n v="4.5"/>
    <s v="4"/>
    <s v="4"/>
    <s v="4,5"/>
    <s v="4"/>
    <s v="4"/>
    <s v="4"/>
    <s v="4"/>
    <s v="4"/>
    <s v="4"/>
    <s v="De 9, 10 y 11"/>
    <n v="4.333333333333333"/>
    <s v="NO"/>
    <s v="NA"/>
    <n v="0"/>
    <n v="0"/>
    <s v="No"/>
    <n v="35"/>
    <m/>
    <n v="35"/>
    <m/>
    <n v="35"/>
    <m/>
    <m/>
    <n v="35"/>
    <s v="Con detalle por componente"/>
    <s v="Artísticas o culturales,Trabajo social o comunitario"/>
    <s v="La forma en la que puedo aportar a EAFIT, es con mi profundo amor por las lenguas y la comunicación; no solo quiero que mis mensajes en español sean entendidos, sino que, además, quiero que cualquier persona, en cualquier parte del mundo pueda entenderme y enterarse de lo que sucede a su alrededor, sea en inglés, francés, japonés, alguna lengua indígena, etc. Qué el idioma no sea un límite, una barrera. Quiero poder conectar con el mundo hasta llegar al punto en el que el lenguaje sea una puerta abierta para cerrar la brecha que corta lo hermoso de la comunicación y darle forma a mis ideas, opiniones o mensajes, y de esta manera, llegar a los corazones de las personas que me escuchen. De igual forma, pienso que mi amor por las conexiones a través de la comunicación, se puede ver reflejado en las ganas de ayudar al otro, siendo así, que el día en que empiece a ejercer con honor mi profesión, pueda ayudar las empresas a tener mejores comunicaciones con sus socios y proveedores, creando redes de confianza a partir de mi capacidad de llevar en alto en nombre de la universidad y demostrando todo lo que aprendí gracias a la oportunidad que me brindaron de pertenecer a una maravillosa comunidad. Transformando el mundo desde las palabras."/>
    <s v="Amigos"/>
    <s v="Por la calidad académica."/>
    <s v="Vocación."/>
    <n v="1"/>
    <s v="3"/>
    <s v="NO"/>
    <s v="NO"/>
    <s v="Entre 2 y 3 millones"/>
    <s v="Si"/>
    <n v="0"/>
    <n v="0"/>
    <m/>
    <s v="SI"/>
    <s v="Beca"/>
    <s v="SI"/>
    <s v="INDEPENDIENTE"/>
    <s v="Independiente"/>
    <s v="Si"/>
    <s v="Bellini Zuñiga Romero"/>
    <s v="Otro"/>
    <m/>
    <s v="62"/>
    <s v="Independiente"/>
    <s v="Independiente (trabaja por cuenta propia)"/>
    <s v="Diseño de modas"/>
    <s v="Diseñador de modas"/>
    <n v="2500000"/>
    <s v="No"/>
    <s v="NO"/>
    <s v="NO"/>
    <s v=""/>
    <s v="Si"/>
    <s v="Irma Cecilia Hidalgo Vergara"/>
    <s v="Unión marital"/>
    <s v="PRIMARIA"/>
    <s v="58"/>
    <s v="Independiente"/>
    <s v="Independiente (trabaja por cuenta propia)"/>
    <s v="Diseñadora de modas"/>
    <s v="Independiente"/>
    <n v="2500000"/>
    <s v="No"/>
    <s v="NO"/>
    <s v="NO"/>
    <m/>
    <n v="5000000"/>
    <s v="No, vivo solo"/>
    <s v=""/>
    <s v=""/>
    <s v=""/>
    <s v=""/>
    <s v=""/>
    <m/>
    <s v=""/>
    <s v=""/>
    <s v=""/>
    <s v=""/>
    <s v=""/>
    <s v=""/>
    <m/>
    <s v=""/>
    <s v=""/>
    <s v=""/>
    <s v=""/>
    <s v=""/>
    <s v=""/>
    <m/>
    <s v=""/>
    <s v=""/>
    <n v="0"/>
    <n v="0"/>
    <n v="0"/>
    <n v="0"/>
    <n v="0"/>
    <s v="Si"/>
    <s v="Benelli"/>
    <s v="2021"/>
    <n v="16500000"/>
    <s v="No"/>
    <s v=""/>
    <s v=""/>
    <n v="0"/>
    <s v="No"/>
    <s v=""/>
    <s v=""/>
    <s v=""/>
    <n v="0"/>
    <m/>
    <n v="3"/>
    <n v="4"/>
    <n v="4"/>
    <n v="4"/>
    <n v="4"/>
    <n v="3"/>
    <n v="3"/>
    <n v="4"/>
    <n v="4"/>
    <n v="3"/>
    <n v="36"/>
    <s v="SI"/>
    <m/>
    <s v="SI, SON PRI"/>
    <s v="ok tienen todos los datos"/>
    <s v="Negada"/>
    <n v="20251"/>
    <m/>
    <n v="2"/>
    <n v="10"/>
    <n v="8"/>
    <n v="5"/>
    <n v="15"/>
    <n v="15"/>
    <n v="5"/>
    <n v="16.5"/>
    <n v="13.5"/>
    <n v="63.5"/>
    <n v="0.4"/>
    <m/>
    <n v="2"/>
    <n v="4.5"/>
    <n v="3"/>
    <n v="4"/>
    <n v="2"/>
    <n v="4"/>
    <n v="6"/>
    <n v="4.5"/>
    <n v="64.5"/>
    <n v="0.5"/>
    <n v="0.4"/>
    <e v="#N/A"/>
    <m/>
    <m/>
    <n v="0"/>
    <m/>
    <m/>
    <s v="Comunicación Social"/>
    <e v="#N/A"/>
    <s v="112"/>
    <e v="#N/A"/>
  </r>
  <r>
    <s v="TI"/>
    <n v="1031422741"/>
    <s v="1000408377"/>
    <s v="GABRIELA DUARTE PATIÑO"/>
    <s v="Estudios por primera vez"/>
    <x v="1"/>
    <s v="Descartado por propiedades"/>
    <m/>
    <s v="En publico objetivo"/>
    <s v="2da Cohorte"/>
    <s v="Admitido"/>
    <s v="gduartep@eafit.edu.co"/>
    <e v="#N/A"/>
    <s v="gabrielauni2007@yahoo.com"/>
    <s v="573105846037"/>
    <d v="2025-05-16T00:00:00"/>
    <s v="Activo en Programa"/>
    <s v="002-Negocios Internacionales"/>
    <s v="Escuela de Administración"/>
    <d v="2007-06-19T00:00:00"/>
    <n v="18"/>
    <s v="Bogotá"/>
    <s v="Bogotá D.C."/>
    <s v="Mujer"/>
    <s v="Soltero"/>
    <s v="NO"/>
    <s v="NO"/>
    <n v="0"/>
    <s v="NO"/>
    <s v="NA"/>
    <s v="NO"/>
    <s v="NA"/>
    <s v="NO"/>
    <s v="NA"/>
    <s v="No"/>
    <s v="2"/>
    <s v="573105846037"/>
    <s v="Estrato 3"/>
    <s v="CL 5 4 56"/>
    <s v="Caldas"/>
    <s v="Riosucio"/>
    <s v="Si"/>
    <s v="Arriendo"/>
    <s v="SI"/>
    <s v="2024"/>
    <s v="AC202432888063"/>
    <n v="343"/>
    <n v="72"/>
    <n v="70"/>
    <s v="Pública"/>
    <s v="INSTITUCION EDUCATIVA RIOSUCIO"/>
    <n v="2024"/>
    <s v="Caldas"/>
    <s v="Riosucio"/>
    <s v="BACHILLER"/>
    <s v="TECN"/>
    <s v="TIPO: Pública, INSTITUCION: INSTITUCION EDUCATIVA RIOSUCIO, AÑO: 2024, CIUDAD: Riosucio, TITULO: BACHILLER"/>
    <s v="11"/>
    <s v="Escala de 0 - 5"/>
    <s v="Escala de 0 - 5"/>
    <s v="5"/>
    <s v="5"/>
    <m/>
    <s v="4,5"/>
    <s v="4,5"/>
    <m/>
    <n v="4.5"/>
    <n v="4.5"/>
    <m/>
    <n v="4.5"/>
    <n v="4.5"/>
    <m/>
    <s v="4,5"/>
    <s v="4,5"/>
    <m/>
    <s v="4,5"/>
    <s v="4,5"/>
    <m/>
    <s v="4"/>
    <s v="4,5"/>
    <m/>
    <s v="De 9 y 10"/>
    <n v="4.5"/>
    <s v="NO"/>
    <s v="NA"/>
    <n v="0"/>
    <n v="0"/>
    <s v="No"/>
    <n v="35"/>
    <m/>
    <n v="45"/>
    <m/>
    <n v="40"/>
    <m/>
    <m/>
    <n v="40"/>
    <s v="Con detalle por componente"/>
    <s v="Espacios de liderazgo o representación social"/>
    <s v="Cuando me proyecto hacia el futuro, me veo a mí, graduada de lo que más me apasiona, los negocios internacionales, especializada en marketing, con una maestría en negocios digitales y doctorado en inteligencia artificial. Trabajando para empresas multinacionales y para empresas colombianas que buscan que su empresa inicie, se fortalezca o crezca en el mercado global, para que con mi aporte puedan llegar a ser autosuficientes y se mantengan en el tiempo, que es lo más complejo, ser una empresa autosostenible y competitiva._x000a__x000a_En el lugar donde vivo, Riosucio – Caldas, el nicho en emprendimiento que más predomina es el de los vestidos de baño, los cuales son fabricados allí mismo. Las empresas, por practicidad o por falta de asesoramiento, deciden quedarse solo en el mercado municipal, departamental o nacional, ignorando que la internacionalización de su marca les beneficiaría tanto a los dueños de ésta como a sus empleados, en su mayoría mujeres cabeza de familia, y también abriría más puestos de trabajo, beneficiando a la población riosuseña. _x000a__x000a_Ser beneficiaria de la beca me permitiría estudiar la carrera que me encanta en una universidad de educación de alta calidad, como lo es la EAFIT, la cual me daría diversas herramientas para que yo pueda salir como una excelente profesional y que con la experiencia que adquiera en el tiempo pueda aportarle de manera significativa a las empresas de mi región, tomando en cuenta los beneficios de poder aportar a las soluciones de la problemática mencionada en el párrafo anterior. _x000a__x000a_Como un aporte social, me proyecto a que, cuando esté cerca a mi pensión, con el conocimiento que me de la vida, crear una fundación sin ánimo de lucro donde pueda ayudar a jóvenes que, como yo ahora, buscan la posibilidad de acceder a su educación superior."/>
    <s v="Página WEB"/>
    <s v="Por la calidad académica."/>
    <s v="Vocación."/>
    <n v="3"/>
    <s v="1"/>
    <s v="SI"/>
    <s v="NO"/>
    <s v="Entre 3 y 4 millones"/>
    <s v="No"/>
    <n v="0"/>
    <n v="0"/>
    <m/>
    <s v="SI"/>
    <s v="Beca"/>
    <s v="NO"/>
    <s v=""/>
    <s v=""/>
    <s v="Si"/>
    <s v="William Gabriel Duarte Leal"/>
    <s v="Casado"/>
    <s v="UNIVERSITARIOS"/>
    <s v="60"/>
    <s v="Comunicador social"/>
    <s v="Pensionado"/>
    <s v="Pensionado"/>
    <s v="-"/>
    <n v="2821554"/>
    <s v="Si"/>
    <s v="SI"/>
    <s v="NO"/>
    <s v="Trabajó hasta 2019, año en que fue pensionado por invalides."/>
    <s v="Si"/>
    <s v="Claudia Yulieth Patiño Palau"/>
    <s v="Casado"/>
    <s v="BACHILLERATO"/>
    <s v="57"/>
    <s v="EMPLEADA"/>
    <s v="Empleado (con contrato laboral)"/>
    <s v="Cajera"/>
    <s v="Multipagas"/>
    <n v="1558665"/>
    <s v="Si"/>
    <s v="NO"/>
    <s v="NO"/>
    <m/>
    <n v="4380219"/>
    <s v="Si"/>
    <s v="Isabella Duarte Patiño"/>
    <s v="Hermano / Hermana"/>
    <s v="13"/>
    <s v="Estudiante"/>
    <s v="Institución Educativa Riosucio"/>
    <n v="0"/>
    <s v="No"/>
    <s v=""/>
    <s v=""/>
    <s v=""/>
    <s v=""/>
    <s v=""/>
    <m/>
    <s v=""/>
    <s v=""/>
    <s v=""/>
    <s v=""/>
    <s v=""/>
    <s v=""/>
    <m/>
    <s v=""/>
    <s v=""/>
    <n v="0"/>
    <n v="280000000"/>
    <n v="0"/>
    <n v="0"/>
    <n v="0"/>
    <s v="No"/>
    <s v=""/>
    <s v=""/>
    <n v="0"/>
    <s v="No"/>
    <s v=""/>
    <s v=""/>
    <n v="0"/>
    <s v="No"/>
    <s v=""/>
    <s v=""/>
    <s v=""/>
    <n v="0"/>
    <s v="El apartamento es estrato 3, está ubicado en Bogotá D. C, en el barrio Verbenal. Nosotros vivimos en Riosucio, Caldas pagando arriendo."/>
    <n v="4"/>
    <n v="4"/>
    <n v="3"/>
    <n v="4"/>
    <n v="3"/>
    <n v="3"/>
    <n v="3"/>
    <n v="3"/>
    <n v="3"/>
    <n v="4"/>
    <n v="34"/>
    <s v="SI"/>
    <m/>
    <s v="SI, SON PRI"/>
    <s v="ok tienen todos los datos"/>
    <s v="Negada"/>
    <n v="20251"/>
    <m/>
    <n v="3"/>
    <n v="10"/>
    <n v="8"/>
    <n v="10"/>
    <n v="20"/>
    <n v="10"/>
    <n v="10"/>
    <n v="14.5"/>
    <n v="14"/>
    <n v="74"/>
    <n v="0.4"/>
    <m/>
    <n v="3.5"/>
    <n v="3.5"/>
    <n v="6"/>
    <n v="1"/>
    <n v="3.5"/>
    <n v="3"/>
    <n v="7"/>
    <n v="1"/>
    <n v="72.5"/>
    <n v="0.5"/>
    <n v="0.5"/>
    <e v="#N/A"/>
    <m/>
    <m/>
    <n v="0"/>
    <m/>
    <m/>
    <s v="Negocios Internacionales"/>
    <e v="#N/A"/>
    <s v="002"/>
    <e v="#N/A"/>
  </r>
  <r>
    <s v="CC"/>
    <n v="1031645003"/>
    <s v="1000403651"/>
    <s v="IVETH MARIANA CRUZ ZAPATA"/>
    <s v="Transferencia Externa"/>
    <x v="7"/>
    <s v="No cumple, estrato 4"/>
    <m/>
    <s v="En publico objetivo"/>
    <s v="1er Cohorte"/>
    <s v="Admitido"/>
    <s v="imcruzz@eafit.edu.co"/>
    <s v="imcruzz@eafit.edu.co"/>
    <s v="imarianacruz05@gmail.com"/>
    <s v="573054655085"/>
    <d v="2025-04-25T00:00:00"/>
    <s v="Activo en Programa"/>
    <s v="001-Administración de Negocios"/>
    <s v="Escuela de Administración"/>
    <d v="2005-01-19T00:00:00"/>
    <n v="20"/>
    <s v="Bogotá"/>
    <s v="Bogotá D.C."/>
    <s v="Mujer"/>
    <s v="Soltero"/>
    <s v="NO"/>
    <s v="NO"/>
    <n v="0"/>
    <s v="NO"/>
    <s v="NA"/>
    <s v="NO"/>
    <s v="NA"/>
    <s v="NO"/>
    <s v="NA"/>
    <s v="No"/>
    <s v="305/465-5085"/>
    <s v="573054655085"/>
    <s v="Estrato 4"/>
    <s v="CR 42#60 SUR- 15"/>
    <s v="Antioquia"/>
    <s v="Sabaneta"/>
    <s v="No aplica, no soy foráneo"/>
    <s v="Arriendo"/>
    <s v="SI"/>
    <s v="2021"/>
    <s v="AC202143585361"/>
    <n v="328"/>
    <n v="60"/>
    <n v="71"/>
    <s v="Privada"/>
    <s v="COL EUCARISTICO"/>
    <n v="2021"/>
    <s v="Bogotá"/>
    <s v="Bogotá D.C."/>
    <s v="BACHILLER"/>
    <s v="ACAD"/>
    <s v="TIPO: Privada, INSTITUCION: COL EUCARISTICO, AÑO: 2021, CIUDAD: Bogotá D.C., TITULO: BACHILLER"/>
    <n v="0"/>
    <n v="0"/>
    <s v="PCA TEX"/>
    <m/>
    <m/>
    <m/>
    <m/>
    <m/>
    <m/>
    <m/>
    <m/>
    <m/>
    <m/>
    <m/>
    <m/>
    <m/>
    <m/>
    <m/>
    <m/>
    <m/>
    <m/>
    <m/>
    <m/>
    <m/>
    <s v="Ver PCA TEX"/>
    <n v="4.3"/>
    <s v="SI"/>
    <s v="TIPO: Privada, INSTITUCION: UNV. CATÓLICA LUIS AMIGÓFUNLAM, AÑO: 0, CIUDAD: Medellín, TITULO: ADMINISTRADOR DE EMPRESAS (Medellín)"/>
    <s v="PREGRADO"/>
    <s v=" TITULO: ADMINISTRADOR DE EMPRESAS (Medellín)"/>
    <s v="No"/>
    <n v="45"/>
    <m/>
    <n v="45"/>
    <m/>
    <n v="50"/>
    <m/>
    <s v="estudia administración en la Universidad Luis Amigó,  pero se quiere cambiar de carrera porque la universidad en la que está no es muy exigente y siente que EAFIT tiene mejor nivel académico, es de Bogotá pero por el trabajo de su papá le ha tocado vivir en varias ciudades, se considera una persona integral y siente que como estudiante puede aportar a traves de los semilleros. le gusta administración por el conocimiento que se adquiere a nivel general pero le gusta mucho la nuestra por los énfasis."/>
    <n v="46.666666666666664"/>
    <s v="Con detalle por componente"/>
    <s v="Ninguna"/>
    <s v="Dentro de algunos años me visualizo ejerciendo mi profesión en una multinacional del sector belleza con alta participación en Colombia, ya que mi objetivo es entrar a una compañía cuya misión principal sea potenciar lo mejor de nosotros mismos por medio del cuidado, la atención y el amor, no solo a nuestra imagen, sino también a aquello que nos hace ser las personas que somos, transfórmanos de afuera hacia adentro, ayudando a las personas a encontrar su mejor versión a través de su imagen para que puedan aprovechar su valor interior y así, ayudar a miles de personas a reconocer su valor en nuestra sociedad sin importar sus diferencias._x000a_Espero, con los conocimientos integrales obtenidos en la universidad Eafit y con ayuda de la beca, llegar a ser una pieza clave en la implementación de iniciativas de responsabilidad social en la organización en la que vaya a desempeñarme, tales como el desarrollo e impulso de programas de capacitación para mujeres y madres cabeza de familia en trabajos útiles para el sostenimiento de su hogar y con aplicación real en Bogotá y sus alrededores, esto con la finalidad de poder ayudar no solo a las mujeres capitalinas, sino a todas la mujeres de diferentes regiones del país que llegan a Bogotá en búsqueda de oportunidades; En conjunto a esto, aspiro poder implementar un programa de responsabilidad social en el cual se espera dar implementos de cuidado personal a jóvenes en situaciones vulnerables, que les permitan tener pequeños cambios positivos en su día a día."/>
    <s v="Otro"/>
    <s v="Por la calidad académica."/>
    <s v="Vocación."/>
    <n v="3"/>
    <s v="1"/>
    <s v="NO"/>
    <s v="NO"/>
    <s v="Más de 16 millones"/>
    <s v="No"/>
    <s v="SI"/>
    <s v="SI"/>
    <s v="Crédito educativo propio"/>
    <s v="SI"/>
    <s v="Beca"/>
    <s v="NO"/>
    <s v=""/>
    <s v=""/>
    <s v="Si"/>
    <s v="Ernesto Lisimaco Cruz Guerrero"/>
    <s v="Casado"/>
    <s v="UNIVERSITARIOS"/>
    <s v="51"/>
    <s v="Administrador de empresas"/>
    <s v="Empleado (con contrato laboral)"/>
    <s v="Regional SDM"/>
    <s v="Majorel Colombia S.A.S"/>
    <n v="18505500"/>
    <s v="Si"/>
    <s v="NO"/>
    <s v="NO"/>
    <s v=""/>
    <s v="Si"/>
    <s v="Zugey Yohana Zapata Diaz"/>
    <s v="Casado"/>
    <s v="TÉCNICA"/>
    <s v="49"/>
    <s v="Labores del hogar"/>
    <s v="Labores del hogar y cuidado"/>
    <s v="Ama de casa"/>
    <s v="Hogar"/>
    <n v="0"/>
    <s v="Si"/>
    <s v="NO"/>
    <s v="NO"/>
    <m/>
    <n v="18505500"/>
    <s v="Si"/>
    <s v="Maria Juanita Cruz Zapata"/>
    <s v="Hermano / Hermana"/>
    <s v="21"/>
    <s v="Estudiante"/>
    <s v="Universidad de Antioquia"/>
    <n v="0"/>
    <s v="No"/>
    <s v=""/>
    <s v=""/>
    <s v=""/>
    <s v=""/>
    <s v=""/>
    <m/>
    <s v=""/>
    <s v=""/>
    <s v=""/>
    <s v=""/>
    <s v=""/>
    <s v=""/>
    <m/>
    <s v=""/>
    <m/>
    <n v="280000000"/>
    <n v="0"/>
    <n v="0"/>
    <n v="0"/>
    <n v="0"/>
    <s v="Si"/>
    <s v="Volkswagen"/>
    <s v="2023"/>
    <n v="70000000"/>
    <s v="No"/>
    <s v=""/>
    <s v=""/>
    <n v="0"/>
    <s v="No"/>
    <s v=""/>
    <s v=""/>
    <s v=""/>
    <n v="0"/>
    <m/>
    <n v="4"/>
    <n v="3"/>
    <n v="4"/>
    <n v="4"/>
    <n v="3"/>
    <n v="3"/>
    <n v="4"/>
    <n v="3"/>
    <n v="3"/>
    <n v="4"/>
    <n v="35"/>
    <s v="SI"/>
    <m/>
    <s v="SI, SON TEX, EN LUGAR DE NOTAS TIENEN PCA"/>
    <s v="ok tienen todos los datos"/>
    <e v="#N/A"/>
    <e v="#N/A"/>
    <m/>
    <n v="3"/>
    <n v="4"/>
    <n v="4"/>
    <n v="5"/>
    <n v="15"/>
    <n v="15"/>
    <n v="20"/>
    <n v="6"/>
    <n v="6.5"/>
    <n v="65.5"/>
    <n v="0.4"/>
    <m/>
    <n v="2"/>
    <n v="3.5"/>
    <n v="0"/>
    <n v="1"/>
    <n v="2"/>
    <n v="3"/>
    <n v="0"/>
    <n v="1"/>
    <n v="65"/>
    <n v="0.4"/>
    <s v="Negado"/>
    <e v="#N/A"/>
    <m/>
    <m/>
    <n v="0"/>
    <m/>
    <m/>
    <s v="Administración de Negocios"/>
    <e v="#N/A"/>
    <m/>
    <e v="#N/A"/>
  </r>
  <r>
    <s v="TI"/>
    <n v="1031652961"/>
    <s v="1000379806"/>
    <s v="ASSUL OSORIO GIRALDO"/>
    <s v="Transferencia Externa"/>
    <x v="1"/>
    <s v="No cumple, otros estudios de pregrado"/>
    <m/>
    <s v="En publico objetivo"/>
    <s v="2da Cohorte"/>
    <s v="Admitido"/>
    <s v="aosoriog3@eafit.edu.co"/>
    <s v="aosoriog3@eafit.edu.co"/>
    <s v="assulosorio@gmail.com"/>
    <s v="573237596315"/>
    <d v="2025-05-16T00:00:00"/>
    <s v="Activo en Programa"/>
    <s v="014-Ingeniería Mecánica"/>
    <s v="E Ciencias Aplic e Ingeniería"/>
    <d v="2007-06-22T00:00:00"/>
    <n v="18"/>
    <s v="Bogotá"/>
    <s v="Bogotá D.C."/>
    <s v="Mujer"/>
    <s v="Soltero"/>
    <s v="NO"/>
    <s v="NO"/>
    <n v="0"/>
    <s v="NO"/>
    <s v="NA"/>
    <s v="NO"/>
    <s v="NA"/>
    <s v="NO"/>
    <s v="NA"/>
    <s v="No"/>
    <s v="323/759-6315"/>
    <s v="573237596315"/>
    <s v="Estrato 3"/>
    <s v="CL 75 D SUR CR 50 C- 37"/>
    <s v="Antioquia"/>
    <s v="La Estrella"/>
    <s v="Si"/>
    <s v="Familiar"/>
    <s v="SI"/>
    <s v="2024"/>
    <s v="AC202435588538"/>
    <n v="333"/>
    <n v="67"/>
    <n v="67"/>
    <s v="Privada"/>
    <s v="COLEGIO UNIVERSIDAD PONTIFICIA"/>
    <n v="2024"/>
    <s v="Antioquia"/>
    <s v="Marinilla"/>
    <s v="BACHILLER"/>
    <n v="0"/>
    <s v="TIPO: Privada, INSTITUCION: COLEGIO UNIVERSIDAD PONTIFICIA, AÑO: 2024, CIUDAD: Marinilla, TITULO: BACHILLER"/>
    <n v="0"/>
    <n v="0"/>
    <s v="PCA TEX"/>
    <m/>
    <s v="4"/>
    <m/>
    <m/>
    <s v="3"/>
    <m/>
    <m/>
    <n v="3"/>
    <m/>
    <m/>
    <n v="3"/>
    <m/>
    <m/>
    <s v="4"/>
    <m/>
    <m/>
    <s v="3"/>
    <m/>
    <m/>
    <s v="4"/>
    <m/>
    <s v="Ver PCA TEX"/>
    <n v="4.4000000000000004"/>
    <s v="SI"/>
    <s v="TIPO: Privada, INSTITUCION: UNV. PONTIFICIA BOLIVARIANA, AÑO: 0, CIUDAD: Medellín, TITULO: INGENIERO MECANICO (Medellín)"/>
    <s v="PREGRADO"/>
    <s v=" TITULO: INGENIERO MECANICO (Medellín)"/>
    <s v="No"/>
    <n v="50"/>
    <m/>
    <n v="50"/>
    <m/>
    <n v="50"/>
    <m/>
    <m/>
    <n v="50"/>
    <s v="Con detalle por componente"/>
    <s v="Artísticas o culturales,Otras (por ejemplo, un talento extraordinario),Espacios de liderazgo o representación social"/>
    <s v="Aún recuerdo los días en que me emocionaba pasarle cualquier herramienta a mi papá, la sensación que me generaba escuchar un motor o simplemente admirar la belleza de aquel carro que siempre soñé. Crecí en un medio donde las llantas fueron mis primeros juguetes, los karts y la música siempre fueron parte de mí, son esencias que, aún sin tener conciencia de lo que eran, forjaron en mí, el mayor sueño de mi vida._x000a_Cada domingo despierto para ver la F1 y veo ahí a la Assul de mis sueños, me muero de ganas por tener la sensación de escuchar el himno colombiano parada en un podio de constructores y poder tener el honor de haber llegado tan lejos con mi país y con la universidad en la que me he visualizado por años;  crecer en una familia rodeada de artistas me ha hecho conectar mis habilidades,  el mundo automotriz y el musical para mí siempre van de la mano , son dos mundos diferentes pero que siempre estarán unidos por un mismo sentimiento ,encender un motor ,en donde la gente escucha ruido, yo escucho un compás, el sonido de las estacionarias marcan un ritmo que me ayuda a generar ideas , cuando piensas en manejar el carro de tus sueños , que canción escuchas de fondo?, quizá uno de los mejores recuerdos que tengas manejando sea, cantando una canción con tus amigos, o esa canción que escuchaste en la emisora que te hizo pensar en el, no saben cómo me gustaría que existiera un cinturón para mi guitarra._x000a_Se que con la beca podría saltar ese obstáculo económico o bache que se me presenta en el desarrollo de mis sueños, y poder inspirar a mas mujeres, de mi familia, entorno, barrio, a que luchen por sus sueños y nunca se rindan indiferente del medio, logrando así una estabilidad económica para sus familias y entorno."/>
    <s v="Estudiantes de EAFIT"/>
    <s v="Por la calidad académica."/>
    <s v="Vocación."/>
    <n v="3"/>
    <s v="1"/>
    <s v="NO"/>
    <s v="NO"/>
    <s v="Entre 1 y 2 millones"/>
    <s v="No"/>
    <n v="0"/>
    <n v="0"/>
    <m/>
    <s v="SI"/>
    <s v="Beca"/>
    <s v="SI"/>
    <s v="CANTANTE"/>
    <s v="cantante fin de semana"/>
    <s v="Si"/>
    <s v="JHON WILDER OSORIO CUARTAS"/>
    <s v="Unión marital"/>
    <s v="UNIVERSITARIOS"/>
    <s v="51"/>
    <s v="ADMINISTRADOR"/>
    <s v="Independiente (trabaja por cuenta propia)"/>
    <s v="Instalaciones Electricas y de Sonido"/>
    <s v="Labor Independiente"/>
    <n v="4500000"/>
    <s v="No"/>
    <s v="SI"/>
    <s v="SI"/>
    <s v="Actualmente mi papa y mi mama viven en Rionegro Antioquia y yo vivo en Medellin en la casa de una tía y viajo los fines de semana."/>
    <s v="Si"/>
    <s v="MARILU GIRALDO OSORIO"/>
    <s v="Unión marital"/>
    <s v="TÉCNICA"/>
    <s v="55"/>
    <s v="TECNICA SISTEMAS"/>
    <s v="Desempleado (Se encuentra en la búsqueda activa de empleo)"/>
    <s v="Labores del Hogar y en busqueda de Empleo"/>
    <s v="N/A"/>
    <n v="0"/>
    <s v="No"/>
    <s v="NO"/>
    <s v="NO"/>
    <s v="Actualmente mi papa y mi mama viven en Rionegro Antioquia y yo vivo en Medellin en la casa de una tía y viajo los fines de semana."/>
    <n v="4500000"/>
    <s v="Si"/>
    <s v="Claudia Giraldo Osorio"/>
    <s v="Tío / Tía"/>
    <s v="49"/>
    <s v="Empleada"/>
    <s v="DistriValvulas"/>
    <n v="1423500"/>
    <s v="Si"/>
    <s v="Andres Felipe Gonzales Giraldo"/>
    <s v="Primos"/>
    <s v="30"/>
    <s v="Empleado"/>
    <s v="MIC"/>
    <n v="1423500"/>
    <s v="Si"/>
    <s v="Maikol Soto Giraldo"/>
    <s v="Primos"/>
    <s v="17"/>
    <s v="Estudiante"/>
    <s v="Educando Itagüí"/>
    <n v="0"/>
    <s v="No"/>
    <s v="Actualmente vivo con mi tía y mis primos, que me cedieron un espacio en su casa para poder estudiar, ya que mis padres viven en Rionegro"/>
    <n v="0"/>
    <n v="0"/>
    <n v="0"/>
    <n v="0"/>
    <n v="0"/>
    <s v="Si"/>
    <s v="FORD"/>
    <s v="2007"/>
    <n v="15000000"/>
    <s v="No"/>
    <s v=""/>
    <s v=""/>
    <n v="0"/>
    <s v="No"/>
    <s v=""/>
    <s v=""/>
    <s v=""/>
    <n v="0"/>
    <m/>
    <n v="4"/>
    <n v="4"/>
    <n v="4"/>
    <n v="4"/>
    <n v="4"/>
    <n v="4"/>
    <n v="4"/>
    <n v="4"/>
    <n v="4"/>
    <n v="4"/>
    <n v="40"/>
    <s v="SI"/>
    <m/>
    <s v="SI, SON TEX, EN LUGAR DE NOTAS TIENEN PCA"/>
    <s v="ok tienen todos los datos"/>
    <s v="Negada"/>
    <n v="20251"/>
    <m/>
    <n v="3"/>
    <n v="10"/>
    <n v="8"/>
    <n v="10"/>
    <n v="15"/>
    <n v="15"/>
    <n v="20"/>
    <n v="17"/>
    <n v="15.5"/>
    <n v="85.5"/>
    <n v="0.4"/>
    <m/>
    <n v="2"/>
    <n v="3.5"/>
    <n v="6"/>
    <n v="4"/>
    <n v="2"/>
    <n v="3.5"/>
    <n v="7"/>
    <n v="4.5"/>
    <n v="85"/>
    <n v="0.6"/>
    <n v="0.6"/>
    <e v="#N/A"/>
    <m/>
    <m/>
    <n v="0"/>
    <m/>
    <m/>
    <s v="Ingeniería Mecánica"/>
    <e v="#N/A"/>
    <s v="014"/>
    <e v="#N/A"/>
  </r>
  <r>
    <s v="CC"/>
    <n v="1031940510"/>
    <s v="1000406656"/>
    <s v="JUAN JOSÉ LÓPEZ JARAMILLO"/>
    <s v="Transferencia Externa"/>
    <x v="1"/>
    <s v="No cumple, otros estudios de pregrado"/>
    <m/>
    <s v="En publico objetivo"/>
    <s v="3ra Cohorte"/>
    <s v="Admitido"/>
    <s v="jjlopezj@eafit.edu.co"/>
    <e v="#N/A"/>
    <s v="juanjolopezjaramillo25@gmail.com"/>
    <s v="573126968436"/>
    <d v="2025-05-30T00:00:00"/>
    <s v="Activo en Programa"/>
    <s v="001-Administración de Negocios"/>
    <s v="Escuela de Administración"/>
    <d v="2006-05-25T00:00:00"/>
    <n v="19"/>
    <s v="Antioquia"/>
    <s v="Medellín"/>
    <s v="Hombre"/>
    <s v="Soltero"/>
    <s v="NO"/>
    <s v="NO"/>
    <n v="0"/>
    <s v="NO"/>
    <s v="NA"/>
    <s v="NO"/>
    <s v="NA"/>
    <s v="NO"/>
    <s v="NA"/>
    <s v="No"/>
    <s v="312/696-8436"/>
    <s v="573126968436"/>
    <s v="Estrato 3"/>
    <s v="CL 82 45 49 IN 301"/>
    <s v="Antioquia"/>
    <s v="Medellín"/>
    <s v="No aplica, no soy foráneo"/>
    <s v="Familiar"/>
    <s v="SI"/>
    <s v="2023"/>
    <s v="AC202340101386"/>
    <n v="346"/>
    <n v="73"/>
    <n v="71"/>
    <s v="Privada"/>
    <s v="COL AGUSTINIANO DE SAN NICOLAS"/>
    <n v="2023"/>
    <s v="Antioquia"/>
    <s v="Medellín"/>
    <s v="BACHILLER"/>
    <s v="ACAD"/>
    <s v="TIPO: Privada, INSTITUCION: COL AGUSTINIANO DE SAN NICOLAS, AÑO: 2023, CIUDAD: Medellín, TITULO: BACHILLER"/>
    <n v="0"/>
    <n v="0"/>
    <s v="PCA TEX"/>
    <m/>
    <m/>
    <m/>
    <m/>
    <m/>
    <m/>
    <m/>
    <m/>
    <m/>
    <m/>
    <m/>
    <m/>
    <m/>
    <m/>
    <m/>
    <m/>
    <m/>
    <m/>
    <m/>
    <m/>
    <m/>
    <s v="Sin informacion"/>
    <n v="0"/>
    <s v="SI"/>
    <s v="TIPO: Pública, INSTITUCION: UNIVERSIDAD DE ANTIOQUIA, AÑO: 0, CIUDAD: Medellín, TITULO: POLITÓLOGO (Medellín)"/>
    <s v="PREGRADO"/>
    <s v=" TITULO: POLITÓLOGO (Medellín)"/>
    <s v="No"/>
    <n v="50"/>
    <m/>
    <n v="45"/>
    <m/>
    <n v="50"/>
    <m/>
    <s v="Tiene 19 años, le gusta la política hace parte de coordinador de juventudes del centro democrático, estudia en la udea a ciencias políticas tiene dos microempresas una de ropa y otra de carpinteria y es por esta razón que prefiere administración y EAFIT por su enfoque y los profesionales que conoce en el medio.  sin reconocimiento de materias"/>
    <n v="48.333333333333336"/>
    <s v="Con detalle por componente"/>
    <s v="Espacios de liderazgo o representación social"/>
    <s v="Desde que soy muy pequeño he sentido una vocación clara por liderar, emprender y servirle a la gente. Soy paisa y creo profundamente en la transformación desde el esfuerzo, la disciplina y el amor por lo de nosotros. Estudiar Administración de Negocios en EAFIT representa para mí la oportunidad de crear una base sólida para liderar empresas que no solo generen empleo, sino que impacten positivamente esta región y el país._x000a__x000a_Actualmente estoy creando una empresa de reformas y mobiliario, y he entendido que el conocimiento es clave para profesionalizar lo que uno hace. En EAFIT quiero adquirir herramientas para escalar esta empresa, crear procesos más eficientes y abrir nuevas oportunidades para otras personas como yo, que sueñan con crecer pero muchas veces no encuentran el camino._x000a__x000a_Además, tengo un propósito claro a futuro: servir desde la política. Trabajo con el Centro Democrático y creo en una Colombia que valore el trabajo honesto, la propiedad privada y el desarrollo regional. Desde la administración, quiero entender mejor cómo funciona el sector productivo para tomar decisiones más justas y aterrizadas el día que llegue a cargos públicos._x000a__x000a_Con esta beca no solo estaría transformando mi vida, sino la de muchos que sueñan conmigo. Porque cuando uno crece con propósito, el crecimiento es colectivo. Esta oportunidad sería el primer paso de muchos hacia esa transformación."/>
    <s v="Página WEB"/>
    <s v="Por la calidad académica."/>
    <s v="Nivel académico de docentes."/>
    <n v="3"/>
    <s v="1"/>
    <s v="SI"/>
    <s v="NO"/>
    <s v="Entre 3 y 4 millones"/>
    <s v="No"/>
    <s v="NO"/>
    <s v="NO"/>
    <m/>
    <s v="SI"/>
    <s v="Patrocinio empresarial"/>
    <s v="NO"/>
    <s v=""/>
    <s v=""/>
    <s v="Sin información"/>
    <n v="0"/>
    <m/>
    <m/>
    <m/>
    <s v=""/>
    <s v=""/>
    <m/>
    <s v=""/>
    <m/>
    <s v=""/>
    <m/>
    <m/>
    <s v="Sé quién es, pero desconozco su información y no aporta económica ni emocionalmente a mi vida"/>
    <s v="Si"/>
    <s v="Jennifer Andrea Jaramillo Gallego"/>
    <s v="Unión marital"/>
    <s v="UNIVERSITARIOS"/>
    <s v="36"/>
    <s v="Psicóloga"/>
    <s v="Labores del hogar y cuidado"/>
    <s v="NA"/>
    <s v="NA"/>
    <n v="900000"/>
    <s v="Si"/>
    <s v="NO"/>
    <s v="NO"/>
    <s v="Es quien se encarga de las labores domésticas en el hogar, se encuentra actualmente desempleada en búsqueda de trabajo activamente. Sus ingresos provienen del alquiler de su casa"/>
    <n v="900000"/>
    <s v="Si"/>
    <s v="William Vásquez Avendaño"/>
    <s v="PADRASTRO"/>
    <s v="46"/>
    <s v="Comunicador Social"/>
    <s v="Universidad de Antioquia"/>
    <n v="4368991"/>
    <s v="Si"/>
    <s v=""/>
    <s v=""/>
    <s v=""/>
    <s v=""/>
    <s v=""/>
    <m/>
    <s v=""/>
    <s v=""/>
    <s v=""/>
    <s v=""/>
    <s v=""/>
    <s v=""/>
    <m/>
    <s v=""/>
    <s v=""/>
    <n v="90000000"/>
    <n v="0"/>
    <n v="0"/>
    <n v="0"/>
    <n v="0"/>
    <s v="Si"/>
    <s v="Kia picanto"/>
    <s v="2020"/>
    <n v="38000000"/>
    <s v="No"/>
    <s v=""/>
    <s v=""/>
    <n v="0"/>
    <s v="No"/>
    <s v=""/>
    <s v=""/>
    <s v=""/>
    <n v="0"/>
    <s v="El vehículo pertenece a mi padrastro, y la casa a mi madre la casa está ubicada en el barrio Manrique."/>
    <n v="4"/>
    <n v="4"/>
    <n v="3"/>
    <n v="4"/>
    <n v="3"/>
    <n v="4"/>
    <n v="4"/>
    <n v="4"/>
    <n v="3"/>
    <n v="4"/>
    <n v="37"/>
    <s v="SI"/>
    <s v="SI, PROMEDIO"/>
    <s v="ES TEX, SIN NOTAS NI PCA"/>
    <s v="ok no darles punto por notas ni pca"/>
    <e v="#N/A"/>
    <e v="#N/A"/>
    <m/>
    <n v="3"/>
    <n v="10"/>
    <n v="8"/>
    <n v="10"/>
    <n v="0"/>
    <n v="15"/>
    <n v="20"/>
    <n v="16.5"/>
    <n v="16.5"/>
    <n v="71.5"/>
    <n v="0.5"/>
    <m/>
    <n v="2"/>
    <n v="3.5"/>
    <n v="8"/>
    <n v="3"/>
    <n v="2"/>
    <n v="3.5"/>
    <n v="8"/>
    <n v="3"/>
    <n v="69.5"/>
    <n v="0.5"/>
    <n v="0.4"/>
    <e v="#N/A"/>
    <m/>
    <m/>
    <s v="SI, PROMEDIO"/>
    <m/>
    <m/>
    <s v="Administración de Negocios"/>
    <e v="#N/A"/>
    <s v="001"/>
    <e v="#N/A"/>
  </r>
  <r>
    <s v="CC"/>
    <n v="1031940623"/>
    <s v="1000368649"/>
    <s v="SOFIA GOMEZ RESTREPO"/>
    <s v="Estudios por primera vez"/>
    <x v="1"/>
    <s v="No cumple, estrato 4"/>
    <m/>
    <s v="En publico objetivo"/>
    <s v="2da Cohorte"/>
    <s v="Admitido"/>
    <s v="sgomezr22@eafit.edu.co"/>
    <s v="sgomezr22@eafit.edu.co"/>
    <s v="sofiagomezr0510@gmail.com"/>
    <s v="+573002386513"/>
    <d v="2025-05-16T00:00:00"/>
    <s v="Activo en Programa"/>
    <s v="002-Negocios Internacionales"/>
    <s v="Escuela de Administración"/>
    <d v="2006-10-05T00:00:00"/>
    <n v="19"/>
    <s v="Antioquia"/>
    <s v="Medellín"/>
    <s v="Mujer"/>
    <s v="Soltero"/>
    <s v="NO"/>
    <s v="NO"/>
    <n v="0"/>
    <s v="NO"/>
    <s v="NA"/>
    <s v="NO"/>
    <s v="NA"/>
    <s v="NO"/>
    <s v="NA"/>
    <s v="No"/>
    <s v="235-4393"/>
    <s v="+573002386513"/>
    <s v="Estrato 4"/>
    <s v="CR 82 A #27 A 35"/>
    <s v="Antioquia"/>
    <s v="Medellín"/>
    <s v="No aplica, no soy foráneo"/>
    <s v="Propio"/>
    <s v="SI"/>
    <s v="2024"/>
    <s v="AC202433411634"/>
    <n v="377"/>
    <n v="68"/>
    <n v="77"/>
    <s v="Privada"/>
    <s v="COL SAN JOSE DE LAS VEGAS"/>
    <n v="2024"/>
    <s v="Antioquia"/>
    <s v="Medellín"/>
    <s v="BACHILLER"/>
    <s v="ACAD"/>
    <s v="TIPO: Privada, INSTITUCION: COL SAN JOSE DE LAS VEGAS, AÑO: 2024, CIUDAD: Medellín, TITULO: BACHILLER"/>
    <s v="11"/>
    <s v="Escala de 0 - 5"/>
    <s v="Escala de 0 - 5"/>
    <s v="4,2"/>
    <s v="4,6"/>
    <m/>
    <s v="3,9"/>
    <s v="3,7"/>
    <m/>
    <n v="4.0999999999999996"/>
    <n v="3.9"/>
    <m/>
    <n v="4.3"/>
    <n v="4.5"/>
    <m/>
    <s v="4,5"/>
    <s v="4,7"/>
    <m/>
    <s v="5"/>
    <s v="4,8"/>
    <m/>
    <s v="4,4"/>
    <s v="4,5"/>
    <m/>
    <s v="De 9 y 10"/>
    <n v="4.2"/>
    <s v="NO"/>
    <s v="NA"/>
    <n v="0"/>
    <n v="0"/>
    <s v="No"/>
    <n v="50"/>
    <m/>
    <n v="45"/>
    <m/>
    <n v="45"/>
    <m/>
    <m/>
    <n v="46.666666666666664"/>
    <s v="Con detalle por componente"/>
    <s v="Artísticas o culturales,Espacios de liderazgo o representación social,Trabajo social o comunitario"/>
    <s v="En un futuro, como negociadora internacional, me veo haciéndole conocer al mundo qué es Colombia, y especialmente, qué es realmente Medellín. Al ser una negociadora internacional, relacionándome con diversas culturas y partes del mundo, y con la ayuda de la beca, me veo impulsando pequeñas empresas o emprendimientos colombianos a que crezcan y vean realmente los frutos de su esfuerzo, que sea un buen sustento para las personas involucradas en ellas, y me veo expandiendo horizontes y llevándolas a todo el mundo, para transformar el concepto que se tiene sobre Colombia y especialmente, de mi ciudad, Medellín, y para que tantas personas, así como yo, cumplan ese sueño de ser ciudadanos del mundo. De la misma forma, me gustaría más adelante, después de haber hecho esto, tener mi propia empresa, con mi familia, especialmente me imagino teniendo un hotel, que desde pequeña ha sido mi sueño. Un lugar para que las personas se sientan como si estuvieran en casa, aún estando en Medellín, y mostrarles un poco de la maravillosa cultura, y, por supuesto, luego me gustaría tener una cadena de hoteles en distintas partes del mundo. Ejerciendo esta profesión, no me imagino encasillándome en una sola cosa, también me imagino trabajando en aduanas y gobierno puesto que el derecho internacional (y aduanero) siempre me han llamado mucho la atención, ayudando a las personas a poder exportar sus productos de la manera correcta, pero también me imagino en un área de negocios con mercadeo, creando cosas innovadoras y diferentes que dejen asombradas a las personas. Me imagino sabiendo muchos idiomas (que actualmente estoy en proceso del tercero), y negocios di con diferentes personas para llevar la bandera de mi país y mi origen en alto, y así, transformar realidades de muchas personas, para que puedan seguir adelante con sus negocios."/>
    <s v="A través del Colegio"/>
    <s v="Por la calidad académica."/>
    <s v="Vocación."/>
    <n v="2"/>
    <s v="0"/>
    <s v="SI"/>
    <s v="NO"/>
    <s v="Entre 3 y 4 millones"/>
    <s v="No"/>
    <n v="0"/>
    <n v="0"/>
    <m/>
    <s v="SI"/>
    <s v="Beca"/>
    <s v="NO"/>
    <s v=""/>
    <s v=""/>
    <s v="Si"/>
    <s v="Hugo Hernán Gómez Gómez"/>
    <s v="Soltero"/>
    <s v="ESPECIALIZACIÓN"/>
    <s v="59"/>
    <s v="Biólogo marino y abogado"/>
    <s v="Empleado (con contrato laboral)"/>
    <s v="Abogado asesor"/>
    <s v="Gómez y Gómez Abogados"/>
    <n v="2500000"/>
    <s v="Si"/>
    <s v="NO"/>
    <s v="NO"/>
    <s v=""/>
    <s v="Si"/>
    <s v="Claudia Isabel Restrepo Salazar"/>
    <s v="Casado"/>
    <s v="UNIVERSITARIOS"/>
    <s v="54"/>
    <s v="Licenciada en educación preescolar"/>
    <s v="Desempleado (Se encuentra en la búsqueda activa de empleo)"/>
    <s v="Ninguno"/>
    <s v="NO APLICA"/>
    <n v="0"/>
    <s v="Si"/>
    <s v="NO"/>
    <s v="NO"/>
    <m/>
    <n v="2500000"/>
    <s v="No, solo vivo con mis padres"/>
    <s v=""/>
    <s v=""/>
    <s v=""/>
    <s v=""/>
    <s v=""/>
    <m/>
    <s v=""/>
    <s v=""/>
    <s v=""/>
    <s v=""/>
    <s v=""/>
    <s v=""/>
    <m/>
    <s v=""/>
    <s v=""/>
    <s v=""/>
    <s v=""/>
    <s v=""/>
    <s v=""/>
    <m/>
    <s v=""/>
    <s v=""/>
    <n v="0"/>
    <n v="197982000"/>
    <n v="0"/>
    <n v="0"/>
    <n v="0"/>
    <s v="No"/>
    <s v=""/>
    <s v=""/>
    <n v="0"/>
    <s v="No"/>
    <s v=""/>
    <s v=""/>
    <n v="0"/>
    <s v="No"/>
    <s v=""/>
    <s v=""/>
    <s v=""/>
    <n v="0"/>
    <m/>
    <n v="4"/>
    <n v="4"/>
    <n v="4"/>
    <n v="4"/>
    <n v="4"/>
    <n v="4"/>
    <n v="4"/>
    <n v="4"/>
    <n v="3"/>
    <n v="4"/>
    <n v="39"/>
    <s v="SI"/>
    <m/>
    <s v="SI, SON PRI"/>
    <s v="ok tienen todos los datos"/>
    <e v="#N/A"/>
    <e v="#N/A"/>
    <m/>
    <n v="3"/>
    <n v="4"/>
    <n v="4"/>
    <n v="15"/>
    <n v="15"/>
    <n v="15"/>
    <n v="20"/>
    <n v="14.5"/>
    <n v="14.5"/>
    <n v="83.5"/>
    <n v="0.4"/>
    <m/>
    <n v="2"/>
    <n v="2.5"/>
    <n v="8"/>
    <n v="2"/>
    <n v="2"/>
    <n v="2.5"/>
    <n v="8"/>
    <n v="2"/>
    <n v="83.5"/>
    <n v="0.5"/>
    <n v="0.5"/>
    <e v="#N/A"/>
    <m/>
    <m/>
    <n v="0"/>
    <m/>
    <m/>
    <s v="Negocios Internacionales"/>
    <e v="#N/A"/>
    <s v="002"/>
    <e v="#N/A"/>
  </r>
  <r>
    <s v="CC"/>
    <n v="1031940645"/>
    <s v="1000404499"/>
    <s v="VIOLETA ESPINAL HERNANDEZ"/>
    <s v="Estudios por primera vez"/>
    <x v="1"/>
    <s v="Descartado por ingresos altos"/>
    <m/>
    <s v="En publico objetivo"/>
    <s v="2da Cohorte"/>
    <s v="Admitido"/>
    <s v="vespinalh@eafit.edu.co"/>
    <e v="#N/A"/>
    <s v="violetaespinal06@gmail.com"/>
    <s v="573043309269"/>
    <d v="2025-05-16T00:00:00"/>
    <s v="Activo en Programa"/>
    <s v="085-Ingeniería Diseño de Producto"/>
    <s v="E Ciencias Aplic e Ingeniería"/>
    <d v="2006-10-19T00:00:00"/>
    <n v="19"/>
    <s v="Antioquia"/>
    <s v="Medellín"/>
    <s v="Mujer"/>
    <s v="Soltero"/>
    <s v="NO"/>
    <s v="NO"/>
    <n v="0"/>
    <s v="NO"/>
    <s v="NA"/>
    <s v="NO"/>
    <s v="NA"/>
    <s v="NO"/>
    <s v="NA"/>
    <s v="No"/>
    <s v="304/330-9269"/>
    <s v="573043309269"/>
    <s v="Estrato 3"/>
    <s v="LA ESTRELLA"/>
    <s v="Antioquia"/>
    <s v="La Estrella"/>
    <s v="No aplica, no soy foráneo"/>
    <s v="Propio"/>
    <s v="SI"/>
    <s v="2024"/>
    <s v="AC202430965400"/>
    <n v="367"/>
    <n v="75"/>
    <n v="72"/>
    <s v="Privada"/>
    <s v="COLEGIO ANTONINO"/>
    <n v="2024"/>
    <s v="Antioquia"/>
    <s v="La Estrella"/>
    <s v="BACHILLER"/>
    <s v="ACAD"/>
    <s v="TIPO: Privada, INSTITUCION: COLEGIO ANTONINO, AÑO: 2024, CIUDAD: La Estrella, TITULO: BACHILLER"/>
    <s v="11"/>
    <s v="Escala de 0 - 5"/>
    <s v="Escala de 0 - 5"/>
    <s v="4,5"/>
    <s v="4,5"/>
    <m/>
    <s v="4,6"/>
    <s v="4,6"/>
    <m/>
    <n v="4.5"/>
    <n v="4.4000000000000004"/>
    <m/>
    <n v="4.5"/>
    <n v="4.5"/>
    <m/>
    <s v="4,5"/>
    <s v="4,8"/>
    <m/>
    <s v="4,7"/>
    <s v="4,7"/>
    <m/>
    <s v="4,8"/>
    <s v="4,6"/>
    <m/>
    <s v="De 9 y 10"/>
    <n v="4.4749999999999996"/>
    <s v="NO"/>
    <s v="NA"/>
    <n v="0"/>
    <n v="0"/>
    <s v="No"/>
    <n v="50"/>
    <m/>
    <n v="50"/>
    <m/>
    <n v="50"/>
    <m/>
    <s v="Admitida al programa que se inscribió"/>
    <n v="50"/>
    <s v="Con detalle por componente"/>
    <s v="Artísticas o culturales"/>
    <s v="En el proceso de exploración sobre mi futuro profesional me encontré con la ingeniería en diseño de producto en la universidad EAFIT, me identifiqué con esta carrera y esta universidad al descubrir que tenía la mezcla perfecta entre la solución de problemas, la tecnología y las ciencias exactas junto con el arte, el diseño y la estética. Desde una enseñanza práctica y vivencial me abre la posibilidad de cambiar el entorno en que vivo desde un punto de vista estético, pero también funcional, buscando generar aportes significativos al ambiente en el que me desenvuelvo._x000a__x000a_Como futura ingeniera en diseño de producto mi objetivo es mejorar la calidad de vida de las personas, con productos estéticos, funcionales y sostenibles, teniendo en cuenta el contexto, y priorizando que mi creación tenga un propósito y una influencia positiva en el mundo al mismo tiemplo contemplando el hiper consumismo que existe hoy en día, no creando objetos incensarios, que por el contrario contribuyan a la mejora y el avance de la sociedad. _x000a__x000a_Por este motivo, considero que ser beneficiaria de la beca me permitiría acceder a una educación de calidad y con proyección no solo a nivel nacional sino también internacional, lo que me daría una visión más amplia e integral a la hora de brindar soluciones que beneficien a la humanidad._x000a__x000a_Es necesario contar con el apoyo de la beca, ya que, la situación económica de mi familia es compleja, pues mi madre se encuentra desempleada, quedando mi padre como el único y principal proveedor del hogar, lo cual hace que esta oportunidad sea muy significativa para mí, gracias a su ayuda podría enfocarme en mi formación académica y desarrollar todo mi potencial impactando de manera positiva a todos los que me rodean. _x000a__x000a_Muchas gracias por considerarme como candidata para la beca."/>
    <s v="Redes sociales"/>
    <s v="Por la oferta académica."/>
    <s v="Vocación."/>
    <n v="2"/>
    <s v="0"/>
    <s v="SI"/>
    <s v="NO"/>
    <s v="Entre 6 y 7 millones"/>
    <s v="No"/>
    <s v="NO"/>
    <s v="SI"/>
    <s v="Crédito entidad externa"/>
    <s v="SI"/>
    <s v="Beca"/>
    <s v="NO"/>
    <s v=""/>
    <s v=""/>
    <s v="Si"/>
    <s v="José Silverio Espinal Bedoya"/>
    <s v="Unión marital"/>
    <s v="UNIVERSITARIOS"/>
    <s v="51"/>
    <s v="Psicólogo"/>
    <s v="Empleado (con contrato laboral)"/>
    <s v="Jefe de la División Técnica"/>
    <s v="Corporación Surgir"/>
    <n v="7075000"/>
    <s v="Si"/>
    <s v="NO"/>
    <s v="NO"/>
    <s v=""/>
    <s v="Si"/>
    <s v="Elizabeth Hernández Hincapié"/>
    <s v="Unión marital"/>
    <s v="UNIVERSITARIOS"/>
    <s v="48"/>
    <s v="Psicóloga"/>
    <s v="Desempleado (Se encuentra en la búsqueda activa de empleo)"/>
    <s v="Desempleada"/>
    <s v="Desempleada"/>
    <n v="0"/>
    <s v="Si"/>
    <s v="NO"/>
    <s v="NO"/>
    <s v="Varios años de experiencia laboral pero la gran mayoría han sido con contrato por prestación de servicios en el sector público, los cuales se dan sin continuidad, afectando la estabilidad laboral y por ende la situación financiera de la familia."/>
    <n v="7075000"/>
    <s v="No, solo vivo con mis padres"/>
    <s v=""/>
    <s v=""/>
    <s v=""/>
    <s v=""/>
    <s v=""/>
    <m/>
    <s v=""/>
    <s v=""/>
    <s v=""/>
    <s v=""/>
    <s v=""/>
    <s v=""/>
    <m/>
    <s v=""/>
    <s v=""/>
    <s v=""/>
    <s v=""/>
    <s v=""/>
    <s v=""/>
    <m/>
    <s v=""/>
    <s v=""/>
    <n v="320000000"/>
    <n v="0"/>
    <n v="0"/>
    <n v="0"/>
    <n v="0"/>
    <s v="No"/>
    <s v=""/>
    <s v=""/>
    <n v="0"/>
    <s v="No"/>
    <s v=""/>
    <s v=""/>
    <n v="0"/>
    <s v="Si"/>
    <s v="Moto"/>
    <s v="Honda"/>
    <s v="2015"/>
    <n v="3000000"/>
    <s v="Crédito hipotecario vigente"/>
    <n v="4"/>
    <n v="4"/>
    <n v="4"/>
    <n v="4"/>
    <n v="4"/>
    <n v="4"/>
    <n v="4"/>
    <n v="4"/>
    <n v="4"/>
    <n v="4"/>
    <n v="40"/>
    <s v="SI"/>
    <m/>
    <s v="SI, SON PRI"/>
    <s v="ok tienen todos los datos"/>
    <e v="#N/A"/>
    <e v="#N/A"/>
    <m/>
    <n v="3"/>
    <n v="10"/>
    <n v="8"/>
    <n v="15"/>
    <n v="15"/>
    <n v="15"/>
    <n v="20"/>
    <n v="6.5"/>
    <n v="6.5"/>
    <n v="81.5"/>
    <n v="0.4"/>
    <m/>
    <n v="2"/>
    <n v="2.5"/>
    <n v="1"/>
    <n v="1"/>
    <n v="2"/>
    <n v="2.5"/>
    <n v="1"/>
    <n v="1"/>
    <n v="79.5"/>
    <n v="0.4"/>
    <n v="0.4"/>
    <e v="#N/A"/>
    <m/>
    <m/>
    <n v="0"/>
    <m/>
    <m/>
    <s v="Ingeniería Diseño de Producto"/>
    <e v="#N/A"/>
    <s v="085"/>
    <e v="#N/A"/>
  </r>
  <r>
    <s v="CC"/>
    <n v="1031940685"/>
    <s v="1000399121"/>
    <s v="MARIANA MUÑOZ OSPINA"/>
    <s v="Estudios por primera vez"/>
    <x v="1"/>
    <s v="Descartado por ingresos altos"/>
    <m/>
    <s v="En publico objetivo"/>
    <s v="2da Cohorte"/>
    <s v="Admitido"/>
    <s v="mmunozo3@eafit.edu.co"/>
    <s v="mmunozo3@eafit.edu.co"/>
    <s v="maribu2006@gmail.com"/>
    <s v="573160502096"/>
    <d v="2025-05-16T00:00:00"/>
    <s v="Activo en Programa"/>
    <s v="010-Ingeniería de Sistemas"/>
    <s v="E Ciencias Aplic e Ingeniería"/>
    <d v="2006-11-20T00:00:00"/>
    <n v="19"/>
    <s v="Antioquia"/>
    <s v="Medellín"/>
    <s v="Mujer"/>
    <s v="Soltero"/>
    <s v="NO"/>
    <s v="NO"/>
    <n v="0"/>
    <s v="NO"/>
    <s v="NA"/>
    <s v="NO"/>
    <s v="NA"/>
    <s v="NO"/>
    <s v="NA"/>
    <s v="No"/>
    <s v="316/050-2096"/>
    <s v="573160502096"/>
    <s v="Estrato 3"/>
    <s v="CR 24 C 41 SUR 151"/>
    <s v="Antioquia"/>
    <s v="Envigado"/>
    <s v="No aplica, no soy foráneo"/>
    <s v="Arriendo"/>
    <s v="SI"/>
    <s v="2023"/>
    <s v="AC202345823406"/>
    <n v="336"/>
    <n v="63"/>
    <n v="66"/>
    <s v="Privada"/>
    <s v="COLEGIO LA SALLE ENVIGADO"/>
    <n v="2023"/>
    <s v="Antioquia"/>
    <s v="Envigado"/>
    <s v="BACHILLER"/>
    <s v="ACAD"/>
    <s v="TIPO: Privada, INSTITUCION: COLEGIO LA SALLE ENVIGADO, AÑO: 2023, CIUDAD: Envigado, TITULO: BACHILLER"/>
    <s v="11"/>
    <s v="Escala de 0 - 5"/>
    <s v="Escala de 0 - 5"/>
    <s v="3,5"/>
    <s v="3,6"/>
    <m/>
    <s v="4,5"/>
    <s v="3,4"/>
    <m/>
    <n v="4"/>
    <n v="4"/>
    <m/>
    <n v="4"/>
    <n v="4"/>
    <m/>
    <s v="4,5"/>
    <s v="5"/>
    <m/>
    <s v="4"/>
    <s v="4"/>
    <m/>
    <s v="4"/>
    <s v="3,6"/>
    <m/>
    <s v="De 9 y 10"/>
    <n v="4"/>
    <s v="NO"/>
    <s v="NA"/>
    <n v="0"/>
    <n v="0"/>
    <s v="No"/>
    <n v="40"/>
    <m/>
    <n v="45"/>
    <m/>
    <n v="45"/>
    <m/>
    <s v="La estudiante se graduó en 2023 y está aplicando a una de las becas de la universidad, tiene conocimiento del pregrado y se nota su decisión por estudiar este.  Buen desenvolvimiento en la entrevista"/>
    <n v="43.333333333333336"/>
    <s v="Con detalle por componente"/>
    <s v="Deportistas de alto rendimiento o representativo,Artísticas o culturales"/>
    <s v="Ser ingeniera de sistemas para mí representa ayudar a las comunidades de bajos recursos a llevarle soluciones digitales de acuerdo a sus necesidades, en Colombia tenemos regiones que todavía no tienen la manera de comunicarse con el mundo exterior y es un problema al que dándole una solución se promueve la equidad tecnológica y mejoría de la calidad de vida. Aunque el valle de aburra es una región que no carece de esta digitalización me parece importante la colaboración con personas que no tienen cómo acceder a los diversos sistemas tecnológicos de noticias, ayudas del gobierno por falta de información por los canales de comunicación. Mi objetivo es liderar proyectos de transformación digital en mi comunidad, especialmente en zonas rurales o con acceso limitado a la tecnología. Quiero impulsar iniciativas de educación digital, automatización de servicios públicos y desarrollo de aplicaciones accesibles que respondan a necesidades locales, como la salud, la educación o el emprendimiento."/>
    <s v="Estudiantes de EAFIT"/>
    <s v="Por la oferta académica."/>
    <s v="Alta proyección de ingresos."/>
    <n v="1"/>
    <s v="0"/>
    <s v="SI"/>
    <s v="NO"/>
    <s v="Entre 4 y 5 millones"/>
    <s v="Si"/>
    <n v="0"/>
    <n v="0"/>
    <m/>
    <s v="SI"/>
    <s v="Beca"/>
    <s v="NO"/>
    <s v=""/>
    <s v=""/>
    <s v="Si"/>
    <s v="Ulrich Hermes Muñoz"/>
    <s v="Soltero"/>
    <s v="UNIVERSITARIOS"/>
    <s v="54"/>
    <s v="Guía turístico"/>
    <s v="Trabajador informal"/>
    <s v="Guía y transportador"/>
    <s v="Guanábana Tours"/>
    <n v="1000000"/>
    <s v="No"/>
    <s v="NO"/>
    <s v="NO"/>
    <s v=""/>
    <s v="Si"/>
    <s v="María Catalina Ospina García"/>
    <s v="Soltero"/>
    <s v="TECNOLOGÍA"/>
    <s v="41"/>
    <s v="Directora Comercial"/>
    <s v="Empleado (con contrato laboral)"/>
    <s v="Directora de Sala de ventas"/>
    <s v="Gsa"/>
    <n v="4500000"/>
    <s v="Si"/>
    <s v="NO"/>
    <s v="NO"/>
    <m/>
    <n v="5500000"/>
    <s v="No, solo vivo con mis padres"/>
    <s v=""/>
    <s v=""/>
    <s v=""/>
    <s v=""/>
    <s v=""/>
    <m/>
    <s v=""/>
    <s v=""/>
    <s v=""/>
    <s v=""/>
    <s v=""/>
    <s v=""/>
    <m/>
    <s v=""/>
    <s v=""/>
    <s v=""/>
    <s v=""/>
    <s v=""/>
    <s v=""/>
    <m/>
    <s v=""/>
    <s v=""/>
    <n v="0"/>
    <n v="0"/>
    <n v="0"/>
    <n v="0"/>
    <n v="0"/>
    <s v="Si"/>
    <s v="FORD"/>
    <s v="2008"/>
    <n v="29000000"/>
    <s v="No"/>
    <s v=""/>
    <s v=""/>
    <n v="0"/>
    <s v="No"/>
    <s v=""/>
    <s v=""/>
    <s v=""/>
    <n v="0"/>
    <m/>
    <n v="4"/>
    <n v="4"/>
    <n v="3"/>
    <n v="4"/>
    <n v="4"/>
    <n v="4"/>
    <n v="4"/>
    <n v="4"/>
    <n v="4"/>
    <n v="4"/>
    <n v="39"/>
    <s v="SI"/>
    <m/>
    <s v="SI, SON PRI"/>
    <s v="ok tienen todos los datos"/>
    <e v="#N/A"/>
    <e v="#N/A"/>
    <m/>
    <n v="3"/>
    <n v="10"/>
    <n v="8"/>
    <n v="10"/>
    <n v="15"/>
    <n v="15"/>
    <n v="15"/>
    <n v="16.5"/>
    <n v="13.5"/>
    <n v="78.5"/>
    <n v="0.4"/>
    <m/>
    <n v="2"/>
    <n v="4.5"/>
    <n v="3"/>
    <n v="4"/>
    <n v="2"/>
    <n v="4"/>
    <n v="6"/>
    <n v="4.5"/>
    <n v="79.5"/>
    <n v="0.5"/>
    <n v="0.5"/>
    <e v="#N/A"/>
    <m/>
    <m/>
    <n v="0"/>
    <m/>
    <m/>
    <s v="Ingeniería de Sistemas"/>
    <e v="#N/A"/>
    <s v="010"/>
    <e v="#N/A"/>
  </r>
  <r>
    <s v="TI"/>
    <n v="1031940871"/>
    <s v="1000399878"/>
    <s v="LUCIANA GUTIÉRREZ RINCÓN"/>
    <s v="Estudios por primera vez"/>
    <x v="1"/>
    <s v="No cumple, puntaje ICFES menor a 300"/>
    <m/>
    <s v="En publico objetivo"/>
    <s v="1er Cohorte"/>
    <s v="Admitido"/>
    <s v="lgutierrr1@eafit.edu.co"/>
    <s v="lgutierrr1@eafit.edu.co"/>
    <s v="lucigutierrez2020@gmail.com"/>
    <s v="573108352080"/>
    <d v="2025-04-25T00:00:00"/>
    <s v="Activo en Programa"/>
    <s v="169-Mercadeo"/>
    <s v="Escuela de Administración"/>
    <d v="2007-05-25T00:00:00"/>
    <n v="18"/>
    <s v="Antioquia"/>
    <s v="Medellín"/>
    <s v="Mujer"/>
    <s v="Soltero"/>
    <s v="NO"/>
    <s v="NO"/>
    <n v="0"/>
    <s v="NO"/>
    <s v="NA"/>
    <s v="NO"/>
    <s v="NA"/>
    <s v="NO"/>
    <s v="NA"/>
    <s v="No"/>
    <s v="221-4585"/>
    <s v="573108352080"/>
    <s v="Estrato 3"/>
    <s v="CL 42 21 42"/>
    <s v="Antioquia"/>
    <s v="Medellín"/>
    <s v="No aplica, no soy foráneo"/>
    <s v="Propio"/>
    <s v="SI"/>
    <s v="2024"/>
    <s v="AC202432935013"/>
    <n v="298"/>
    <n v="56"/>
    <n v="62"/>
    <s v="Privada"/>
    <s v="COL EUCARISTICO DE LA MILAGROS"/>
    <n v="2024"/>
    <s v="Antioquia"/>
    <s v="Medellín"/>
    <s v="BACHILLER"/>
    <s v="ACAD"/>
    <s v="TIPO: Privada, INSTITUCION: COL EUCARISTICO DE LA MILAGROS, AÑO: 2024, CIUDAD: Medellín, TITULO: BACHILLER"/>
    <s v="11"/>
    <s v="Escala de 0 - 5"/>
    <s v="Escala de 0 - 5"/>
    <s v="5"/>
    <s v="5"/>
    <m/>
    <s v="5"/>
    <s v="5"/>
    <m/>
    <n v="4.5"/>
    <n v="5"/>
    <m/>
    <n v="4.5999999999999996"/>
    <n v="5"/>
    <m/>
    <s v="4,5"/>
    <s v="4,8"/>
    <m/>
    <s v="5"/>
    <s v="5"/>
    <m/>
    <s v="4,7"/>
    <s v="5"/>
    <m/>
    <s v="De 9 y 10"/>
    <n v="4.7750000000000004"/>
    <s v="NO"/>
    <s v="NA"/>
    <n v="0"/>
    <n v="0"/>
    <s v="No"/>
    <n v="50"/>
    <m/>
    <n v="50"/>
    <m/>
    <n v="50"/>
    <m/>
    <s v="Una excelente aspirante con muchas capacidades y motivación para estudiar la carrera"/>
    <n v="50"/>
    <s v="Con detalle por componente"/>
    <s v="Artísticas o culturales,Deportistas de alto rendimiento o representativo"/>
    <s v="En un mundo que evoluciona de manera constante y experimenta grandes avances tecnológicos, resulta fundamental considerar la amplia proyección del mercadeo en diversos sectores, es acá donde me pregunto: ¿Cuál es la carrera que debo estudiar para ayudar a que la humanidad continúe con estos cambios? ¿Cómo puedo ayudar con mi carrera a contribuir por un mundo mejor? ¿Cómo puedo impactar positivamente en la sociedad y sus comunidades?. Las respuestas a estas preguntas no son el único motivo para tomar la decisión de estudiar Mercadeo en EAFIT, son solo un complemento, porque si a esto le sumamos la calidad de los programas, la excelencia y experiencia del profesorado y el relacionamiento que podré adquirir en el campus universitario, son el resultado de mi decisión.  _x000a__x000a_Desde pequeña he aprendido que los sueños no tienen límites y que los retos son oportunidades para crecer, las competencias que he logrado desarrollar a lo largo de estos años me han permitido demostrar mi potencial en varios escenarios de mi vida. Me he caracterizado por ser una gran líder, obteniendo en el colegio resultados académicos sobresalientes, mis cualidades como la empatía, creatividad, disciplina, y el trabajo en equipo me llevaron a ser galardonada con la mención de honor más importante de mi institución, la cual es “ Perfil Eucaristico” esta mención abarca el mejor rendimiento académico, valores éticos y morales y liderazgo, adicional a esto, he tenido la oportunidad de representar a Medellín en varios torneos de baloncestos a nivel Nacional con el Club deportivo Promesas de Antioquia. De acuerdo a lo anterior estoy convencida que mis competencias encajan perfectamente con el perfil del pregrado en Mercadeo que ofrece la universidad EAFIT. Estudiar Mercadeo me permitirá diseñar estrategias que generen impacto en la sociedad, partiendo desde el comportamiento del consumidor que me permita generar productos a la necesidad de la sociedad, con precios acordes al mercado atendido, unos canales de distribución adecuados y una promoción acertada, lo cual me permite identificar las 4 variables más importantes del mercadeo._x000a__x000a_Mi motivación a la hora de escoger Mercadeo en EAFIT se fundamenta en el campo de acción tan amplio que éste tiene, mercadeo permite tener relaciones muy cercanas con nuestros clientes, ya que somos las personas encargadas de cumplir sus expectativas y a través del pensum tan completo que ofrece la universidad podré llegar a cumplir con estas. Otra de mis motivaciones es llegar a formar parte activa de uno de sus grupos estudiantiles, como por ejemplo el clubmerc, con mis conocimientos, experiencia y creatividad podré aportar grandes ideas que permitan el fortalecimiento y unión de estos grupos. Siempre soñé estudiar en la Universidad EAFIT, pero encontraba una limitante al pensar que solo podrían acceder a esta universidad personas con perfiles económicos altos, pero al averiguar directamente en las instalaciones de la Universidad, me llevo una grata sorpresa al enterarme que ésta ofrece muchas alternativas para incentivar y apoyar a estudiantes de cualquier nivel económico, entre ellas financiamiento y becas, lo cual me generó una gran emoción y me motiva aún más para continuar con mi proceso en esta Universidad._x000a__x000a_Como profesional en Mercadeo de la Universidad EAFIT, estoy segura que podré ampliar fronteras, tendré la posibilidad de crear empresa que contribuya al crecimiento y mejoramiento de nuestro país, podré generar empleo y mejorar la calidad de vida de muchas personas. Como mujer generaré un impacto social y lograré romper barreras, para poder demostrar el poder y valor de la mujer dentro de la sociedad, estoy segura de que con esta beca tendré la posibilidad de terminar mis estudios con mucha calidad y en la mejor institución, gracias al concepto de igualdad y equidad que genera la Universidad EAFIT al interior de sus instalaciones para todos sus estudiantes."/>
    <s v="Referencias familiares"/>
    <s v="Por la calidad académica."/>
    <s v="Alta empleabilidad."/>
    <n v="2"/>
    <s v="0"/>
    <s v="SI"/>
    <s v="NO"/>
    <s v="Entre 9 y 10 millones"/>
    <s v="No"/>
    <s v="SI"/>
    <s v="SI"/>
    <s v="Crédito entidad externa"/>
    <s v="SI"/>
    <s v="Beca"/>
    <s v="NO"/>
    <s v=""/>
    <s v=""/>
    <s v="Si"/>
    <s v="Juan Fernando Gutiérrez Giraldo"/>
    <s v="Unión marital"/>
    <s v="ESPECIALIZACIÓN"/>
    <s v="44"/>
    <s v="Contador público"/>
    <s v="Empleado (con contrato laboral)"/>
    <s v="Coordinador de captaciones"/>
    <s v="Cooperativa de Ahorro y Crédito Crearcoop"/>
    <n v="7322737"/>
    <s v="Si"/>
    <s v="SI"/>
    <s v="NO"/>
    <s v=""/>
    <s v="Si"/>
    <s v="Alejandra Rincón Gómez"/>
    <s v="Unión marital"/>
    <s v="TÉCNICA"/>
    <s v="39"/>
    <s v="Diseñadora Gráfica"/>
    <s v="Empleado (con contrato laboral)"/>
    <s v="Asesora comercial"/>
    <s v="Proeléctrico Representaciones S.A"/>
    <n v="3600000"/>
    <s v="Si"/>
    <s v="NO"/>
    <s v="NO"/>
    <m/>
    <n v="10922737"/>
    <s v="No, solo vivo con mis padres"/>
    <s v=""/>
    <s v=""/>
    <s v=""/>
    <s v=""/>
    <s v=""/>
    <m/>
    <s v=""/>
    <s v=""/>
    <s v=""/>
    <s v=""/>
    <s v=""/>
    <s v=""/>
    <m/>
    <s v=""/>
    <s v=""/>
    <s v=""/>
    <s v=""/>
    <s v=""/>
    <s v=""/>
    <m/>
    <s v=""/>
    <s v=""/>
    <n v="0"/>
    <n v="0"/>
    <n v="0"/>
    <n v="0"/>
    <n v="0"/>
    <s v="Si"/>
    <s v="Chevrolet Onix"/>
    <s v="2016"/>
    <n v="35000000"/>
    <s v="No"/>
    <s v=""/>
    <s v=""/>
    <n v="0"/>
    <s v="No"/>
    <s v=""/>
    <s v=""/>
    <s v=""/>
    <n v="0"/>
    <s v="La propiedad donde vivo está a nombre de mis abuelos que son&amp;#58;  Luis Fernando Gutiérrez Velásquez y Maria Rubiela Giraldo Hincapié"/>
    <n v="4"/>
    <n v="4"/>
    <n v="4"/>
    <n v="4"/>
    <n v="4"/>
    <n v="3"/>
    <n v="4"/>
    <n v="4"/>
    <n v="4"/>
    <n v="4"/>
    <n v="39"/>
    <s v="SI"/>
    <m/>
    <s v="SI, SON PRI"/>
    <s v="ok tienen todos los datos"/>
    <e v="#N/A"/>
    <e v="#N/A"/>
    <m/>
    <n v="3"/>
    <n v="10"/>
    <n v="8"/>
    <n v="0"/>
    <n v="20"/>
    <n v="15"/>
    <n v="20"/>
    <n v="8"/>
    <n v="7.5"/>
    <n v="72.5"/>
    <n v="0.4"/>
    <m/>
    <n v="2"/>
    <n v="2.5"/>
    <n v="0"/>
    <n v="3"/>
    <n v="2"/>
    <n v="2.5"/>
    <n v="0"/>
    <n v="3.5"/>
    <n v="71"/>
    <n v="0.4"/>
    <n v="0.4"/>
    <e v="#N/A"/>
    <m/>
    <m/>
    <n v="0"/>
    <m/>
    <m/>
    <s v="Mercadeo"/>
    <e v="#N/A"/>
    <s v="169"/>
    <e v="#N/A"/>
  </r>
  <r>
    <s v="TI"/>
    <n v="1031941010"/>
    <s v="1000402029"/>
    <s v="SIMON GIRALDO PEREZ"/>
    <s v="Estudios por primera vez"/>
    <x v="10"/>
    <s v="No cumple, estrato 4"/>
    <s v="Ya pago matricula"/>
    <s v="En publico objetivo"/>
    <s v="1er Cohorte"/>
    <s v="Activo"/>
    <s v="sgiraldop6@eafit.edu.co"/>
    <s v="sgiraldop6@eafit.edu.co"/>
    <s v="simongipe@gmail.com"/>
    <s v="573054300008"/>
    <d v="2025-04-25T00:00:00"/>
    <s v="Activo en Programa"/>
    <s v="010-Ingeniería de Sistemas"/>
    <s v="E Ciencias Aplic e Ingeniería"/>
    <d v="2007-09-20T00:00:00"/>
    <n v="18"/>
    <s v="Antioquia"/>
    <s v="Medellín"/>
    <s v="Hombre"/>
    <s v="Soltero"/>
    <s v="NO"/>
    <s v="NO"/>
    <n v="0"/>
    <s v="NO"/>
    <s v="NA"/>
    <s v="NO"/>
    <s v="NA"/>
    <s v="NO"/>
    <s v="NA"/>
    <s v="No"/>
    <s v="604/504-0624"/>
    <s v="573054300008"/>
    <s v="Estrato 4"/>
    <s v="CARRERA 93#35B - 110"/>
    <s v="Antioquia"/>
    <s v="Medellín"/>
    <s v="No aplica, no soy foráneo"/>
    <s v="Familiar"/>
    <s v="SI"/>
    <s v="2024"/>
    <s v="AC202431748540"/>
    <n v="369"/>
    <n v="79"/>
    <n v="70"/>
    <s v="Privada"/>
    <s v="COL CORAZONISTA"/>
    <n v="2024"/>
    <s v="Antioquia"/>
    <s v="Medellín"/>
    <s v="BACHILLER"/>
    <s v="ACAD"/>
    <s v="TIPO: Privada, INSTITUCION: COL CORAZONISTA, AÑO: 2024, CIUDAD: Medellín, TITULO: BACHILLER"/>
    <s v="11"/>
    <s v="Escala de 0 - 10"/>
    <s v="Escala de 0 - 10"/>
    <s v="7,4"/>
    <s v="7,4"/>
    <m/>
    <s v="8"/>
    <s v="8"/>
    <m/>
    <n v="7.3"/>
    <n v="8.1"/>
    <m/>
    <n v="7.1"/>
    <n v="7.1"/>
    <m/>
    <s v="8,3"/>
    <s v="8,7"/>
    <m/>
    <s v="8,1"/>
    <s v="8,1"/>
    <m/>
    <s v="8,4"/>
    <s v="8,1"/>
    <m/>
    <s v="De 9 y 10"/>
    <n v="7.4"/>
    <s v="NO"/>
    <s v="NA"/>
    <n v="0"/>
    <n v="0"/>
    <s v="No"/>
    <n v="45"/>
    <m/>
    <n v="50"/>
    <m/>
    <n v="50"/>
    <m/>
    <m/>
    <n v="48.333333333333336"/>
    <s v="Con detalle por componente"/>
    <s v="Ninguna"/>
    <s v="Me imagino en unos años siendo un ingeniero de sistemas trabajando en proyectos que puedan ayudar a mejorar la vida de las personas en Medellín y en mi comunidad. Siempre y desde muy pequeño me gusta la tecnologia y me gusta entender como funcionan las cosas. Por esta razón elegí esta carrera, quiero aprender a crear programas, aplicaciones y sistemas que puedan resolver problemas reales como el transporte, la seguridad o el acceso a la educación._x000a_Medellin es una ciudad que está creciendo mucho en temas de tecnologia e innovación y yo quiero ser parte de eso. Me gustaría trabajar en una empresa de desarrollo de software para asi ganar experiencia laboral y capital para poder posteriormente invertir en mi propio emprendimiento, donde usaré todo lo que aprenda para hacer proyectos que tengan un impacto positivo en mi entorno. Por ejemplo, me interesa mucho la inteligencia artificial y me gustaria usarla para diseñar soluciones que ayuden a las personas a tener una mejor calidad de vida._x000a_La beca que ofrece EAFIT seria una oportunidad enorme para mi y para mi familia. No solo porque me permitiria estudiar en una universidad reconocida, sino porque sé que alla voy a poder participar en semilleros, retos y voy a poder aprender de profesores que están muy bien preparados. Además de esto, podría conocer a otros estudiantes con ideas similares a las mias y asi podria trabajar en equipo para transformar nuestra región._x000a_Con todo esto, mi objetivo es alcanzar cosas grandes y ser un ejemplo para muchos jovenes como yo, que vean que con esfuerzo se puede conseguir lo que uno se proponga y que desde la tecnologia se puede construir un futuro mejor para todos."/>
    <s v="Referencias familiares"/>
    <s v="Por la calidad académica."/>
    <s v="Vocación."/>
    <n v="6"/>
    <s v="2"/>
    <s v="SI"/>
    <s v="NO"/>
    <s v="Entre 5 y 6 millones"/>
    <s v="No"/>
    <s v="SI"/>
    <s v="NO"/>
    <m/>
    <s v="SI"/>
    <s v="Beca"/>
    <s v="NO"/>
    <s v=""/>
    <s v=""/>
    <s v="Si"/>
    <s v="César Augusto Giraldo Prieto"/>
    <s v="Casado"/>
    <s v="MAESTRÍA"/>
    <s v="47"/>
    <s v="Administrador de empresas"/>
    <s v="Empleado (con contrato laboral)"/>
    <s v="Docente"/>
    <s v="Universidad de antioquia"/>
    <n v="8299494"/>
    <s v="Si"/>
    <s v="SI"/>
    <s v="NO"/>
    <s v="Posee contrato de docente ocasional de tiempo completo"/>
    <s v="Si"/>
    <s v="Angela María Perez Arango"/>
    <s v="Soltero"/>
    <s v="UNIVERSITARIOS"/>
    <s v="47"/>
    <s v="Comunicadora social"/>
    <s v="Labores del hogar y cuidado"/>
    <s v="Ama de casa"/>
    <s v="N/A"/>
    <n v="0"/>
    <s v="Si"/>
    <s v="NO"/>
    <s v="NO"/>
    <m/>
    <n v="8299494"/>
    <s v="Si"/>
    <s v="Amelia Giraldo Pérez"/>
    <s v="Hermano / Hermana"/>
    <s v="9"/>
    <s v="Estudiante"/>
    <s v="Colegio Corazonista Medellín"/>
    <n v="0"/>
    <s v="No"/>
    <s v="Sebastian Giraldo Pérez"/>
    <s v="Hermano / Hermana"/>
    <s v="7"/>
    <s v="Estudiante"/>
    <s v="Colegio Corazonista Medellín"/>
    <n v="0"/>
    <s v="No"/>
    <s v="María Libia Arango Ospina"/>
    <s v="Abuelo / Abuela"/>
    <s v="75"/>
    <s v="Ama de Casa"/>
    <s v="N/A"/>
    <n v="0"/>
    <s v="No"/>
    <s v="Los gastos de alimentacion y de servicios son compartidos entre mi abuelo y mi papá. Los gastos educativos solo provienen de mi padre. La vivienda que compartimos es de mi abuela"/>
    <n v="0"/>
    <n v="0"/>
    <n v="0"/>
    <n v="0"/>
    <n v="0"/>
    <s v="Si"/>
    <s v="Renault Logan"/>
    <s v="2015"/>
    <n v="27000000"/>
    <s v="No"/>
    <s v=""/>
    <s v=""/>
    <n v="0"/>
    <s v="Si"/>
    <s v="Moto"/>
    <s v="Bajaj Pulsar 180 UG"/>
    <s v="2010"/>
    <n v="2500000"/>
    <m/>
    <n v="4"/>
    <n v="4"/>
    <n v="4"/>
    <n v="4"/>
    <n v="4"/>
    <n v="4"/>
    <n v="4"/>
    <n v="4"/>
    <n v="4"/>
    <n v="4"/>
    <n v="40"/>
    <s v="SI"/>
    <m/>
    <s v="SI, SON PRI"/>
    <s v="ok tienen todos los datos"/>
    <e v="#N/A"/>
    <e v="#N/A"/>
    <s v="SI"/>
    <n v="3"/>
    <n v="4"/>
    <n v="4"/>
    <n v="15"/>
    <n v="10"/>
    <n v="15"/>
    <n v="20"/>
    <n v="11"/>
    <n v="10.5"/>
    <n v="74.5"/>
    <n v="0.4"/>
    <m/>
    <n v="2"/>
    <n v="3.5"/>
    <n v="1"/>
    <n v="4"/>
    <n v="2"/>
    <n v="3.5"/>
    <n v="1"/>
    <n v="4.5"/>
    <n v="75"/>
    <n v="0.4"/>
    <s v="Negado"/>
    <e v="#N/A"/>
    <m/>
    <m/>
    <n v="0"/>
    <m/>
    <m/>
    <s v="Ingeniería de Sistemas"/>
    <e v="#N/A"/>
    <m/>
    <e v="#N/A"/>
  </r>
  <r>
    <s v="TI"/>
    <n v="1031941031"/>
    <s v="1000403386"/>
    <s v="SAMUEL CASTRILLON ANGEL"/>
    <s v="Estudios por primera vez"/>
    <x v="10"/>
    <s v="Descartado, pago matricula"/>
    <s v="Ya pago matricula"/>
    <s v="En publico objetivo"/>
    <s v="1er Cohorte"/>
    <s v="Admitido"/>
    <s v="scastrila2@eafit.edu.co"/>
    <s v="scastrila2@eafit.edu.co"/>
    <s v="samuelcastrillon0926@gmail.com"/>
    <s v="573148801286"/>
    <d v="2025-04-25T00:00:00"/>
    <s v="Activo en Programa"/>
    <s v="199-Finanzas"/>
    <s v="E.Finanzas, Economía, Gobierno"/>
    <d v="2007-09-26T00:00:00"/>
    <n v="18"/>
    <s v="Antioquia"/>
    <s v="Medellín"/>
    <s v="Hombre"/>
    <s v="Soltero"/>
    <s v="NO"/>
    <s v="NO"/>
    <n v="0"/>
    <s v="NO"/>
    <s v="NA"/>
    <s v="NO"/>
    <s v="NA"/>
    <s v="NO"/>
    <s v="NA"/>
    <s v="No"/>
    <s v="314/880-1286"/>
    <s v="573148801286"/>
    <s v="Estrato 3"/>
    <s v="CL 40 E 75 15"/>
    <s v="Antioquia"/>
    <s v="Rionegro"/>
    <s v="Si"/>
    <s v="Propio"/>
    <s v="SI"/>
    <s v="2024"/>
    <s v="AC202431567478"/>
    <n v="326"/>
    <n v="62"/>
    <n v="70"/>
    <s v="Privada"/>
    <s v="COLEGIO ANGLO ESPA?L"/>
    <n v="2024"/>
    <s v="Antioquia"/>
    <s v="El Carmen De Viboral"/>
    <s v="BACHILLER"/>
    <s v="ACAD"/>
    <s v="TIPO: Privada, INSTITUCION: COLEGIO ANGLO ESPA?L, AÑO: 2024, CIUDAD: El Carmen De Viboral, TITULO: BACHILLER"/>
    <s v="11"/>
    <s v="Escala Desempeño"/>
    <s v="Escala de 0 - 5"/>
    <s v="4,5"/>
    <s v="4,5"/>
    <m/>
    <s v="4,5"/>
    <s v="4,5"/>
    <m/>
    <n v="4.5"/>
    <n v="4.5"/>
    <m/>
    <n v="4"/>
    <n v="4.5"/>
    <m/>
    <s v="4"/>
    <s v="4"/>
    <m/>
    <s v="4,5"/>
    <s v="4,5"/>
    <m/>
    <s v="4,5"/>
    <s v="4,5"/>
    <m/>
    <s v="De 9 y 10"/>
    <n v="4.375"/>
    <s v="NO"/>
    <s v="NA"/>
    <n v="0"/>
    <n v="0"/>
    <s v="No"/>
    <n v="45"/>
    <m/>
    <n v="40"/>
    <m/>
    <n v="45"/>
    <m/>
    <s v="Se graduó en el 2024 y su deseo es conocer más sobre las Finanzas Corporativas"/>
    <n v="43.333333333333336"/>
    <s v="Con detalle por componente"/>
    <s v="Ninguna"/>
    <s v="Me visualizo como profesional en una carrera que tiene influencia en todos los sectores tanto empresariales como de gobierno y la importancia que tiene para la vida diaria , el impacto que puedo generar con la obtención de la beca es ayudar a transformar la región desde la educación y la obtención de conocimientos."/>
    <s v="Página WEB"/>
    <s v="Por la oferta académica."/>
    <s v="Vocación."/>
    <n v="4"/>
    <s v="2"/>
    <s v="NO"/>
    <s v="NO"/>
    <s v="Más de 16 millones"/>
    <s v="No"/>
    <s v="SI"/>
    <s v="SI"/>
    <s v="Crédito entidad externa"/>
    <n v="0"/>
    <m/>
    <s v="NO"/>
    <s v=""/>
    <s v=""/>
    <s v="Si"/>
    <s v="Mauricio Alberto castrillon velez"/>
    <s v="Soltero"/>
    <s v="UNIVERSITARIOS"/>
    <s v="44"/>
    <s v="Administrador logistico/tecnologo de sistemas"/>
    <s v="Empleado (con contrato laboral)"/>
    <s v="Director de Tecnologia"/>
    <s v="CI IBLU SAS"/>
    <n v="15330000"/>
    <s v="Si"/>
    <s v="SI"/>
    <s v="NO"/>
    <s v="Vivimos en rionegro y estamos aspirando a la beca para el programa en finanzas , para complementar economicamente y realizar el sueño de mi hijo de ser un profesional."/>
    <s v="Si"/>
    <s v="Diana carolina angel gallego"/>
    <s v="Casado"/>
    <s v="ESPECIALIZACIÓN"/>
    <s v="44"/>
    <s v="Contadora publica"/>
    <s v="Empleado (con contrato laboral)"/>
    <s v="Contadora"/>
    <s v="Universidad catolica de oriente"/>
    <n v="5000000"/>
    <s v="Si"/>
    <s v="NO"/>
    <s v="NO"/>
    <s v="somos una familia que cree que la educacion transforma la vida , y nos hemos formado y crecido profesionalmente con mucho esfuerzo , y lucharemos para que nuestros hijos salgan adelante."/>
    <n v="20330000"/>
    <s v="Si"/>
    <s v="Mariana jaramillo angel"/>
    <s v="Hermano / Hermana"/>
    <s v="24"/>
    <s v="Diseñadora indutrial"/>
    <s v="Tenis S.A"/>
    <n v="2800000"/>
    <s v="No"/>
    <s v=""/>
    <s v=""/>
    <s v=""/>
    <s v=""/>
    <s v=""/>
    <m/>
    <s v=""/>
    <s v=""/>
    <s v=""/>
    <s v=""/>
    <s v=""/>
    <s v=""/>
    <m/>
    <s v=""/>
    <s v=""/>
    <n v="0"/>
    <n v="0"/>
    <n v="0"/>
    <n v="0"/>
    <n v="0"/>
    <s v="Si"/>
    <s v="Chevrolet"/>
    <s v="2023"/>
    <n v="90000000"/>
    <s v="No"/>
    <s v=""/>
    <s v=""/>
    <n v="0"/>
    <s v="No"/>
    <s v=""/>
    <s v=""/>
    <s v=""/>
    <n v="0"/>
    <s v="tenemos un vehiculo el cual pagamos a credito"/>
    <n v="4"/>
    <n v="4"/>
    <n v="4"/>
    <n v="4"/>
    <n v="4"/>
    <n v="4"/>
    <n v="4"/>
    <n v="4"/>
    <n v="4"/>
    <n v="4"/>
    <n v="40"/>
    <s v="SI"/>
    <m/>
    <s v="SI, SON PRI"/>
    <s v="ok tienen todos los datos"/>
    <e v="#N/A"/>
    <e v="#N/A"/>
    <m/>
    <n v="2"/>
    <n v="10"/>
    <n v="8"/>
    <n v="5"/>
    <n v="15"/>
    <n v="15"/>
    <n v="15"/>
    <n v="8"/>
    <n v="7.5"/>
    <n v="67.5"/>
    <n v="0.4"/>
    <m/>
    <n v="2"/>
    <n v="2.5"/>
    <n v="0"/>
    <n v="3"/>
    <n v="2"/>
    <n v="2.5"/>
    <n v="0"/>
    <n v="3.5"/>
    <n v="66"/>
    <n v="0.4"/>
    <s v="Negado"/>
    <e v="#N/A"/>
    <m/>
    <m/>
    <n v="0"/>
    <m/>
    <m/>
    <s v="Finanzas"/>
    <e v="#N/A"/>
    <m/>
    <e v="#N/A"/>
  </r>
  <r>
    <s v="CC"/>
    <n v="1032177863"/>
    <s v="1000406916"/>
    <s v="JUAN JOSE CONDE BUELVAS"/>
    <s v="Estudios por primera vez"/>
    <x v="2"/>
    <s v="No cumple, puntaje ICFES menor a 300"/>
    <m/>
    <s v="En publico objetivo"/>
    <s v="2da Cohorte"/>
    <s v="Admitido"/>
    <s v="jjcondeb@eafit.edu.co"/>
    <e v="#N/A"/>
    <s v="juanjoconde11@gmail.com"/>
    <s v="573108004956"/>
    <d v="2025-05-16T00:00:00"/>
    <s v="Activo en Programa"/>
    <s v="014-Ingeniería Mecánica"/>
    <s v="E Ciencias Aplic e Ingeniería"/>
    <d v="2005-08-26T00:00:00"/>
    <n v="20"/>
    <s v="Antioquia"/>
    <s v="Apartadó"/>
    <s v="Hombre"/>
    <s v="Soltero"/>
    <s v="SI"/>
    <s v="SI"/>
    <s v="Riosucio"/>
    <s v="NO"/>
    <s v="NA"/>
    <s v="NO"/>
    <s v="NA"/>
    <s v="NO"/>
    <s v="NA"/>
    <s v="No"/>
    <s v="267-7146"/>
    <s v="573108004956"/>
    <s v="Estrato 2"/>
    <s v="CL 96 BB 80 05"/>
    <s v="Antioquia"/>
    <s v="Medellín"/>
    <s v="No aplica, no soy foráneo"/>
    <s v="Arriendo"/>
    <s v="SI"/>
    <s v="2023"/>
    <s v="AC202343433976"/>
    <n v="268"/>
    <n v="49"/>
    <n v="43"/>
    <s v="Privada"/>
    <s v="INSTITUTO UNIBAN"/>
    <n v="2023"/>
    <s v="Antioquia"/>
    <s v="Apartadó"/>
    <s v="BACHILLER"/>
    <s v="ACAD"/>
    <s v="TIPO: Privada, INSTITUCION: INSTITUTO UNIBAN, AÑO: 2023, CIUDAD: Apartadó, TITULO: BACHILLER"/>
    <s v="11"/>
    <s v="Escala de 0 - 5"/>
    <s v="Escala de 0 - 5"/>
    <s v="4,1"/>
    <s v="4,5"/>
    <m/>
    <s v="4"/>
    <s v="4"/>
    <m/>
    <n v="3.4"/>
    <n v="4"/>
    <m/>
    <n v="4"/>
    <n v="4"/>
    <m/>
    <s v="4,5"/>
    <s v="3,8"/>
    <m/>
    <s v="4,5"/>
    <s v="4,2"/>
    <m/>
    <s v="3,9"/>
    <s v="4"/>
    <m/>
    <s v="De 9 y 10"/>
    <n v="3.85"/>
    <s v="NO"/>
    <s v="NA"/>
    <n v="0"/>
    <n v="0"/>
    <s v="No"/>
    <n v="40"/>
    <m/>
    <n v="40"/>
    <m/>
    <n v="40"/>
    <m/>
    <m/>
    <n v="40"/>
    <s v="Con detalle por componente"/>
    <s v="Deportistas de alto rendimiento o representativo,Trabajo social o comunitario"/>
    <s v="Realmente me visualizo como un ingeniero mecánico que no solo domina lo técnico, o que simplemente se quede en ser un asalariado. Sino en también ser un ingeniero que cree y aporte soluciones útiles para la vida real. Me pone la piel de gallina al verme trabajando en proyectos que tengan impacto, especialmente en el sector aeroespacial, que es donde quiero enfocar y especializar mi carrera. Mi sueño es llegar a ser astronauta, y sé que para eso debo prepararme muy bien, paso a paso, empezando por aprovechar al máximo esta oportunidad y la universidad, sacarle todo el jugo posible a la carrera y a la comunidad._x000a__x000a_Además, me apasiona el emprendimiento. Me sueño con ser libre economicamente en mi futuro, es por eso que una de mis acciones en el futuro en este ambito es fundar una empresa que combine ingeniería y tecnología para resolver problemas significantes, generar empleo y aportar al desarrollo económico. Creo genuinamente que la ingeniería no solo se trata de entender y mejorar al maximo las máquinas, sino también de entender y mejorar al maximo las vidas._x000a__x000a_Obtener la beca sería clave para lograr todo esto. Vengo de una situación difícil como desplazado por la violencia por parte de mi abuelo, y no cuento con los recursos económicos para pagar una universidad como EAFIT. Esta oportunidad no solo me abriría puertas a mí, sino que también me permitiría devolver tan siquiera un poquito a la comunidad. Quiero ser ejemplo para mis amigos, familiares y mas importante aun, a mi, de que sí se puede salir adelante, incluso desde circunstancias duras. Ademas de poder motivar a otros jóvenes de mi región Uraba a soñar en grande, estudiar, emprender y transformar su entorno._x000a__x000a_Gracias."/>
    <s v="A través del Colegio"/>
    <s v="Internacionalización."/>
    <s v="Vocación."/>
    <n v="3"/>
    <s v="4"/>
    <s v="NO"/>
    <s v="NO"/>
    <s v="Entre 2 y 3 millones"/>
    <s v="No"/>
    <s v="SI"/>
    <s v="SI"/>
    <s v="Crédito ICETEX"/>
    <s v="SI"/>
    <s v="Beca"/>
    <s v="NO"/>
    <s v=""/>
    <s v=""/>
    <s v="Si"/>
    <s v="Jimmy Fernando Conde Figueroa"/>
    <s v="Casado"/>
    <s v="ESPECIALIZACIÓN TÉCNICA"/>
    <s v="45"/>
    <s v="Investigador Judicial"/>
    <s v="Independiente (trabaja por cuenta propia)"/>
    <s v="Trabaja con los casos, que logra encontrar"/>
    <s v="Independiente"/>
    <n v="2000000"/>
    <s v="Si"/>
    <s v="NO"/>
    <s v="NO"/>
    <s v="Es alguien quien siempre intenta estar para nosotros aunque la mayoria de las veces se le dificulta."/>
    <s v="Si"/>
    <s v="Ismenia Sofia Buelvas Alvarez"/>
    <s v="Soltero"/>
    <s v="UNIVERSITARIOS"/>
    <s v="43"/>
    <s v="Asesora Comercial"/>
    <s v="Empleado (con contrato laboral)"/>
    <s v="Ejecutiva comercial"/>
    <s v="Nueva EPS"/>
    <n v="1500000"/>
    <s v="No"/>
    <s v="NO"/>
    <s v="NO"/>
    <s v="Aunque toda la vida siempre ha sido demasiado complicado, pudo sacar adelante a mi y mis dos hemanos"/>
    <n v="3500000"/>
    <s v="Si"/>
    <s v="Sandra Milena Zapata Garcia"/>
    <s v="Madrastra"/>
    <s v="45"/>
    <s v="Contadora Publica"/>
    <s v="ITM (INSTITUTO TECNOLÓGICO METROPOLITANO)"/>
    <n v="8000000"/>
    <s v="Si"/>
    <s v="Santiago Conde Zapata"/>
    <s v="Hermano / Hermana"/>
    <s v="12"/>
    <s v="Estudiante"/>
    <s v="Instituto Ferrini"/>
    <n v="0"/>
    <s v="No"/>
    <s v=""/>
    <s v=""/>
    <s v=""/>
    <s v=""/>
    <s v=""/>
    <m/>
    <s v=""/>
    <s v="Una familia cuya base es el amor, aunque algunas cosas escaseen."/>
    <n v="150000000"/>
    <n v="0"/>
    <n v="0"/>
    <n v="0"/>
    <n v="0"/>
    <s v="Si"/>
    <s v="Chevrolet"/>
    <s v="2012"/>
    <n v="6000000"/>
    <s v="No"/>
    <s v=""/>
    <s v=""/>
    <n v="0"/>
    <s v="Si"/>
    <s v="Moto"/>
    <s v="Bajaj"/>
    <s v="2011"/>
    <n v="3000000"/>
    <s v="La casa es de la Mamá de mi madrastra pero es comoda. Y los vehiculos sirven para movilizarnos aunque esten presentando algunos daños y partes viejas."/>
    <n v="3"/>
    <n v="4"/>
    <n v="4"/>
    <n v="4"/>
    <n v="3"/>
    <n v="4"/>
    <n v="2"/>
    <n v="3"/>
    <n v="4"/>
    <n v="2"/>
    <n v="33"/>
    <s v="SI"/>
    <m/>
    <s v="SI, SON PRI"/>
    <s v="ok tienen todos los datos"/>
    <e v="#N/A"/>
    <e v="#N/A"/>
    <m/>
    <n v="3"/>
    <n v="10"/>
    <n v="10"/>
    <n v="0"/>
    <n v="10"/>
    <n v="10"/>
    <n v="10"/>
    <n v="15"/>
    <n v="13.5"/>
    <n v="53.5"/>
    <n v="0.4"/>
    <m/>
    <n v="2"/>
    <n v="3.5"/>
    <n v="6"/>
    <n v="2"/>
    <n v="2"/>
    <n v="3"/>
    <n v="8"/>
    <n v="2"/>
    <n v="55"/>
    <n v="0.5"/>
    <s v="Negado"/>
    <e v="#N/A"/>
    <m/>
    <m/>
    <n v="0"/>
    <m/>
    <m/>
    <s v="Ingeniería Mecánica"/>
    <e v="#N/A"/>
    <m/>
    <e v="#N/A"/>
  </r>
  <r>
    <s v="TI"/>
    <n v="1032181364"/>
    <s v="1000407814"/>
    <s v="JUAN JOSE GUZMAN ALGARIN"/>
    <s v="Estudios por primera vez"/>
    <x v="1"/>
    <s v="Descartado por notas"/>
    <m/>
    <s v="En publico objetivo"/>
    <s v="2da Cohorte"/>
    <s v="Admitido"/>
    <s v="jjguzmana1@eafit.edu.co"/>
    <e v="#N/A"/>
    <s v="juanguzmanj26@gmail.com"/>
    <s v="573114208299"/>
    <d v="2025-05-16T00:00:00"/>
    <s v="Activo en Programa"/>
    <s v="003-Economía"/>
    <s v="E.Finanzas, Economía, Gobierno"/>
    <d v="2008-01-26T00:00:00"/>
    <n v="17"/>
    <s v="Antioquia"/>
    <s v="Apartadó"/>
    <s v="Hombre"/>
    <s v="Soltero"/>
    <s v="SI"/>
    <s v="SI"/>
    <s v="Turbo"/>
    <s v="NO"/>
    <s v="NA"/>
    <s v="NO"/>
    <s v="NA"/>
    <s v="NO"/>
    <s v="NA"/>
    <s v="No"/>
    <s v="314/863-6791"/>
    <s v="573114208299"/>
    <s v="Estrato 2"/>
    <s v="VILLA NUEVA"/>
    <s v="Antioquia"/>
    <s v="Apartadó"/>
    <s v="Si"/>
    <s v="Propio"/>
    <s v="SI"/>
    <s v="2024"/>
    <s v="AC202437660541"/>
    <n v="323"/>
    <n v="65"/>
    <n v="65"/>
    <s v="Pública"/>
    <s v="I.E. MADRE LAURA"/>
    <n v="2024"/>
    <s v="Antioquia"/>
    <s v="Apartadó"/>
    <s v="BACHILLER"/>
    <s v="ACAD"/>
    <s v="TIPO: Pública, INSTITUCION: I.E. MADRE LAURA, AÑO: 2024, CIUDAD: Apartadó, TITULO: BACHILLER"/>
    <s v="11"/>
    <s v="Escala de 0 - 5"/>
    <s v="Escala de 0 - 5"/>
    <s v="4"/>
    <s v="3,4"/>
    <m/>
    <s v="4,5"/>
    <s v="4"/>
    <m/>
    <n v="4"/>
    <n v="3.4"/>
    <m/>
    <n v="4"/>
    <n v="3.4"/>
    <m/>
    <s v="4"/>
    <s v="4"/>
    <m/>
    <s v="4"/>
    <s v="4"/>
    <m/>
    <s v="4"/>
    <s v="4"/>
    <m/>
    <s v="De 9 y 10"/>
    <n v="3.7"/>
    <s v="NO"/>
    <s v="NA"/>
    <n v="0"/>
    <n v="0"/>
    <s v="No"/>
    <n v="45"/>
    <m/>
    <n v="40"/>
    <m/>
    <n v="40"/>
    <m/>
    <s v="Aspirante desde Currulao, tiene familia en Medellín"/>
    <n v="41.666666666666664"/>
    <s v="Con detalle por componente"/>
    <s v="Espacios de liderazgo o representación social"/>
    <s v="Me veo trabajando en iniciativas que fomenten la innovación , el desarrollo económico -social , ya sea para una empresa privada o pública o creando mi empresa ,deseo convertirme en agente activo para la región de URABÁ , no solo comprendiendo los engranajes que mueven el mundo económico , si no también aplicar ese conocimiento para transformar mi entorno , la idea a través de mi profesión es que mi trabajo de una huella positiva, contribuyendo a una sociedad donde la economía sea una herramienta de bienestar colectivo ."/>
    <s v="Redes sociales"/>
    <s v="Proyección laboral."/>
    <s v="Vocación."/>
    <n v="3"/>
    <s v="1"/>
    <s v="SI"/>
    <s v="NO"/>
    <s v="Entre 4 y 5 millones"/>
    <s v="Si"/>
    <n v="0"/>
    <n v="0"/>
    <m/>
    <s v="SI"/>
    <m/>
    <s v="NO"/>
    <s v=""/>
    <s v=""/>
    <s v="Si"/>
    <s v="JUAN CARLOS GUZMAN QUINTERO"/>
    <s v="Unión marital"/>
    <s v="TECNOLOGÍA"/>
    <s v="43"/>
    <s v="Tecnólogo en mercadeo"/>
    <s v="Empleado (con contrato laboral)"/>
    <s v="Vendedor"/>
    <s v="DISTRIBUIDORA URA ARROZ S.A.S ZOMAC"/>
    <n v="1423500"/>
    <s v="Si"/>
    <s v="NO"/>
    <s v="NO"/>
    <s v="Mi padre es un gran ser humano con muchos valores y gran ejemplo a seguir."/>
    <s v="Si"/>
    <s v="DIANA JOSEFA ALGARIN CASTILLO"/>
    <s v="Unión marital"/>
    <s v="UNIVERSITARIOS"/>
    <s v="39"/>
    <s v="Administradora de empresas"/>
    <s v="Independiente (trabaja por cuenta propia)"/>
    <s v="Comerciante Independiente"/>
    <s v="NA"/>
    <n v="2500000"/>
    <s v="Si"/>
    <s v="SI"/>
    <s v="NO"/>
    <s v="Mi madre es un gran apoyo para mi y gran pilar de la casa, es un ejemplo de preseverancia a seguir ."/>
    <n v="3923500"/>
    <s v="Si"/>
    <s v="SALOME GUZMAN ALGARIN"/>
    <s v="Hermano / Hermana"/>
    <s v="18"/>
    <s v="Estudiante"/>
    <s v="INSTITUTO INCENF"/>
    <n v="0"/>
    <s v="No"/>
    <s v=""/>
    <s v=""/>
    <s v=""/>
    <s v=""/>
    <s v=""/>
    <m/>
    <s v=""/>
    <s v=""/>
    <s v=""/>
    <s v=""/>
    <s v=""/>
    <s v=""/>
    <m/>
    <s v=""/>
    <s v="NA"/>
    <n v="120000000"/>
    <n v="0"/>
    <n v="0"/>
    <n v="0"/>
    <n v="0"/>
    <s v="No"/>
    <s v=""/>
    <s v=""/>
    <n v="0"/>
    <s v="No"/>
    <s v=""/>
    <s v=""/>
    <n v="0"/>
    <s v="No"/>
    <s v=""/>
    <s v=""/>
    <s v=""/>
    <n v="0"/>
    <s v="NA"/>
    <n v="4"/>
    <n v="4"/>
    <n v="4"/>
    <n v="4"/>
    <n v="4"/>
    <n v="4"/>
    <n v="4"/>
    <n v="4"/>
    <n v="3"/>
    <n v="4"/>
    <n v="39"/>
    <s v="SI"/>
    <m/>
    <s v="SI, SON PRI"/>
    <s v="ok tienen todos los datos"/>
    <e v="#N/A"/>
    <e v="#N/A"/>
    <m/>
    <n v="2"/>
    <n v="10"/>
    <n v="10"/>
    <n v="5"/>
    <n v="10"/>
    <n v="15"/>
    <n v="10"/>
    <n v="15"/>
    <n v="14"/>
    <n v="64"/>
    <n v="0.4"/>
    <m/>
    <n v="3.5"/>
    <n v="2.5"/>
    <n v="6"/>
    <n v="2"/>
    <n v="3.5"/>
    <n v="2.5"/>
    <n v="7"/>
    <n v="2"/>
    <n v="65"/>
    <n v="0.5"/>
    <n v="0.4"/>
    <e v="#N/A"/>
    <m/>
    <m/>
    <n v="0"/>
    <m/>
    <m/>
    <s v="Economía"/>
    <e v="#N/A"/>
    <s v="003"/>
    <e v="#N/A"/>
  </r>
  <r>
    <s v="CC"/>
    <n v="1033100352"/>
    <s v="1000405405"/>
    <s v="ANA SOFIA SUAREZ GRISALES"/>
    <s v="Estudios por primera vez"/>
    <x v="1"/>
    <s v="No cumple, estrato 4"/>
    <m/>
    <s v="En publico objetivo"/>
    <s v="2da Cohorte"/>
    <s v="Admitido"/>
    <s v="assuarezg@eafit.edu.co"/>
    <e v="#N/A"/>
    <s v="anasofias7722@gmail.com"/>
    <s v="573152565249"/>
    <d v="2025-05-16T00:00:00"/>
    <s v="Activo en Programa"/>
    <s v="085-Ingeniería Diseño de Producto"/>
    <s v="E Ciencias Aplic e Ingeniería"/>
    <d v="2007-02-27T00:00:00"/>
    <n v="18"/>
    <s v="Bogotá"/>
    <s v="Bogotá D.C."/>
    <s v="Mujer"/>
    <s v="Soltero"/>
    <s v="NO"/>
    <s v="NO"/>
    <n v="0"/>
    <s v="NO"/>
    <s v="NA"/>
    <s v="NO"/>
    <s v="NA"/>
    <s v="NO"/>
    <s v="NA"/>
    <s v="No"/>
    <s v="313/498-4339"/>
    <s v="573152565249"/>
    <s v="Estrato 4"/>
    <s v="CL 43 1 351"/>
    <s v="Caldas"/>
    <s v="Villamaría"/>
    <s v="Si"/>
    <s v="Familiar"/>
    <s v="SI"/>
    <s v="2024"/>
    <s v="AC202410159012"/>
    <n v="333"/>
    <n v="71"/>
    <n v="56"/>
    <s v="Privada"/>
    <s v="Bilingüe Internacional Colegio Anglohispano"/>
    <n v="2024"/>
    <m/>
    <s v="Manizales"/>
    <s v="Bachillerato"/>
    <s v="Académico"/>
    <m/>
    <s v="11"/>
    <s v="Escala de 0 - 5"/>
    <s v="Escala de 0 - 5"/>
    <s v="4,5"/>
    <s v="4,4"/>
    <m/>
    <s v="4,5"/>
    <s v="4,4"/>
    <m/>
    <n v="4.5999999999999996"/>
    <n v="4.7"/>
    <m/>
    <n v="4.5999999999999996"/>
    <n v="4.3"/>
    <m/>
    <s v="4,5"/>
    <s v="4,3"/>
    <m/>
    <s v="4,7"/>
    <s v="4,4"/>
    <m/>
    <s v="4,7"/>
    <s v="4,5"/>
    <m/>
    <s v="De 9 y 10"/>
    <n v="4.55"/>
    <s v="NO"/>
    <s v="NA"/>
    <n v="0"/>
    <n v="0"/>
    <s v="No"/>
    <n v="50"/>
    <m/>
    <n v="50"/>
    <m/>
    <n v="50"/>
    <m/>
    <m/>
    <n v="50"/>
    <s v="Con detalle por componente"/>
    <s v="Deportistas de alto rendimiento o representativo"/>
    <s v="Me proyecto en esta carrera, ingeniería de diseño de producto, porque soy una persona visionaria y me encanta emprender, quisiera utilizar el conocimiento para ayudar a muchas personas desarrollando y diseñando cosas que les permitan facilitar la vida de nuestra comunidad."/>
    <s v="EAFIT es una experiencia"/>
    <s v="Proyección laboral."/>
    <s v="Recomendación."/>
    <n v="4"/>
    <s v="1"/>
    <s v="SI"/>
    <s v="NO"/>
    <s v="Entre 8 y 9 millones"/>
    <s v="No"/>
    <n v="0"/>
    <s v="SI"/>
    <s v="Crédito entidad externa"/>
    <n v="0"/>
    <m/>
    <s v="NO"/>
    <s v=""/>
    <s v=""/>
    <s v="Si"/>
    <s v="Yorgan Mauricio Suárez Vargas"/>
    <s v="Casado"/>
    <s v="ESPECIALIZACIÓN"/>
    <s v="48"/>
    <s v="Administrador policial"/>
    <s v="Pensionado"/>
    <s v="Oficial Policía Nacional retirado"/>
    <s v="Policía Nacional"/>
    <n v="10000000"/>
    <s v="Si"/>
    <s v="NO"/>
    <s v="NO"/>
    <s v=""/>
    <s v="Si"/>
    <s v="Olga Esperanza Grisales Valencia"/>
    <s v="Casado"/>
    <s v="UNIVERSITARIOS"/>
    <s v="44"/>
    <s v="Terapeuta respiratoria"/>
    <s v="Labores del hogar y cuidado"/>
    <s v="Hogar"/>
    <s v="N/A"/>
    <n v="0"/>
    <s v="Si"/>
    <s v="NO"/>
    <s v="NO"/>
    <m/>
    <n v="10000000"/>
    <s v="Si"/>
    <s v="Samuel Suárez Grisales"/>
    <s v="Hermano / Hermana"/>
    <s v="16"/>
    <s v="Estudiante"/>
    <s v="Colegio San Luis Manizales."/>
    <n v="0"/>
    <s v="No"/>
    <s v=""/>
    <s v=""/>
    <s v=""/>
    <s v=""/>
    <s v=""/>
    <m/>
    <s v=""/>
    <s v=""/>
    <s v=""/>
    <s v=""/>
    <s v=""/>
    <s v=""/>
    <m/>
    <s v=""/>
    <s v=""/>
    <n v="300000000"/>
    <n v="100000000"/>
    <n v="0"/>
    <n v="0"/>
    <n v="0"/>
    <s v="Si"/>
    <s v="Chevrolet"/>
    <s v="2009"/>
    <n v="23000000"/>
    <s v="No"/>
    <s v=""/>
    <s v=""/>
    <n v="0"/>
    <s v="No"/>
    <s v=""/>
    <s v=""/>
    <s v=""/>
    <n v="0"/>
    <m/>
    <n v="4"/>
    <n v="4"/>
    <n v="4"/>
    <n v="4"/>
    <n v="4"/>
    <n v="3"/>
    <n v="4"/>
    <n v="4"/>
    <n v="4"/>
    <n v="4"/>
    <n v="39"/>
    <s v="SI"/>
    <s v="SI, TIPO IE"/>
    <s v="PRI SIN TIPO IE"/>
    <s v="pendiente tipo ie"/>
    <e v="#N/A"/>
    <e v="#N/A"/>
    <m/>
    <n v="3"/>
    <n v="4"/>
    <n v="4"/>
    <n v="10"/>
    <n v="20"/>
    <n v="15"/>
    <n v="20"/>
    <n v="6.5"/>
    <n v="5.5"/>
    <n v="74.5"/>
    <n v="0.4"/>
    <m/>
    <n v="2"/>
    <n v="3.5"/>
    <n v="0"/>
    <n v="0"/>
    <n v="2"/>
    <n v="3.5"/>
    <n v="1"/>
    <n v="0"/>
    <n v="75.5"/>
    <n v="0.4"/>
    <n v="0.4"/>
    <e v="#N/A"/>
    <m/>
    <m/>
    <s v="SI, TIPO IE"/>
    <m/>
    <m/>
    <s v="Ingeniería Diseño de Producto"/>
    <e v="#N/A"/>
    <s v="085"/>
    <e v="#N/A"/>
  </r>
  <r>
    <s v="CC"/>
    <n v="1033176413"/>
    <s v="1000405279"/>
    <s v="DIEGO ALEJANDRO OROZCO NARVÁEZ"/>
    <s v="Transferencia Externa"/>
    <x v="1"/>
    <s v="No cumple, puntaje ICFES menor a 300"/>
    <m/>
    <s v="En publico objetivo"/>
    <s v="1er Cohorte"/>
    <s v="Admitido"/>
    <s v="daorozcon@eafit.edu.co"/>
    <e v="#N/A"/>
    <s v="diegonarvaez1315@gmail.com"/>
    <s v="573245614911"/>
    <d v="2025-04-25T00:00:00"/>
    <s v="Activo en Programa"/>
    <s v="084-Derecho"/>
    <s v="Escuela de Derecho"/>
    <d v="2004-03-13T00:00:00"/>
    <n v="21"/>
    <s v="Antioquia"/>
    <s v="Medellín"/>
    <s v="Hombre"/>
    <s v="Soltero"/>
    <s v="NO"/>
    <s v="NO"/>
    <n v="0"/>
    <s v="NO"/>
    <s v="NA"/>
    <s v="NO"/>
    <s v="NA"/>
    <s v="NO"/>
    <s v="NA"/>
    <s v="No"/>
    <s v="324 561 4911"/>
    <s v="573245614911"/>
    <s v="Estrato 2"/>
    <s v="CR 94 A #77 F 56"/>
    <s v="Antioquia"/>
    <s v="Medellín"/>
    <s v="Si"/>
    <s v="Propio"/>
    <s v="SI"/>
    <s v="2020"/>
    <s v="AC202043770658"/>
    <n v="258"/>
    <n v="43"/>
    <n v="57"/>
    <s v="Pública"/>
    <s v="Institución Educativa Técnico Agropecuaria y en Salud de Sonsón"/>
    <n v="2020"/>
    <m/>
    <s v="Sonson"/>
    <s v="Bachillerato"/>
    <s v="Académico"/>
    <m/>
    <n v="0"/>
    <n v="0"/>
    <s v="PCA TEX"/>
    <m/>
    <m/>
    <m/>
    <m/>
    <m/>
    <m/>
    <m/>
    <m/>
    <m/>
    <m/>
    <m/>
    <m/>
    <m/>
    <m/>
    <m/>
    <m/>
    <m/>
    <m/>
    <m/>
    <m/>
    <m/>
    <s v="Ver PCA TEX"/>
    <n v="4.2"/>
    <s v="SI"/>
    <s v="TIPO: Privada, INSTITUCION: UNV. CATÓLICA LUIS AMIGÓFUNLAM, AÑO: 0, CIUDAD: Medellín, TITULO: COMUNICADOR SOCIAL (Medellín)"/>
    <s v="PREGRADO"/>
    <s v=" TITULO: COMUNICADOR SOCIAL (Medellín)"/>
    <s v="No"/>
    <n v="50"/>
    <m/>
    <n v="50"/>
    <m/>
    <n v="45"/>
    <m/>
    <m/>
    <n v="48.333333333333336"/>
    <s v="Con detalle por componente"/>
    <s v="Espacios de liderazgo o representación social,Trabajo social o comunitario,Artísticas o culturales"/>
    <s v="Me visualizo como un abogado comprometido con la defensa de los derechos humanos y el acceso a la justicia. Buscando fortalecer la participación ciudadana en la toma de decisiones locales. Obtener esta beca me permitiría acceder a una educación rigurosa y de excelencia que me brindara las herramientas analíticas y los conocimientos necesarios para trabajar en la creación de mecanismos de resolución de conflictos justos. Imagino un futuro donde, a través de mi labor, se fortalezca el tejido social, generando un desarrollo integral."/>
    <s v="Redes sociales"/>
    <s v="Por la calidad académica."/>
    <s v="Vocación."/>
    <n v="2"/>
    <s v="0"/>
    <s v="SI"/>
    <s v="NO"/>
    <s v="Entre 1 y 2 millones"/>
    <s v="No"/>
    <n v="0"/>
    <n v="0"/>
    <m/>
    <s v="SI"/>
    <s v="Beca"/>
    <s v="NO"/>
    <s v=""/>
    <s v=""/>
    <s v="Sin información"/>
    <n v="0"/>
    <m/>
    <m/>
    <m/>
    <s v=""/>
    <s v=""/>
    <m/>
    <s v=""/>
    <m/>
    <s v=""/>
    <m/>
    <m/>
    <s v=""/>
    <s v="Si"/>
    <s v="Mariluz Narváez"/>
    <s v="Otro"/>
    <s v="BACHILLERATO"/>
    <s v="57"/>
    <s v="Auxiliar administrativa"/>
    <s v="Empleado (con contrato laboral)"/>
    <s v="Auxiliar Administrativa"/>
    <s v="Alcaldía de Sonsón"/>
    <n v="1624457"/>
    <s v="Si"/>
    <s v="NO"/>
    <s v="NO"/>
    <m/>
    <n v="1624457"/>
    <s v="Si"/>
    <s v="Aura Dolly Narváez"/>
    <s v="Abuelo / Abuela"/>
    <s v="88"/>
    <s v="Ama de casa"/>
    <s v="HOGAR"/>
    <n v="0"/>
    <s v="No"/>
    <s v=""/>
    <s v=""/>
    <s v=""/>
    <s v=""/>
    <s v=""/>
    <m/>
    <s v=""/>
    <s v=""/>
    <s v=""/>
    <s v=""/>
    <s v=""/>
    <s v=""/>
    <m/>
    <s v=""/>
    <s v=""/>
    <n v="120000000"/>
    <n v="0"/>
    <n v="0"/>
    <n v="0"/>
    <n v="0"/>
    <s v="No"/>
    <s v=""/>
    <s v=""/>
    <n v="0"/>
    <s v="No"/>
    <s v=""/>
    <s v=""/>
    <n v="0"/>
    <s v="No"/>
    <s v=""/>
    <s v=""/>
    <s v=""/>
    <n v="0"/>
    <m/>
    <n v="4"/>
    <n v="4"/>
    <n v="4"/>
    <n v="4"/>
    <n v="4"/>
    <n v="4"/>
    <n v="4"/>
    <n v="4"/>
    <n v="4"/>
    <n v="4"/>
    <n v="40"/>
    <s v="SI"/>
    <s v="SI, TIPO IE"/>
    <s v="TEX SIN TIPO DE IE"/>
    <s v="pendiente tipo ie"/>
    <e v="#N/A"/>
    <e v="#N/A"/>
    <m/>
    <n v="2"/>
    <n v="10"/>
    <n v="10"/>
    <n v="0"/>
    <n v="15"/>
    <n v="15"/>
    <n v="20"/>
    <n v="16"/>
    <n v="16"/>
    <n v="76"/>
    <n v="0.5"/>
    <m/>
    <n v="3.5"/>
    <n v="2.5"/>
    <n v="8"/>
    <n v="2"/>
    <n v="3.5"/>
    <n v="2.5"/>
    <n v="8"/>
    <n v="2"/>
    <n v="76"/>
    <n v="0.5"/>
    <n v="0.5"/>
    <e v="#N/A"/>
    <m/>
    <m/>
    <s v="SI, TIPO IE"/>
    <m/>
    <m/>
    <s v="Derecho"/>
    <e v="#N/A"/>
    <s v="084"/>
    <e v="#N/A"/>
  </r>
  <r>
    <s v="CC"/>
    <n v="1033177547"/>
    <s v="1000407450"/>
    <s v="MIRANDA VELASQUEZ CARO"/>
    <s v="Estudios por primera vez"/>
    <x v="1"/>
    <s v="No cumple, puntaje ICFES menor a 300"/>
    <m/>
    <s v="En publico objetivo"/>
    <s v="2da Cohorte"/>
    <s v="Admitido"/>
    <s v="mvelasquc2@eafit.edu.co"/>
    <e v="#N/A"/>
    <s v="moontxs1@gmail.com"/>
    <s v="573136427805"/>
    <d v="2025-05-16T00:00:00"/>
    <s v="Activo en Programa"/>
    <s v="168-Psicología"/>
    <s v="Escuela de Artes y Humanidades"/>
    <d v="2004-12-20T00:00:00"/>
    <n v="20"/>
    <s v="Antioquia"/>
    <s v="Medellín"/>
    <s v="Mujer"/>
    <s v="Otro"/>
    <s v="NO"/>
    <s v="NO"/>
    <n v="0"/>
    <s v="NO"/>
    <s v="NA"/>
    <s v="NO"/>
    <s v="NA"/>
    <s v="NO"/>
    <s v="NA"/>
    <s v="No"/>
    <s v="313/642-7805"/>
    <s v="573136427805"/>
    <s v="Estrato 2"/>
    <s v="CL 38 B #28 A- 05"/>
    <s v="Antioquia"/>
    <s v="Medellín"/>
    <s v="No aplica, no soy foráneo"/>
    <s v="Arriendo"/>
    <s v="SI"/>
    <s v="2021"/>
    <s v="AC202146087803"/>
    <n v="268"/>
    <n v="45"/>
    <n v="59"/>
    <s v="Pública"/>
    <s v="INST EDUC MADRE MARIA MAZARELL"/>
    <n v="2021"/>
    <s v="Antioquia"/>
    <s v="Medellín"/>
    <s v="BACHILLER"/>
    <s v="ACAD"/>
    <s v="TIPO: Pública, INSTITUCION: INST EDUC MADRE MARIA MAZARELL, AÑO: 2021, CIUDAD: Medellín, TITULO: BACHILLER"/>
    <s v="11"/>
    <s v="Escala de 0 - 50"/>
    <s v="Escala de 0 - 5"/>
    <s v="4,1"/>
    <s v="4,3"/>
    <m/>
    <s v="45"/>
    <s v="4,3"/>
    <m/>
    <n v="4.5"/>
    <n v="4.5"/>
    <m/>
    <n v="3.8"/>
    <n v="4"/>
    <m/>
    <s v="40"/>
    <s v="40"/>
    <m/>
    <s v="4,1"/>
    <s v="4,3"/>
    <m/>
    <s v="4,1"/>
    <s v="4,3"/>
    <m/>
    <s v="De 9 y 10"/>
    <n v="4.2"/>
    <s v="NO"/>
    <s v="NA"/>
    <n v="0"/>
    <n v="0"/>
    <s v="No"/>
    <n v="40"/>
    <m/>
    <n v="40"/>
    <m/>
    <n v="40"/>
    <m/>
    <s v="Admitida al programa que se inscribió"/>
    <n v="40"/>
    <s v="Con detalle por componente"/>
    <s v="Artísticas o culturales"/>
    <s v="Al verme como una futura psicóloga mi enfoque sería en intentar ofrecer un apoyo a la salud mental de las personas, me gustaría ser de gran ayuda para quienes atraviesan situaciones complicadas, brindando las herramientas para afrontar estás situaciones de la manera más asertivamente posible. Teniendo en cuenta la realidad de nuestro país, marcado por la violencia, la constante tensión económica, el estrés debido a las largas jornadas de trabajo y a la gran falta de oportunidades, está labor se vuelve especialmente relevante. Busco influir positivamente en la comunidad, promoviendo la importancia de la salud mental como un pilar fundamental del bienestar individual y colectivo. Mi objetivo es ayudar a las personas a buscar su bienestar emocional y reconocer su propio valor. Al obtener mi beca en psicología podría impactar significativamente en el pueblo donde crecí ( Ebéjico Antioquia)  ya que me permitiría adquirir las herramientas y una formación solida para poder ayudar a las personas, deseo la implementación de programas de apoyo psicológico accesibles, talleres de manejo de emociones y estrategias de intervención para disminuir las consecuencias de la violencia que allí se presentan. Así mismo, me propongo desarrollar proyectos de concientización sobre la relevancia de la salud mental y como esta influye tanto en nuestra condición física y en como nos relacionamos con nuestro entorno. Mi mayor compromiso sería contribuir a la creación de una sociedad más resiliente y solidaria, dónde el bienestar emocional sea una prioridad y cada persona cuente con las herramientas para desarrollarse plenamente. Está beca representa una oportunidad crucial para convertirme en una persona de cambio para mí comunidad y nuestra sociedad."/>
    <s v="Otro"/>
    <s v="Por la calidad académica."/>
    <s v="Vocación."/>
    <n v="1"/>
    <s v="2"/>
    <s v="NO"/>
    <s v="NO"/>
    <s v="Entre 1 y 2 millones"/>
    <s v="No"/>
    <n v="0"/>
    <n v="0"/>
    <m/>
    <s v="SI"/>
    <s v="Beca"/>
    <s v="NO"/>
    <s v=""/>
    <s v=""/>
    <s v="Si"/>
    <s v="Julio Segundo Velásquez Jaraba"/>
    <s v="Unión marital"/>
    <s v="BACHILLERATO"/>
    <s v="62"/>
    <s v="Independiente"/>
    <s v="Independiente (trabaja por cuenta propia)"/>
    <s v="mantenimiento y reparación de hogares"/>
    <s v="No se encuentra en empresa"/>
    <n v="800000"/>
    <s v="No"/>
    <s v="NO"/>
    <s v="NO"/>
    <s v=""/>
    <s v="Si"/>
    <s v="Dora Lilian Caro Bedoya"/>
    <s v="Unión marital"/>
    <s v="PRIMARIA"/>
    <s v="51"/>
    <s v="Confeccionista"/>
    <s v="Independiente (trabaja por cuenta propia)"/>
    <s v="Confeccionista"/>
    <s v="No se encuentra en empresa"/>
    <n v="1000000"/>
    <s v="No"/>
    <s v="NO"/>
    <s v="NO"/>
    <m/>
    <n v="1800000"/>
    <s v="Si"/>
    <s v="Juan José Rivera Soto"/>
    <s v="Pareja"/>
    <s v="19"/>
    <s v="independiente"/>
    <s v="No se encuentra en empresa"/>
    <n v="1300000"/>
    <s v="Si"/>
    <s v=""/>
    <s v=""/>
    <s v=""/>
    <s v=""/>
    <s v=""/>
    <m/>
    <s v=""/>
    <s v=""/>
    <s v=""/>
    <s v=""/>
    <s v=""/>
    <s v=""/>
    <m/>
    <s v=""/>
    <s v=""/>
    <n v="0"/>
    <n v="0"/>
    <n v="0"/>
    <n v="0"/>
    <n v="0"/>
    <s v="No"/>
    <s v=""/>
    <s v=""/>
    <n v="0"/>
    <s v="No"/>
    <s v=""/>
    <s v=""/>
    <n v="0"/>
    <s v="Si"/>
    <s v="Moto"/>
    <s v="Victory"/>
    <s v="2024"/>
    <n v="5500000"/>
    <m/>
    <n v="2"/>
    <n v="4"/>
    <n v="4"/>
    <n v="4"/>
    <n v="2"/>
    <n v="4"/>
    <n v="2"/>
    <n v="4"/>
    <n v="4"/>
    <n v="3"/>
    <n v="33"/>
    <s v="SI"/>
    <m/>
    <s v="SI, SON PRI"/>
    <s v="ok tienen todos los datos"/>
    <e v="#N/A"/>
    <e v="#N/A"/>
    <m/>
    <n v="3"/>
    <n v="10"/>
    <n v="10"/>
    <n v="0"/>
    <n v="15"/>
    <n v="10"/>
    <n v="10"/>
    <n v="20"/>
    <n v="20"/>
    <n v="65"/>
    <s v="80 - 100%"/>
    <m/>
    <n v="3.5"/>
    <n v="4.5"/>
    <n v="8"/>
    <n v="4"/>
    <n v="3.5"/>
    <n v="4"/>
    <n v="8"/>
    <n v="4.5"/>
    <n v="65"/>
    <s v="80 - 100%"/>
    <n v="0.7"/>
    <e v="#N/A"/>
    <s v="ES DE PARCEROS"/>
    <m/>
    <n v="0"/>
    <m/>
    <m/>
    <s v="Psicología"/>
    <e v="#N/A"/>
    <s v="168"/>
    <e v="#N/A"/>
  </r>
  <r>
    <s v="CC"/>
    <n v="1033180474"/>
    <s v="1000405013"/>
    <s v="LAURA JARAMILLO GAVIRIA"/>
    <s v="Estudios por primera vez"/>
    <x v="1"/>
    <s v="Descartado por PG y pregrado"/>
    <m/>
    <s v="En publico objetivo"/>
    <s v="2da Cohorte"/>
    <s v="Admitido"/>
    <s v="ljaramilg1@eafit.edu.co"/>
    <s v="ljaramilg1@eafit.edu.co"/>
    <s v="laurajaramillo1829@gmail.com"/>
    <s v="573245172593"/>
    <d v="2025-05-16T00:00:00"/>
    <s v="Activo en Programa"/>
    <s v="010-Ingeniería de Sistemas"/>
    <s v="E Ciencias Aplic e Ingeniería"/>
    <d v="2006-10-06T00:00:00"/>
    <n v="19"/>
    <s v="Antioquia"/>
    <s v="Medellín"/>
    <s v="Mujer"/>
    <s v="Soltero"/>
    <s v="NO"/>
    <s v="NO"/>
    <n v="0"/>
    <s v="NO"/>
    <s v="NA"/>
    <s v="NO"/>
    <s v="NA"/>
    <s v="NO"/>
    <s v="NA"/>
    <s v="No"/>
    <s v="324/517-2593"/>
    <s v="573245172593"/>
    <s v="Estrato 1"/>
    <s v="CR 99 EE #49 AA 60 INT 227"/>
    <s v="Antioquia"/>
    <s v="Medellín"/>
    <s v="No aplica, no soy foráneo"/>
    <s v="Propio"/>
    <s v="SI"/>
    <s v="2024"/>
    <s v="AC202432530673"/>
    <n v="338"/>
    <n v="68"/>
    <n v="75"/>
    <s v="Pública"/>
    <s v="INST EDUC SANTA ROSA DE LIMA"/>
    <n v="2024"/>
    <s v="Antioquia"/>
    <s v="Medellín"/>
    <s v="BACHILLER"/>
    <s v="ACAD"/>
    <s v="TIPO: Pública, INSTITUCION: INST EDUC SANTA ROSA DE LIMA, AÑO: 2024, CIUDAD: Medellín, TITULO: BACHILLER"/>
    <s v="11"/>
    <s v="Escala de 0 - 5"/>
    <s v="Escala de 0 - 5"/>
    <s v="4,5"/>
    <s v="4"/>
    <m/>
    <s v="3,4"/>
    <s v="4"/>
    <m/>
    <n v="4.5"/>
    <n v="4"/>
    <m/>
    <n v="4.5"/>
    <n v="4.5"/>
    <m/>
    <s v="4,5"/>
    <s v="5"/>
    <m/>
    <s v="4,5"/>
    <s v="4,5"/>
    <m/>
    <s v="4"/>
    <s v="5"/>
    <m/>
    <s v="De 9 y 10"/>
    <n v="4.375"/>
    <s v="NO"/>
    <s v="NA"/>
    <n v="0"/>
    <n v="0"/>
    <s v="No"/>
    <n v="45"/>
    <m/>
    <n v="45"/>
    <m/>
    <n v="40"/>
    <m/>
    <m/>
    <n v="43.333333333333336"/>
    <s v="Con detalle por componente"/>
    <s v="Ninguna"/>
    <s v="Me visualizo como una ingeniera que usa su conocimiento y sus aprendizajes formados a lo largo de la carrera para crear sistemas que ayuden a mejorar la vida cotidiana de la gente en mi país, especialmente donde haya poco acceso a la tecnología. También, no solo quiero crear e innovar, sino que quiero ayudar tanto como me sea posible a crear espacios para las personas que estén interesadas en esos temas tecnológicos; para así poder apoyar y motivar a investigar y aprender más sobre ellos, especialmente a niños de bajos recursos y mujeres que quieran sentirse cómodas en un espacio en el que no importa el género para aprender y querer aportar."/>
    <s v="Amigos"/>
    <s v="Por estar acreditada."/>
    <s v="Vocación."/>
    <n v="4"/>
    <s v="2"/>
    <s v="NO"/>
    <s v="NO"/>
    <s v="Entre 3 y 4 millones"/>
    <s v="No"/>
    <s v="SI"/>
    <s v="NO"/>
    <m/>
    <s v="SI"/>
    <s v="Patrocinio empresarial"/>
    <s v="NO"/>
    <s v=""/>
    <s v=""/>
    <s v="Si"/>
    <s v="Carlos Alveiro Jaramillo Gómez"/>
    <s v="Casado"/>
    <s v="PRIMARIA"/>
    <s v="55"/>
    <s v="Técnico electrónico"/>
    <s v="Independiente (trabaja por cuenta propia)"/>
    <s v="Reparar equipos electrónicos"/>
    <s v="Ninguna"/>
    <n v="1250000"/>
    <s v="Si"/>
    <s v="NO"/>
    <s v="NO"/>
    <s v=""/>
    <s v="Si"/>
    <s v="Isabel Cristina Gaviria Mejía"/>
    <s v="Casado"/>
    <s v="PRIMARIA"/>
    <s v="56"/>
    <s v="Empleada doméstica"/>
    <s v="Independiente (trabaja por cuenta propia)"/>
    <s v="Actividades domésticas en casas por días"/>
    <s v="NINGUNA"/>
    <n v="1388000"/>
    <s v="Si"/>
    <s v="NO"/>
    <s v="NO"/>
    <m/>
    <n v="2638000"/>
    <s v="Si"/>
    <s v="Alexandra Jaramillo Gaviria"/>
    <s v="Hermano / Hermana"/>
    <s v="28"/>
    <s v="Asistente administrativa"/>
    <s v="Eafit"/>
    <n v="2323748"/>
    <s v="Si"/>
    <s v="Carolina Jaramillo Gaviria"/>
    <s v="Hermano / Hermana"/>
    <s v="25"/>
    <s v="Asesora vendedora"/>
    <s v="S.I MER"/>
    <n v="1663356"/>
    <s v="No"/>
    <s v=""/>
    <s v=""/>
    <s v=""/>
    <s v=""/>
    <s v=""/>
    <m/>
    <s v=""/>
    <s v=""/>
    <n v="77901000"/>
    <n v="0"/>
    <n v="0"/>
    <n v="0"/>
    <n v="0"/>
    <s v="No"/>
    <s v=""/>
    <s v=""/>
    <n v="0"/>
    <s v="No"/>
    <s v=""/>
    <s v=""/>
    <n v="0"/>
    <s v="No"/>
    <s v=""/>
    <s v=""/>
    <s v=""/>
    <n v="0"/>
    <m/>
    <n v="4"/>
    <n v="3"/>
    <n v="4"/>
    <n v="4"/>
    <n v="4"/>
    <n v="3"/>
    <n v="4"/>
    <n v="4"/>
    <n v="3"/>
    <n v="4"/>
    <n v="37"/>
    <s v="SI"/>
    <m/>
    <s v="SI, SON PRI"/>
    <s v="ok tienen todos los datos"/>
    <e v="#N/A"/>
    <e v="#N/A"/>
    <m/>
    <n v="3"/>
    <n v="6"/>
    <n v="6"/>
    <n v="10"/>
    <n v="15"/>
    <n v="15"/>
    <n v="15"/>
    <n v="17"/>
    <n v="17"/>
    <n v="78"/>
    <n v="0.5"/>
    <m/>
    <n v="3.5"/>
    <n v="2.5"/>
    <n v="8"/>
    <n v="3"/>
    <n v="3.5"/>
    <n v="2.5"/>
    <n v="8"/>
    <n v="3"/>
    <n v="78"/>
    <n v="0.6"/>
    <n v="0.6"/>
    <e v="#N/A"/>
    <m/>
    <m/>
    <n v="0"/>
    <m/>
    <m/>
    <s v="Ingeniería de Sistemas"/>
    <e v="#N/A"/>
    <s v="010"/>
    <e v="#N/A"/>
  </r>
  <r>
    <s v="CC"/>
    <n v="1033181028"/>
    <s v="1000407270"/>
    <s v="MARIA JOSE MONTOYA AGUDELO"/>
    <s v="Estudios por primera vez"/>
    <x v="1"/>
    <s v="Descartado por ingresos altos"/>
    <s v="Vivienda mayor valor, madre no reporta estudios"/>
    <s v="En publico objetivo"/>
    <s v="2da Cohorte"/>
    <s v="Admitido"/>
    <s v="mjmontoya4@eafit.edu.co"/>
    <e v="#N/A"/>
    <s v="majomontoyagudelo@gmail.com"/>
    <s v="573203329915, 6042119700"/>
    <d v="2025-05-16T00:00:00"/>
    <s v="Matrícula"/>
    <s v="169-Mercadeo"/>
    <s v="Escuela de Administración"/>
    <s v="11/01/2007"/>
    <n v="18"/>
    <s v="Antioquia"/>
    <s v="Medellín"/>
    <s v="Mujer"/>
    <s v="Soltero"/>
    <s v="NO"/>
    <s v="NO"/>
    <s v="NA"/>
    <s v="NO"/>
    <s v="NA"/>
    <s v="NO"/>
    <s v="NA"/>
    <s v="NO"/>
    <s v="NA"/>
    <s v="No"/>
    <s v="NA"/>
    <s v="NA"/>
    <s v="Estrato 3"/>
    <s v="CL 78 NÚMERO 50 B 33"/>
    <s v="Antioquia"/>
    <s v="Medellín"/>
    <s v="No aplica, no soy foráneo"/>
    <s v="Propio"/>
    <s v="SI"/>
    <s v="2023"/>
    <s v="AC202345588983"/>
    <n v="334"/>
    <n v="64"/>
    <n v="72"/>
    <s v="Privada"/>
    <s v="COL NUESTRA SEÑORA DE LOURDES"/>
    <n v="2023"/>
    <m/>
    <s v="Medellín"/>
    <s v="Bachillerato"/>
    <s v="Técnico"/>
    <m/>
    <s v="Once"/>
    <s v="0-5"/>
    <s v="Escala de 0 - 5"/>
    <m/>
    <m/>
    <m/>
    <m/>
    <m/>
    <m/>
    <n v="4.8"/>
    <n v="4.9000000000000004"/>
    <m/>
    <n v="4.5999999999999996"/>
    <n v="4.5"/>
    <m/>
    <m/>
    <m/>
    <m/>
    <m/>
    <m/>
    <m/>
    <m/>
    <m/>
    <m/>
    <s v="De 9 y 10"/>
    <n v="4.6999999999999993"/>
    <s v="NO"/>
    <s v="NA"/>
    <n v="0"/>
    <n v="0"/>
    <s v="No"/>
    <s v="Sin informacion"/>
    <s v="Sin informacion"/>
    <s v="Sin informacion"/>
    <s v="Sin informacion"/>
    <s v="Sin informacion"/>
    <s v="Sin informacion"/>
    <s v="Sin informacion"/>
    <n v="48.332999999999998"/>
    <s v="Sin detalle por componente"/>
    <s v="Artísticas o culturales"/>
    <s v="Para empezar, en este escrito expresaré cómo me veo en un futuro ejerciendo mi carrera e innovando en mi ciudad, gracias a la beca que me permita estudiar. Me veo ejerciendo esta profesión en una empresa innovadora. Trabajando con marcas que crean campañas creativas grandes, como, Coca Cola, Apple, Procter &amp; Gamble, Amazon, entre otras. _x000a__x000a_Me veo trabajando con marcas que me permitan aplicar todo mi conocimiento y potencial, a través del análisis, la estrategia, la creatividad y la persuasión. Implementando los aprendizajes que me van a dejar espacios tan importantes que ofrece la universidad como, MercaLAB, el club de mercadeo de la universidad Eafit, el Congreso Anual de Mercadeo, a demás de las relaciones con personas de la industria y marcas importantes que la universidad puede dejarme como estudiante._x000a__x000a_Por otra parte estoy dispuesta a explorar otras posibilidades en las que también me interesa desempeñarme, cargos como, Gerente de marca, Content manager, Especialista en relaciones públicas y  Product manager. Veo esta carrera como mi única opción, y la única que resuena con mis habilidades y objetivos._x000a__x000a_Ahora, respecto a cómo por medio de la beca puedo transformar mi ciudad, puedo decir, primero que, la beca es la herramienta que me dará la oportunidad de poder acceder a la educación superior y cumplir mi sueño de estudiar mercadeo. Así que, con los conocimientos y habilidades que adquiera, podré implementar estrategias de mercadeo que fortalezcan los negocios locales. Como ayudar a un emprendedor a establecer su marca, aumentar las ventas y crear empleo. Porque por mi parte, también quiero crear una agencia de marketing que potencialice las marcas locales._x000a__x000a_Para terminar, podría compartir mi conocimiento con otros jóvenes e inspirar una generación de profesionales en mercadeo. La beca representa una oportunidad para continuar con mis estudios, y hacer realidad lo planteado."/>
    <s v="Estudiantes de EAFIT"/>
    <s v="Por la calidad académica."/>
    <s v="Vocación."/>
    <n v="2"/>
    <s v="0"/>
    <s v="SI"/>
    <s v="NO"/>
    <s v="Entre 1 y 2 millones"/>
    <s v="No"/>
    <n v="0"/>
    <n v="0"/>
    <m/>
    <s v="Y"/>
    <m/>
    <s v="NO"/>
    <s v="NA"/>
    <s v="NA"/>
    <s v="Sin información"/>
    <n v="0"/>
    <m/>
    <m/>
    <m/>
    <s v=""/>
    <s v=""/>
    <m/>
    <s v=""/>
    <m/>
    <s v=""/>
    <m/>
    <m/>
    <s v=""/>
    <s v="Si"/>
    <s v="Kelly Sabrina Agudelo Torres"/>
    <m/>
    <m/>
    <m/>
    <s v="Comunicadora corporativa"/>
    <s v="Empleado (con contrato laboral)"/>
    <s v="Ejecutiva de servicios empresariales"/>
    <s v="FARO seguridad LTDA"/>
    <n v="1423500"/>
    <s v="No"/>
    <m/>
    <m/>
    <s v="Es una excelente madre, con la que tengo muy buena comunicación, y me apoya en todo, especialmente en mi camino a la educación superior y la carrera de mercadeo."/>
    <n v="1423500"/>
    <s v="Si"/>
    <s v="Augusto Agudelo Monsalve"/>
    <s v="Abuelo / Abuela"/>
    <s v="81"/>
    <s v="Pensionado"/>
    <s v="Banco de Colombia"/>
    <n v="2100000"/>
    <s v="Si"/>
    <s v="Bertha Lía Torres de Agudelo"/>
    <s v="Abuelo / Abuela"/>
    <s v="75"/>
    <s v="Ama de casa"/>
    <s v="N/A"/>
    <n v="0"/>
    <s v="No"/>
    <s v=""/>
    <s v=""/>
    <s v=""/>
    <s v=""/>
    <s v=""/>
    <m/>
    <s v=""/>
    <s v="Son unos abuelos muy responsables, entusiasmados con que entre a la universidad."/>
    <n v="187330000"/>
    <n v="0"/>
    <n v="0"/>
    <n v="0"/>
    <n v="0"/>
    <s v="No"/>
    <s v=""/>
    <s v=""/>
    <n v="0"/>
    <s v="No"/>
    <s v=""/>
    <s v=""/>
    <n v="0"/>
    <s v="No"/>
    <s v=""/>
    <s v=""/>
    <s v=""/>
    <n v="0"/>
    <m/>
    <n v="3"/>
    <n v="4"/>
    <n v="4"/>
    <n v="4"/>
    <n v="4"/>
    <n v="4"/>
    <n v="3"/>
    <n v="4"/>
    <n v="4"/>
    <n v="3"/>
    <n v="37"/>
    <s v="SI"/>
    <s v="SI, ICFES"/>
    <s v="PRI SIN PUNTAJE ICFES, TIPO IES, DETALLE OTROS ESTUDIOS Y DETALLE ENTREVISTA"/>
    <s v="ok se subsana datos contra doc y llamada"/>
    <n v="0.4"/>
    <n v="20241"/>
    <m/>
    <n v="3"/>
    <n v="10"/>
    <n v="8"/>
    <n v="10"/>
    <n v="20"/>
    <n v="15"/>
    <n v="20"/>
    <n v="14.5"/>
    <n v="14.5"/>
    <n v="89.5"/>
    <n v="0.4"/>
    <m/>
    <n v="2"/>
    <n v="2.5"/>
    <n v="8"/>
    <n v="2"/>
    <n v="2"/>
    <n v="2.5"/>
    <n v="8"/>
    <n v="2"/>
    <n v="87.5"/>
    <n v="0.5"/>
    <n v="0.5"/>
    <e v="#N/A"/>
    <m/>
    <m/>
    <s v="SI, ICFES"/>
    <s v="EN ORDEN"/>
    <n v="0"/>
    <s v="Mercadeo"/>
    <s v="Pres. para revision docs nutresa"/>
    <s v="169"/>
    <e v="#N/A"/>
  </r>
  <r>
    <s v="TI"/>
    <n v="1033182395"/>
    <s v="1000377473"/>
    <s v="ISABELLA SALAZAR PANIAGUA"/>
    <s v="Estudios por primera vez"/>
    <x v="1"/>
    <s v="Descartado por bajo icfes"/>
    <m/>
    <s v="En publico objetivo"/>
    <s v="2da Cohorte"/>
    <s v="Admitido"/>
    <s v="isalazarp1@eafit.edu.co"/>
    <s v="isalazarp1@eafit.edu.co"/>
    <s v="yulapani@gmail.com"/>
    <s v="573006656762"/>
    <d v="2025-05-16T00:00:00"/>
    <s v="Activo en Programa"/>
    <s v="001-Administración de Negocios"/>
    <s v="Escuela de Administración"/>
    <d v="2007-07-24T00:00:00"/>
    <n v="18"/>
    <s v="Antioquia"/>
    <s v="Medellín"/>
    <s v="Mujer"/>
    <s v="Soltero"/>
    <s v="NO"/>
    <s v="NO"/>
    <n v="0"/>
    <s v="NO"/>
    <s v="NA"/>
    <s v="NO"/>
    <s v="NA"/>
    <s v="NO"/>
    <s v="NA"/>
    <s v="No"/>
    <s v="300/502-5050"/>
    <s v="573006656762"/>
    <s v="Estrato 3"/>
    <s v="CL 76 50 61"/>
    <s v="Antioquia"/>
    <s v="Medellín"/>
    <s v="No aplica, no soy foráneo"/>
    <s v="Familiar"/>
    <s v="SI"/>
    <s v="2024"/>
    <s v="AC202433225935"/>
    <n v="310"/>
    <n v="70"/>
    <n v="66"/>
    <s v="Pública"/>
    <s v="INST EDUC SAN JUAN BOSCO"/>
    <n v="2024"/>
    <s v="Antioquia"/>
    <s v="Medellín"/>
    <s v="BACHILLER"/>
    <s v="TECN"/>
    <s v="TIPO: Pública, INSTITUCION: INST EDUC SAN JUAN BOSCO, AÑO: 2024, CIUDAD: Medellín, TITULO: BACHILLER"/>
    <s v="11"/>
    <s v="Escala Desempeño"/>
    <s v="Escala de 0 - 5"/>
    <s v="4,5"/>
    <s v="4"/>
    <m/>
    <s v="4,5"/>
    <s v="4"/>
    <m/>
    <n v="4.5"/>
    <n v="4.5"/>
    <m/>
    <n v="5"/>
    <n v="4.5"/>
    <m/>
    <s v="5"/>
    <s v="4,5"/>
    <m/>
    <s v="4,5"/>
    <s v="4,5"/>
    <m/>
    <s v="5"/>
    <s v="5"/>
    <m/>
    <s v="De 9 y 10"/>
    <n v="4.625"/>
    <s v="NO"/>
    <s v="NA"/>
    <n v="0"/>
    <n v="0"/>
    <s v="No"/>
    <n v="40"/>
    <m/>
    <n v="45"/>
    <m/>
    <n v="45"/>
    <m/>
    <s v="Tiene 17 años, vive en campo valdes y estudió en el Instituto San Juan Bosco con técnica en programación de sofware, le gusta administración por el liderazgo y siente que esta carrera le dará herramientas para impactar la sociedad, tambien le gusta trabajar en equipo y lograr los objetivos, eligió EAFIT por la calidad académica y por la beca talento."/>
    <n v="43.333333333333336"/>
    <s v="Con detalle por componente"/>
    <s v="Deportistas de alto rendimiento o representativo"/>
    <s v="Me visualizo como una administradora de negocios con una visión estratégica, social y global.  Me veo liderando proyectos que no solo generen rentabilidad, sino que también trabajen por la equidad, el desarrollo sustentable, y el bienestar colectivo. Quiero ejercer mi profesión éticamente y con responsabilidad, ayudando en la transformación de empresas y emprendimientos con visión, de una forma innovadora, creativa y humana._x000a__x000a_Sueño con desarrollar iniciativas que fomenten el emprendimiento en la población de riesgo social en mi país. Obras que en realidad permitan el desarrollo económico y social del país. A través del conocimiento adquirido en la universidad, tengo la intención de capacitar y guiar a pequeños emprendedores de su entorno para que ellos aprendan a organizar sus ideas, así como a tomar decisiones estratégicas en función del valor que puedan generar dentro de su entorno._x000a__x000a_Obtener esta beca resulta una oportunidad transformadora. No solo me permitirá acceder a una educación de alta calidad, sino que también me dará las herramientas necesarias para multiplicar mi conocimiento en mi comunidad. Con la preparación que recibiré podría elaborar en planes de acción sostenibles, buscar alianzas, y movilizar fondos para mejorar en gran medida la calidad de vida de muchas personas._x000a__x000a_Quiero demostrar que desde la administración también se puede construir un mejor país. Está beca no solo me ayuda a mí, también es una inversión en el desarrollo de una joven comprometida con el desarrollo social, que quiere trabajar con disciplina para un futuro más justo,  llenos de oportunidades para todos y así promover una un impacto social."/>
    <s v="Página WEB"/>
    <s v="Por la calidad académica."/>
    <s v="Vocación."/>
    <n v="2"/>
    <s v="0"/>
    <s v="SI"/>
    <s v="NO"/>
    <s v="Entre 5 y 6 millones"/>
    <s v="No"/>
    <n v="0"/>
    <n v="0"/>
    <m/>
    <s v="SI"/>
    <s v="Beca"/>
    <s v="NO"/>
    <s v=""/>
    <s v=""/>
    <s v="Sin información"/>
    <s v="HORACIO DE JESUS SALAZAR"/>
    <s v="Soltero"/>
    <s v="BACHILLERATO"/>
    <s v="47"/>
    <s v=""/>
    <s v=""/>
    <m/>
    <s v=""/>
    <m/>
    <s v=""/>
    <s v="NO"/>
    <s v="NO"/>
    <s v=""/>
    <s v="Si"/>
    <s v="Yuliana Andrea Paniagua Bravo"/>
    <s v="Soltero"/>
    <s v="TECNOLOGÍA"/>
    <s v="38"/>
    <s v="Tecnóloga en Gestión del Talento Humano"/>
    <s v="Empleado (con contrato laboral)"/>
    <s v="Directora Admistrativa"/>
    <s v="VSDC SAS"/>
    <n v="4300000"/>
    <s v="Si"/>
    <s v="SI"/>
    <s v="NO"/>
    <s v="Madre soltera y cabeza de hogar, quien es la proveedora y encargada de velar por el bienestar de las personas que hacemos parte del hogar."/>
    <n v="4300000"/>
    <s v="Si"/>
    <s v="Nazaret Bravo Bedoya"/>
    <s v="Abuelo / Abuela"/>
    <s v="61"/>
    <s v="independiente"/>
    <s v="N/A"/>
    <n v="0"/>
    <s v="No"/>
    <s v=""/>
    <s v=""/>
    <s v=""/>
    <s v=""/>
    <s v=""/>
    <m/>
    <s v=""/>
    <s v=""/>
    <s v=""/>
    <s v=""/>
    <s v=""/>
    <s v=""/>
    <m/>
    <s v=""/>
    <s v="Mi núcleo familiar se compone por mi mamá quien es la responsable del sostenimiento del hogar y mi abuela de 62 años de edad quien se desempeña como independiente, pero sus ingresos no son suficientes para aportar económicamente al hogar."/>
    <n v="176000000"/>
    <n v="0"/>
    <n v="0"/>
    <n v="0"/>
    <n v="0"/>
    <s v="No"/>
    <s v=""/>
    <s v=""/>
    <n v="0"/>
    <s v="No"/>
    <s v=""/>
    <s v=""/>
    <n v="0"/>
    <s v="Si"/>
    <s v="Moto"/>
    <s v="yamaha"/>
    <s v="2022"/>
    <n v="12000000"/>
    <m/>
    <n v="4"/>
    <n v="4"/>
    <n v="4"/>
    <n v="4"/>
    <n v="4"/>
    <n v="4"/>
    <n v="4"/>
    <n v="4"/>
    <n v="4"/>
    <n v="4"/>
    <n v="40"/>
    <s v="SI"/>
    <m/>
    <s v="SI, SON PRI"/>
    <s v="ok tienen todos los datos"/>
    <s v="Negada"/>
    <n v="20251"/>
    <m/>
    <n v="3"/>
    <n v="10"/>
    <n v="8"/>
    <n v="5"/>
    <n v="20"/>
    <n v="15"/>
    <n v="15"/>
    <n v="16"/>
    <n v="15"/>
    <n v="80"/>
    <n v="0.4"/>
    <m/>
    <n v="3.5"/>
    <n v="3.5"/>
    <n v="6"/>
    <n v="2"/>
    <n v="3.5"/>
    <n v="3.5"/>
    <n v="7"/>
    <n v="2"/>
    <n v="79"/>
    <n v="0.5"/>
    <n v="0.5"/>
    <e v="#N/A"/>
    <m/>
    <m/>
    <n v="0"/>
    <m/>
    <m/>
    <s v="Administración de Negocios"/>
    <e v="#N/A"/>
    <s v="001"/>
    <e v="#N/A"/>
  </r>
  <r>
    <s v="TI"/>
    <n v="1033182856"/>
    <s v="1000406832"/>
    <s v="TOMAS FELIPE GUERRA BEDOYA"/>
    <s v="Estudios por primera vez"/>
    <x v="1"/>
    <s v="No cumple, puntaje ICFES menor a 300"/>
    <m/>
    <s v="En publico objetivo"/>
    <s v="2da Cohorte"/>
    <s v="Admitido"/>
    <s v="tfguerrab@eafit.edu.co"/>
    <e v="#N/A"/>
    <s v="tomasfgb7@gmail.com"/>
    <s v="324/256-9779"/>
    <d v="2025-05-16T00:00:00"/>
    <s v="Activo en Programa"/>
    <s v="199-Finanzas"/>
    <s v="E.Finanzas, Economía, Gobierno"/>
    <d v="2007-09-03T00:00:00"/>
    <n v="18"/>
    <s v="Antioquia"/>
    <s v="Medellín"/>
    <s v="Hombre"/>
    <s v="Soltero"/>
    <s v="NO"/>
    <s v="NO"/>
    <n v="0"/>
    <s v="NO"/>
    <s v="NA"/>
    <s v="NO"/>
    <s v="NA"/>
    <s v="NO"/>
    <s v="NA"/>
    <s v="No"/>
    <s v="350/834-7891"/>
    <s v="324/256-9779"/>
    <s v="Estrato 3"/>
    <s v="calle 59 #  152-116 piso 3"/>
    <s v="Antioquia"/>
    <s v="Medellín"/>
    <s v="No aplica, no soy foráneo"/>
    <s v="Familiar"/>
    <s v="SI"/>
    <s v="2024"/>
    <s v="AC202435849757"/>
    <n v="296"/>
    <n v="67"/>
    <n v="60"/>
    <s v="Pública"/>
    <s v="I. E. MARIA AUXILIADORA"/>
    <n v="2024"/>
    <s v="Antioquia"/>
    <s v="Caldas"/>
    <s v="BACHILLER"/>
    <s v="ACAD"/>
    <s v="TIPO: Pública, INSTITUCION: I. E. MARIA AUXILIADORA, AÑO: 2024, CIUDAD: Caldas, TITULO: BACHILLER"/>
    <s v="11"/>
    <s v="Escala Desempeño"/>
    <s v="Escala de 0 - 5"/>
    <s v="4"/>
    <s v="4"/>
    <m/>
    <s v="4"/>
    <s v="4"/>
    <m/>
    <n v="4"/>
    <n v="4"/>
    <m/>
    <n v="4.5"/>
    <n v="4.5"/>
    <m/>
    <s v="4"/>
    <s v="4"/>
    <m/>
    <s v="4"/>
    <s v="4"/>
    <m/>
    <s v="4"/>
    <s v="4,5"/>
    <m/>
    <s v="De 9 y 10"/>
    <n v="4.25"/>
    <s v="NO"/>
    <s v="NA"/>
    <n v="0"/>
    <n v="0"/>
    <s v="No"/>
    <n v="40"/>
    <m/>
    <n v="40"/>
    <m/>
    <n v="40"/>
    <m/>
    <s v="Se graduó 2023_x000a_Saber 11 puntaje 296"/>
    <n v="40"/>
    <s v="Con detalle por componente"/>
    <s v="Ninguna"/>
    <s v="Me visualizo como un profesional en Finanzas con un profundo deseo de aprender, motivado no solo por las oportunidades laborales, sino también por la importancia de adquirir conocimiento que me permita emprender con propósito. Aspiro a comprender cómo funciona el mercado y de qué manera las decisiones financieras impactan la vida de las personas y el desarrollo de las comunidades._x000a__x000a_A través del conocimiento que deseo obtener, quiero entender los cambios y tendencias del mercado que afectan a mi región, con el objetivo de identificar soluciones de forma oportuna y eficaz. Mi intención es aportar valor no solo desde lo técnico, sino también desde lo humano, ayudando a crear estrategias financieras que impulsen el bienestar colectivo."/>
    <s v="A través del Colegio"/>
    <s v="Por la calidad académica."/>
    <s v="Vocación."/>
    <n v="4"/>
    <s v="4"/>
    <s v="NO"/>
    <s v="NO"/>
    <s v="Entre 2 y 3 millones"/>
    <s v="No"/>
    <s v="NO"/>
    <s v="NO"/>
    <m/>
    <s v="SI"/>
    <s v="Beca"/>
    <s v="NO"/>
    <s v=""/>
    <s v=""/>
    <s v="Si"/>
    <s v="FABIAN ALBERTO GUERRA CANO"/>
    <m/>
    <s v="PRIMARIA"/>
    <m/>
    <s v="Taxista"/>
    <s v="Independiente (trabaja por cuenta propia)"/>
    <s v="TAXISTA"/>
    <s v="Trabajador independiente / Servicio de taxi"/>
    <n v="1300000"/>
    <s v="Si"/>
    <s v="SI"/>
    <s v="NO"/>
    <s v=""/>
    <s v="Si"/>
    <s v="HERCILIA BEDOYA CANO"/>
    <s v="Soltero"/>
    <s v="MAESTRÍA"/>
    <s v="47"/>
    <s v="Docente"/>
    <s v="Empleado (con contrato laboral)"/>
    <s v="DOCENTE DE PRIMARIA"/>
    <s v="MINISTERIO DE EDUCACIÓN"/>
    <n v="4000000"/>
    <s v="No"/>
    <s v="NO"/>
    <s v="NO"/>
    <m/>
    <n v="5300000"/>
    <s v="Si"/>
    <s v="PABLO ANDRES GUERRA BEDOYA"/>
    <s v="Hermano / Hermana"/>
    <s v="27"/>
    <s v="Estudiante"/>
    <s v="UNIVERSIDAD DE LA RIOJA"/>
    <n v="1000000"/>
    <s v="No"/>
    <s v="FABIAN MAURICIO GUERRA BEDOYA"/>
    <s v="Hermano / Hermana"/>
    <s v="29"/>
    <s v="Trabajador Independiente"/>
    <s v="DESARROLLADOR WEB"/>
    <n v="1700000"/>
    <s v="Si"/>
    <s v="SIMON DAVID GUERRA BEDOYA"/>
    <s v="Hermano / Hermana"/>
    <s v="20"/>
    <s v="TRABAJADOR INFORMAL"/>
    <s v="INDRIVE"/>
    <n v="1400000"/>
    <s v="No"/>
    <s v=""/>
    <n v="0"/>
    <n v="0"/>
    <n v="0"/>
    <n v="0"/>
    <n v="0"/>
    <s v="Si"/>
    <s v="YAMAHA"/>
    <s v="2022"/>
    <n v="1300000"/>
    <s v="No"/>
    <s v=""/>
    <s v=""/>
    <n v="0"/>
    <s v="No"/>
    <s v=""/>
    <s v=""/>
    <s v=""/>
    <n v="0"/>
    <m/>
    <n v="4"/>
    <n v="3"/>
    <n v="2"/>
    <n v="3"/>
    <n v="4"/>
    <n v="3"/>
    <n v="4"/>
    <n v="3"/>
    <n v="4"/>
    <n v="4"/>
    <n v="34"/>
    <s v="SI"/>
    <m/>
    <s v="SI, SON PRI"/>
    <s v="ok tienen todos los datos"/>
    <e v="#N/A"/>
    <e v="#N/A"/>
    <m/>
    <n v="2"/>
    <n v="10"/>
    <n v="8"/>
    <n v="0"/>
    <n v="15"/>
    <n v="10"/>
    <n v="10"/>
    <n v="17.5"/>
    <n v="14"/>
    <n v="59"/>
    <n v="0.4"/>
    <m/>
    <n v="3.5"/>
    <n v="3.5"/>
    <n v="3"/>
    <n v="4"/>
    <n v="3.5"/>
    <n v="3.5"/>
    <n v="6"/>
    <n v="4.5"/>
    <n v="60.5"/>
    <n v="0.6"/>
    <n v="0.5"/>
    <e v="#N/A"/>
    <m/>
    <m/>
    <n v="0"/>
    <m/>
    <m/>
    <s v="Finanzas"/>
    <e v="#N/A"/>
    <s v="199"/>
    <e v="#N/A"/>
  </r>
  <r>
    <s v="TI"/>
    <n v="1033183024"/>
    <s v="1000403678"/>
    <s v="JUAN CAMILO PARRA BONILLA"/>
    <s v="Estudios por primera vez"/>
    <x v="1"/>
    <s v="Descartado por ingresos altos"/>
    <m/>
    <s v="En publico objetivo"/>
    <s v="1er Cohorte"/>
    <s v="Admitido"/>
    <s v="jcparrab@eafit.edu.co"/>
    <s v="jcparrab@eafit.edu.co"/>
    <s v="kamipb2007@gmail.com"/>
    <s v="573144858582"/>
    <d v="2025-04-28T00:00:00"/>
    <s v="Activo en Programa"/>
    <s v="001-Administración de Negocios"/>
    <s v="Escuela de Administración"/>
    <d v="2007-10-20T00:00:00"/>
    <n v="18"/>
    <s v="Antioquia"/>
    <s v="Medellín"/>
    <s v="Hombre"/>
    <s v="Soltero"/>
    <s v="NO"/>
    <s v="NO"/>
    <n v="0"/>
    <s v="NO"/>
    <s v="NA"/>
    <s v="NO"/>
    <s v="NA"/>
    <s v="NO"/>
    <s v="NA"/>
    <s v="No"/>
    <s v="314/485-8582"/>
    <s v="573144858582"/>
    <s v="Estrato 2"/>
    <s v="CL 31 #61 120 (INT 106 )"/>
    <s v="Antioquia"/>
    <s v="Itagui"/>
    <s v="No aplica, no soy foráneo"/>
    <s v="Familiar"/>
    <s v="SI"/>
    <s v="2024"/>
    <s v="AC202433122439"/>
    <n v="363"/>
    <n v="81"/>
    <n v="66"/>
    <s v="Privada"/>
    <s v="COLEGIO LUIS AMIGO"/>
    <n v="2024"/>
    <s v="Antioquia"/>
    <s v="La Estrella"/>
    <s v="BACHILLER"/>
    <s v="TECN"/>
    <s v="TIPO: Privada, INSTITUCION: COLEGIO LUIS AMIGO, AÑO: 2024, CIUDAD: La Estrella, TITULO: BACHILLER"/>
    <s v="11"/>
    <s v="Escala de 0 - 5"/>
    <s v="Escala de 0 - 5"/>
    <s v="3,2"/>
    <s v="3,8"/>
    <m/>
    <s v="3,2"/>
    <s v="3,2"/>
    <m/>
    <n v="3.7"/>
    <n v="3.4"/>
    <m/>
    <n v="3.5"/>
    <n v="3.8"/>
    <m/>
    <s v="4,5"/>
    <s v="3,2"/>
    <m/>
    <s v="3,7"/>
    <s v="4,1"/>
    <m/>
    <s v="3,9"/>
    <s v="3,2"/>
    <m/>
    <s v="De 9 y 10"/>
    <n v="3.5999999999999996"/>
    <s v="NO"/>
    <s v="NA"/>
    <n v="0"/>
    <n v="0"/>
    <s v="No"/>
    <n v="40"/>
    <m/>
    <n v="45"/>
    <m/>
    <n v="45"/>
    <m/>
    <s v="estudia en la Luis Amigó de la estrella, le gusta administración por el campo tan amplio, le gusta EAFIT por el reconocimiento y estudia ingles"/>
    <n v="43.333333333333336"/>
    <s v="Con detalle por componente"/>
    <s v="Ninguna"/>
    <s v="Desde siempre me he visualizado como una persona con emprendimientos, Tengo en mente que EAFIT es una universidad que forma grandes mentes emprendedoras, me gustaría iniciar mi propio negocio, generar empleo, aportar y dejar una huella positiva en la sociedad, me veo en un futuro creando y administrando mis propios emprendimientos, generando oportunidades y con la convicción de que mi paso por la universidad EAFIT, será el inicio de un camino hacia el crecimiento y la realización."/>
    <s v="Referencias familiares"/>
    <s v="Por la calidad académica."/>
    <s v="Vocación."/>
    <n v="3"/>
    <s v="1"/>
    <s v="SI"/>
    <s v="NO"/>
    <s v="Entre 8 y 9 millones"/>
    <s v="No"/>
    <n v="0"/>
    <s v="SI"/>
    <s v="Crédito entidad externa"/>
    <s v="NO"/>
    <m/>
    <s v="NO"/>
    <s v=""/>
    <s v=""/>
    <s v="Si"/>
    <s v="Diego Fernando Parra Carmona"/>
    <m/>
    <m/>
    <m/>
    <s v="Electricista"/>
    <s v="Otra"/>
    <s v="Desconozco la información"/>
    <s v="Desconozco la información"/>
    <n v="0"/>
    <s v="No"/>
    <m/>
    <m/>
    <s v="Padre ausente. No poseo información detallada de él."/>
    <s v="Si"/>
    <s v="Mónica Lucia Bonilla Ruiz"/>
    <s v="Soltero"/>
    <s v="ESPECIALIZACIÓN"/>
    <s v="39"/>
    <s v="Médico"/>
    <s v="Empleado (con contrato laboral)"/>
    <s v="Médico general"/>
    <s v="Metrosalud ESE"/>
    <n v="8227603"/>
    <s v="No"/>
    <s v="SI"/>
    <s v="NO"/>
    <m/>
    <n v="8227603"/>
    <s v="Si"/>
    <s v="Bernardo Antonio Bonilla Osorio"/>
    <s v="Abuelo / Abuela"/>
    <s v="67"/>
    <s v="Desempleado"/>
    <s v="NA"/>
    <n v="600000"/>
    <s v="Si"/>
    <s v="Blanca Rocío Ruiz Hoyos"/>
    <s v="Abuelo / Abuela"/>
    <s v="66"/>
    <s v="Ama de casa"/>
    <s v="NA"/>
    <n v="0"/>
    <s v="No"/>
    <s v="Jesica Bonilla Ruiz"/>
    <s v="Tío / Tía"/>
    <s v="28"/>
    <s v="Desempleada"/>
    <s v="NA"/>
    <n v="0"/>
    <s v="No"/>
    <s v=""/>
    <n v="0"/>
    <n v="160000000"/>
    <n v="0"/>
    <n v="0"/>
    <n v="0"/>
    <s v="No"/>
    <s v=""/>
    <s v=""/>
    <n v="0"/>
    <s v="No"/>
    <s v=""/>
    <s v=""/>
    <n v="0"/>
    <s v="No"/>
    <s v=""/>
    <s v=""/>
    <s v=""/>
    <n v="0"/>
    <m/>
    <n v="4"/>
    <n v="4"/>
    <n v="3"/>
    <n v="4"/>
    <n v="4"/>
    <n v="3"/>
    <n v="4"/>
    <n v="4"/>
    <n v="3"/>
    <n v="4"/>
    <n v="37"/>
    <s v="SI"/>
    <m/>
    <s v="SI, SON PRI"/>
    <s v="ok tienen todos los datos"/>
    <e v="#N/A"/>
    <e v="#N/A"/>
    <m/>
    <n v="3"/>
    <n v="10"/>
    <n v="10"/>
    <n v="15"/>
    <n v="10"/>
    <n v="15"/>
    <n v="15"/>
    <n v="8.5"/>
    <n v="8.5"/>
    <n v="73.5"/>
    <n v="0.4"/>
    <m/>
    <n v="2"/>
    <n v="3.5"/>
    <n v="1"/>
    <n v="2"/>
    <n v="2"/>
    <n v="3.5"/>
    <n v="1"/>
    <n v="2"/>
    <n v="73.5"/>
    <n v="0.4"/>
    <n v="0.4"/>
    <e v="#N/A"/>
    <m/>
    <m/>
    <n v="0"/>
    <m/>
    <m/>
    <s v="Administración de Negocios"/>
    <e v="#N/A"/>
    <s v="001"/>
    <e v="#N/A"/>
  </r>
  <r>
    <s v="TI"/>
    <n v="1033183076"/>
    <s v="1000405740"/>
    <s v="SANAHIDA PANIAGUA ECHAVARRIA"/>
    <s v="Estudios por primera vez"/>
    <x v="1"/>
    <s v="Descartado por bajo icfes"/>
    <m/>
    <s v="En publico objetivo"/>
    <s v="2da Cohorte"/>
    <s v="Admitido"/>
    <s v="spaniaguae@eafit.edu.co"/>
    <e v="#N/A"/>
    <s v="saniwwyl@gmail.com"/>
    <s v="573195583502"/>
    <d v="2025-05-16T00:00:00"/>
    <s v="Activo en Programa"/>
    <s v="183-Biología"/>
    <s v="E Ciencias Aplic e Ingeniería"/>
    <d v="2007-10-20T00:00:00"/>
    <n v="18"/>
    <s v="Antioquia"/>
    <s v="Medellín"/>
    <s v="Mujer"/>
    <s v="Soltero"/>
    <s v="NO"/>
    <s v="NO"/>
    <n v="0"/>
    <s v="NO"/>
    <s v="NA"/>
    <s v="NO"/>
    <s v="NA"/>
    <s v="NO"/>
    <s v="NA"/>
    <s v="No"/>
    <s v="320 5547225"/>
    <s v="573195583502"/>
    <s v="Estrato 3"/>
    <s v="CL 32 A #85 21"/>
    <s v="Antioquia"/>
    <s v="Medellín"/>
    <s v="No aplica, no soy foráneo"/>
    <s v="Familiar"/>
    <s v="SI"/>
    <s v="2024"/>
    <s v="AC202436823405"/>
    <n v="310"/>
    <n v="54"/>
    <n v="66"/>
    <s v="Privada"/>
    <s v="INST SALESIANO PEDRO JUSTO BER"/>
    <n v="2024"/>
    <s v="Antioquia"/>
    <s v="Medellín"/>
    <s v="BACHILLER"/>
    <s v="TECN"/>
    <s v="TIPO: Privada, INSTITUCION: INST SALESIANO PEDRO JUSTO BER, AÑO: 2024, CIUDAD: Medellín, TITULO: BACHILLER"/>
    <s v="11"/>
    <s v="Escala de 0 - 5"/>
    <s v="Escala de 0 - 5"/>
    <s v="4"/>
    <s v="3,6"/>
    <m/>
    <s v="4"/>
    <s v="4"/>
    <m/>
    <n v="3.6"/>
    <n v="3.6"/>
    <m/>
    <n v="4.5"/>
    <n v="4"/>
    <m/>
    <s v="4,5"/>
    <s v="4,1"/>
    <m/>
    <s v="3,8"/>
    <s v="4,5"/>
    <m/>
    <s v="4"/>
    <s v="4,5"/>
    <m/>
    <s v="De 9 y 10"/>
    <n v="3.9249999999999998"/>
    <s v="NO"/>
    <s v="NA"/>
    <n v="0"/>
    <n v="0"/>
    <s v="No"/>
    <n v="45"/>
    <m/>
    <n v="50"/>
    <m/>
    <n v="50"/>
    <m/>
    <s v="Demuestra gran interés por el programa"/>
    <n v="48.333333333333336"/>
    <s v="Con detalle por componente"/>
    <s v="Ninguna"/>
    <s v="En el futuro me visualizo ejerciendo la profesión de una manera en la que logre compartir mis conocimientos obtenidos con diversas comunidades del país,  ya que la educación ambiental es fundamental para ser un motor de cambio social. Poder empoderar  a las personas con la información y los conocimientos precisos sobre el valor y la fragilidad de nuestros diversos ecosistemas que se encuentran en nuestro entorno y país ya que considero que si la gente entiende lo importante que es la riqueza natural, estará mucho más motivada a protegerla puesto que hace que se fomente una sociedad más consciente, activa y dispuesta para la protección de los ecosistemas. Para  lograr aplicar prácticas del cuidado de los ecosistemas y todos los elementos que completan a uno, generando un impacto positivo en la salud de los ecosistemas y el bienestar de las comunidades._x000a__x000a_Mi aspiración de colaborar en grupos de investigación se centra en la necesidad de resolver los desafíos ambientales complejos con un enfoque riguroso y responsable ya que los problemas ambientales son una de las problemáticas más grandes e importantes que debemos resolver como sociedad, además ,me gustaría integrar  diversas  metodologías en estos grupos de investigación ya que  me  permitirían generar un conocimiento  mucho más amplio y sólido que respalde la toma de decisiones para la gestión ambiental. Con la investigación colaborativa, se logran desarrollar soluciones innovadoras y adaptadas para las realidades específicas de cada comunidad, lo cual es algo que me interesa y entusiasma lograr._x000a__x000a_Y, por último, me veo aplicando mis conocimientos en proyectos que tengan un impacto real. Me gustaría participar en iniciativas para conservar nuestros recursos naturales,  restaurando ecosistemas o buscando maneras para una convivencia  sostenible. Poder usar la biología para mejorar el planeta y la vida de las personas sería muy gratificante."/>
    <s v="Redes sociales"/>
    <s v="Por la calidad académica."/>
    <s v="Vocación."/>
    <n v="5"/>
    <s v="3"/>
    <s v="NO"/>
    <s v="SI"/>
    <s v="Entre 1 y 2 millones"/>
    <s v="No"/>
    <n v="0"/>
    <n v="0"/>
    <m/>
    <s v="SI"/>
    <s v="Beca"/>
    <s v="NO"/>
    <s v=""/>
    <s v=""/>
    <s v="Sin información"/>
    <n v="0"/>
    <m/>
    <m/>
    <m/>
    <s v=""/>
    <s v=""/>
    <m/>
    <s v=""/>
    <m/>
    <s v=""/>
    <m/>
    <m/>
    <s v="No es presente"/>
    <s v="Si"/>
    <s v="Ana Maria Echavarria Ruiz"/>
    <m/>
    <m/>
    <m/>
    <s v="Profesora"/>
    <s v="Independiente (trabaja por cuenta propia)"/>
    <s v="Terapeuta alternativa"/>
    <s v="SPA PLAZA POBLADO"/>
    <n v="2500000"/>
    <s v="Si"/>
    <m/>
    <m/>
    <s v="Trabajadora y siempre me apoya"/>
    <n v="2500000"/>
    <s v="Si"/>
    <s v="Miguel Angel Paniagua Echavarria"/>
    <s v="Hermano"/>
    <s v="21"/>
    <s v="Estudiante"/>
    <s v="Universidad EAFIT"/>
    <n v="0"/>
    <s v="No"/>
    <s v="Emanuel Paniagua Echavarria"/>
    <s v="Hermano"/>
    <s v="15"/>
    <s v="Estudiante"/>
    <s v="Instituto Salesiano Pedro Justo Berrio"/>
    <n v="0"/>
    <s v="No"/>
    <s v="Samuel Paniagua Echavarria"/>
    <s v="Hermano"/>
    <s v="13"/>
    <s v="Estudiante"/>
    <s v="Instituto Salesiano Pedro Justo Berrio"/>
    <n v="0"/>
    <s v="No"/>
    <s v="Unido"/>
    <n v="0"/>
    <n v="0"/>
    <n v="0"/>
    <n v="0"/>
    <n v="0"/>
    <s v="No"/>
    <s v=""/>
    <s v=""/>
    <n v="0"/>
    <s v="No"/>
    <s v=""/>
    <s v=""/>
    <n v="0"/>
    <s v="No"/>
    <s v=""/>
    <s v=""/>
    <s v=""/>
    <n v="0"/>
    <s v="No tenemos"/>
    <n v="4"/>
    <n v="4"/>
    <n v="3"/>
    <n v="4"/>
    <n v="4"/>
    <n v="4"/>
    <n v="4"/>
    <n v="4"/>
    <n v="4"/>
    <n v="4"/>
    <n v="39"/>
    <s v="SI"/>
    <m/>
    <s v="SI, SON PRI"/>
    <s v="ok tienen todos los datos"/>
    <s v="Negada"/>
    <n v="20251"/>
    <m/>
    <n v="2"/>
    <n v="10"/>
    <n v="8"/>
    <n v="5"/>
    <n v="10"/>
    <n v="15"/>
    <n v="20"/>
    <n v="18"/>
    <n v="17.5"/>
    <n v="77.5"/>
    <n v="0.5"/>
    <m/>
    <n v="2"/>
    <n v="3.5"/>
    <n v="8"/>
    <n v="4"/>
    <n v="2"/>
    <n v="3.5"/>
    <n v="8"/>
    <n v="4.5"/>
    <n v="76"/>
    <n v="0.6"/>
    <n v="0.6"/>
    <e v="#N/A"/>
    <m/>
    <m/>
    <n v="0"/>
    <m/>
    <m/>
    <s v="Biología"/>
    <e v="#N/A"/>
    <s v="183"/>
    <e v="#N/A"/>
  </r>
  <r>
    <s v="TI"/>
    <n v="1033184075"/>
    <s v="1000406841"/>
    <s v="VALENTINA ROJAS MENDOZA"/>
    <s v="Estudios por primera vez"/>
    <x v="1"/>
    <s v="No cumple, estrato 4"/>
    <m/>
    <s v="En publico objetivo"/>
    <s v="3ra Cohorte"/>
    <s v="Admitido"/>
    <s v="vrojasm2@eafit.edu.co"/>
    <e v="#N/A"/>
    <s v="valentinarm0312@gmail.com"/>
    <s v="573053196118"/>
    <d v="2025-05-30T00:00:00"/>
    <s v="Activo en Programa"/>
    <s v="002-Negocios Internacionales"/>
    <s v="Escuela de Administración"/>
    <d v="2008-03-12T00:00:00"/>
    <n v="17"/>
    <s v="Antioquia"/>
    <s v="Medellín"/>
    <s v="Mujer"/>
    <s v="Soltero"/>
    <s v="NO"/>
    <s v="NO"/>
    <n v="0"/>
    <s v="NO"/>
    <s v="NA"/>
    <s v="NO"/>
    <s v="NA"/>
    <s v="NO"/>
    <s v="NA"/>
    <s v="No"/>
    <s v="558-1780"/>
    <s v="573053196118"/>
    <s v="Estrato 4"/>
    <s v="TV 53 A 65 70"/>
    <s v="Antioquia"/>
    <s v="Medellín"/>
    <s v="No aplica, no soy foráneo"/>
    <s v="Arriendo"/>
    <s v="SI"/>
    <s v="2024"/>
    <s v="AC202434096228"/>
    <n v="301"/>
    <n v="55"/>
    <n v="73"/>
    <s v="Privada"/>
    <s v="COL. SANTA BERTILLA BOSCARDIN"/>
    <n v="2024"/>
    <s v="Antioquia"/>
    <s v="Medellín"/>
    <s v="BACHILLER"/>
    <s v="TECN"/>
    <s v="TIPO: Privada, INSTITUCION: COL. SANTA BERTILLA BOSCARDIN, AÑO: 2024, CIUDAD: Medellín, TITULO: BACHILLER"/>
    <s v="11"/>
    <s v="Escala de 0 - 5"/>
    <s v="Escala de 0 - 5"/>
    <s v="4,5"/>
    <s v="4"/>
    <m/>
    <s v="4,5"/>
    <s v="4"/>
    <m/>
    <n v="4.5"/>
    <n v="4.5"/>
    <m/>
    <n v="4.5"/>
    <n v="4.5"/>
    <m/>
    <s v="5"/>
    <s v="5"/>
    <m/>
    <s v="4,5"/>
    <s v="5"/>
    <m/>
    <s v="4,5"/>
    <s v="4,5"/>
    <m/>
    <s v="De 9 y 10"/>
    <n v="4.5"/>
    <s v="NO"/>
    <s v="NA"/>
    <n v="0"/>
    <n v="0"/>
    <s v="No"/>
    <n v="45"/>
    <m/>
    <n v="45"/>
    <m/>
    <n v="45"/>
    <m/>
    <m/>
    <n v="45"/>
    <s v="Con detalle por componente"/>
    <s v="Artísticas o culturales,Espacios de liderazgo o representación social,Trabajo social o comunitario"/>
    <s v="Cordial saludo Comité de Admisiones_x000a_Universidad EAFIT_x000a_Me dirijo a ustedes con el fin de expresar mi motivación para ingresar al pregrado en Negocios Internacionales en la Universidad EAFIT y, a su vez, solicitar una beca académica, ya que mis condiciones económicas no me permiten costear la totalidad de mis estudios. Mi deseo es iniciar mi formación universitaria en el semestre 2025-2, convencida de que esta institución representa el lugar ideal para desarrollar mis metas académicas y profesionales._x000a_Desde temprana edad, he sentido una profunda fascinación por la interconexión global, los idiomas, las culturas y el impacto del comercio internacional. Por ello, he decidido orientar mi proyecto de vida hacia los negocios internacionales, con el propósito de aportar al desarrollo de un mundo más equitativo, conectado y sostenible._x000a_La Universidad EAFIT es reconocida por formar profesionales con visión global, ética empresarial y compromiso con la innovación y la sostenibilidad. Estoy convencida de que este programa me brindará las herramientas necesarias para entender las dinámicas del comercio internacional, las relaciones internacionales y la gestión empresarial en un entorno globalizado._x000a_Mi objetivo es convertirme en una profesional comprometida con el cambio positivo, preparada para afrontar retos globales y contribuir al bienestar de la sociedad. Por este motivo, solicito el respaldo financiero de una beca, lo cual sería fundamental para poder cumplir este sueño._x000a_Estoy comprometida a aprovechar cada oportunidad que me ofrezca EAFIT, a destacarme como estudiante y a llevar con orgullo el nombre de esta institución. Agradezco profundamente la existencia de estos espacios de apoyo, y me comprometo a responder con esfuerzo, excelencia académica y compromiso social._x000a_Atentamente,_x000a_Valentina Rojas Mendoza_x000a_T.I 1033184075"/>
    <s v="A través del Colegio"/>
    <s v="Por la calidad académica."/>
    <s v="Vocación."/>
    <n v="5"/>
    <s v="3"/>
    <s v="SI"/>
    <s v="NO"/>
    <s v="Entre 10 y 11 millones"/>
    <s v="Si"/>
    <s v="SI"/>
    <n v="0"/>
    <m/>
    <s v="SI"/>
    <s v="Beca"/>
    <s v="NO"/>
    <s v=""/>
    <s v=""/>
    <s v="Si"/>
    <s v="Tiberio Andres Rojas Lopera"/>
    <s v="Soltero"/>
    <s v="BACHILLERATO"/>
    <s v="48"/>
    <s v="Independiente"/>
    <s v="Independiente (trabaja por cuenta propia)"/>
    <s v="Independiente"/>
    <s v="Independiente"/>
    <n v="8000000"/>
    <s v="Si"/>
    <s v="SI"/>
    <s v="NO"/>
    <s v="Es el único que aporta económicamente en el hogar, y somos 4 hijos."/>
    <s v="Si"/>
    <s v="Belkis Adriana Mendoza Vanegas"/>
    <s v="Unión marital"/>
    <s v="TÉCNICA"/>
    <s v="39"/>
    <s v="ama de casa"/>
    <s v="Desempleado (Se encuentra en la búsqueda activa de empleo)"/>
    <s v="Ama de casa"/>
    <s v="Ama de casa"/>
    <n v="0"/>
    <s v="Si"/>
    <s v="NO"/>
    <s v="NO"/>
    <m/>
    <n v="8000000"/>
    <s v="Si"/>
    <s v="Matthias Rojas Mendoza"/>
    <s v="Hermano / Hermana"/>
    <s v="12"/>
    <s v="Estudiante"/>
    <s v="Colegio Santa Bertilla Boscardin"/>
    <n v="0"/>
    <s v="No"/>
    <s v="Manuela Rojas Mendoza"/>
    <s v="Hermano / Hermana"/>
    <s v="10"/>
    <s v="Estudiante"/>
    <s v="Colegio Santa Bertilla Boscardin"/>
    <n v="0"/>
    <s v="No"/>
    <s v="Mia Rojas Mendoza"/>
    <s v="Hermano / Hermana"/>
    <s v="2"/>
    <s v=""/>
    <s v=""/>
    <n v="0"/>
    <s v="No"/>
    <s v=""/>
    <n v="0"/>
    <n v="0"/>
    <n v="0"/>
    <n v="0"/>
    <n v="0"/>
    <s v="Si"/>
    <s v="Mazda"/>
    <s v="2019"/>
    <n v="80000000"/>
    <s v="No"/>
    <s v=""/>
    <s v=""/>
    <n v="0"/>
    <s v="No"/>
    <s v=""/>
    <s v=""/>
    <s v=""/>
    <n v="0"/>
    <m/>
    <n v="4"/>
    <n v="4"/>
    <n v="3"/>
    <n v="4"/>
    <n v="4"/>
    <n v="3"/>
    <n v="4"/>
    <n v="4"/>
    <n v="4"/>
    <n v="4"/>
    <n v="38"/>
    <s v="SI"/>
    <m/>
    <s v="SI, SON PRI"/>
    <s v="ok tienen todos los datos"/>
    <e v="#N/A"/>
    <e v="#N/A"/>
    <m/>
    <n v="3"/>
    <n v="4"/>
    <n v="4"/>
    <n v="5"/>
    <n v="20"/>
    <n v="15"/>
    <n v="15"/>
    <n v="11.5"/>
    <n v="11.5"/>
    <n v="70.5"/>
    <n v="0.4"/>
    <m/>
    <n v="2"/>
    <n v="4.5"/>
    <n v="1"/>
    <n v="4"/>
    <n v="2"/>
    <n v="4"/>
    <n v="1"/>
    <n v="4.5"/>
    <n v="70.5"/>
    <n v="0.4"/>
    <n v="0.4"/>
    <e v="#N/A"/>
    <m/>
    <m/>
    <n v="0"/>
    <m/>
    <m/>
    <s v="Negocios Internacionales"/>
    <e v="#N/A"/>
    <s v="002"/>
    <e v="#N/A"/>
  </r>
  <r>
    <s v="CC"/>
    <n v="1033256035"/>
    <s v="1000401049"/>
    <s v="JUAN JOSÉ VELASQUEZ MOLINA"/>
    <s v="Estudios por primera vez"/>
    <x v="1"/>
    <s v="Descartado por baja prioridad pregrado"/>
    <m/>
    <s v="En publico objetivo"/>
    <s v="3ra Cohorte"/>
    <s v="Admitido"/>
    <s v="jjvelasqm1@eafit.edu.co"/>
    <s v="jjvelasqm1@eafit.edu.co"/>
    <s v="juanjosevelasquezmolina@gmail.com"/>
    <s v="573013424257"/>
    <d v="2025-06-06T00:00:00"/>
    <s v="Activo en Programa"/>
    <s v="083-Música"/>
    <s v="Escuela de Artes y Humanidades"/>
    <d v="2003-11-15T00:00:00"/>
    <n v="22"/>
    <s v="Antioquia"/>
    <s v="Medellín"/>
    <s v="Hombre"/>
    <s v="Soltero"/>
    <s v="NO"/>
    <s v="NO"/>
    <n v="0"/>
    <s v="NO"/>
    <s v="NA"/>
    <s v="NO"/>
    <s v="NA"/>
    <s v="NO"/>
    <s v="NA"/>
    <s v="No"/>
    <s v="537-6698"/>
    <s v="573013424257"/>
    <s v="Estrato 2"/>
    <s v="cra 72aa #71-50 INT 201"/>
    <s v="Antioquia"/>
    <s v="Medellín"/>
    <s v="No aplica, no soy foráneo"/>
    <s v="Arriendo"/>
    <s v="SI"/>
    <s v="2020"/>
    <s v="AC202040946905"/>
    <n v="369"/>
    <n v="75"/>
    <n v="73"/>
    <s v="Pública"/>
    <s v="I.E. LUCRECIO JARAMILLO VELEZ"/>
    <n v="2020"/>
    <s v="Antioquia"/>
    <s v="Medellín"/>
    <s v="BACHILLER"/>
    <s v="ACAD"/>
    <s v="TIPO: Pública, INSTITUCION: I.E. LUCRECIO JARAMILLO VELEZ, AÑO: 2020, CIUDAD: Medellín, TITULO: BACHILLER"/>
    <s v="11"/>
    <s v="Escala de 0 - 5"/>
    <s v="Escala de 0 - 5"/>
    <s v="3,7"/>
    <s v="3,7"/>
    <m/>
    <s v="4"/>
    <s v="4"/>
    <m/>
    <n v="3.3"/>
    <n v="3.6"/>
    <m/>
    <n v="4"/>
    <n v="3.7"/>
    <m/>
    <s v="4,5"/>
    <s v="4,5"/>
    <m/>
    <s v="3,4"/>
    <s v="3,4"/>
    <m/>
    <s v="3,6"/>
    <s v="3,5"/>
    <m/>
    <s v="De 9 y 10"/>
    <n v="3.6500000000000004"/>
    <s v="NO"/>
    <s v="NA"/>
    <n v="0"/>
    <n v="0"/>
    <s v="No"/>
    <s v="Sin informacion"/>
    <s v="Sin informacion"/>
    <s v="Sin informacion"/>
    <s v="Sin informacion"/>
    <s v="Sin informacion"/>
    <s v="Sin informacion"/>
    <s v="Tiene un nivel destacado para haber comenzado sus estudios en el instrumento de manera tardía. Lo que demuestra su disciplina y compromiso"/>
    <n v="10"/>
    <s v="Audicion musica"/>
    <s v="Artísticas o culturales"/>
    <s v="Durante mi trayectoria, he descubierto que mi sueño es poder formar parte de un grupo de cámara, y como músico concertista, compartir la música y el arte en los escenarios de mi país y del mundo. Por medio de esta beca, podría potenciar al máximo mis habilidades y mis conocimientos, tanto musicales como personales, con el fin de inspirar a más generaciones de artistas a través del arte, el conocimiento musical y las experiencias sonoras. Por otro lado, me honraría enriquecer académica, cultural y humanamente, a mi comunidad, de la cual soy orgullosamente parte y me honra aportar para hacer de ella un lugar mejor, íntegro y cultural."/>
    <s v="Página WEB"/>
    <s v="Por la calidad académica."/>
    <s v="Nivel académico de docentes."/>
    <n v="2"/>
    <s v="1"/>
    <s v="NO"/>
    <s v="NO"/>
    <s v="Entre 1 y 2 millones"/>
    <s v="Si"/>
    <n v="0"/>
    <n v="0"/>
    <m/>
    <s v="SI"/>
    <s v="Beca"/>
    <s v="NO"/>
    <s v=""/>
    <s v=""/>
    <s v="Si"/>
    <s v="Juan Fernando Velasquez Ossa"/>
    <s v="Casado"/>
    <s v="BACHILLERATO"/>
    <s v="60"/>
    <s v="Comerciante"/>
    <s v="Independiente (trabaja por cuenta propia)"/>
    <s v="Comerciante"/>
    <s v="Bionatural"/>
    <n v="2000000"/>
    <s v="Si"/>
    <s v="NO"/>
    <s v="NO"/>
    <s v="Hombre trabajador que se esfuerza por brindar lo mejor a su familia"/>
    <s v="Si"/>
    <s v="Diana Maria Molina Avendaño"/>
    <m/>
    <m/>
    <m/>
    <s v="Comerciante/Estilista"/>
    <s v="Independiente (trabaja por cuenta propia)"/>
    <s v="Comerciante/Estilista"/>
    <s v="Bionatural y de forma independiente como estilista"/>
    <n v="1500000"/>
    <s v="Si"/>
    <m/>
    <m/>
    <s v="Madre cabeza de hogar que vela por el bienestar de su familia"/>
    <n v="3500000"/>
    <s v="No, solo vivo con mis padres"/>
    <s v=""/>
    <s v=""/>
    <s v=""/>
    <s v=""/>
    <s v=""/>
    <m/>
    <s v=""/>
    <s v=""/>
    <s v=""/>
    <s v=""/>
    <s v=""/>
    <s v=""/>
    <m/>
    <s v=""/>
    <s v=""/>
    <s v=""/>
    <s v=""/>
    <s v=""/>
    <s v=""/>
    <m/>
    <s v=""/>
    <s v=""/>
    <n v="0"/>
    <n v="0"/>
    <n v="0"/>
    <n v="0"/>
    <n v="0"/>
    <s v="Si"/>
    <s v="RENAULT STEPWAY"/>
    <s v="2014"/>
    <n v="27000000"/>
    <s v="No"/>
    <s v=""/>
    <s v=""/>
    <n v="0"/>
    <s v="Si"/>
    <s v="Moto"/>
    <s v="Honda Dream Neo"/>
    <s v="2020"/>
    <n v="2500000"/>
    <m/>
    <n v="4"/>
    <n v="4"/>
    <n v="4"/>
    <n v="4"/>
    <n v="4"/>
    <n v="4"/>
    <n v="4"/>
    <n v="4"/>
    <n v="3"/>
    <n v="4"/>
    <n v="39"/>
    <s v="SI"/>
    <m/>
    <s v="PRI SIN PUNTAJE ENTREVISTA"/>
    <s v="ok es de musica, se deja puntaje del pregrado de 1 a 10 y comentario"/>
    <e v="#N/A"/>
    <e v="#N/A"/>
    <m/>
    <n v="1"/>
    <n v="10"/>
    <n v="10"/>
    <n v="15"/>
    <n v="10"/>
    <n v="15"/>
    <n v="20"/>
    <n v="20"/>
    <n v="18"/>
    <n v="88"/>
    <n v="0.5"/>
    <m/>
    <n v="3.5"/>
    <n v="4.5"/>
    <n v="6"/>
    <n v="4"/>
    <n v="3.5"/>
    <n v="4"/>
    <n v="8"/>
    <n v="4.5"/>
    <n v="90"/>
    <s v="80 - 100%"/>
    <n v="0.8"/>
    <e v="#N/A"/>
    <s v="considerando que la beca del 100% se asigno al mas recomendado por el pregrado, se propone dar a este el 80%"/>
    <m/>
    <n v="0"/>
    <m/>
    <m/>
    <s v="Música"/>
    <e v="#N/A"/>
    <s v="083"/>
    <e v="#N/A"/>
  </r>
  <r>
    <s v="CC"/>
    <n v="1033257086"/>
    <s v="1000371718"/>
    <s v="JOSE MIGUEL RUIZ RIVERA"/>
    <s v="Estudios por primera vez"/>
    <x v="1"/>
    <s v="No cumple, puntaje ICFES menor a 300"/>
    <m/>
    <s v="En publico objetivo"/>
    <s v="3ra Cohorte"/>
    <s v="Admitido"/>
    <s v="jmruizr@eafit.edu.co"/>
    <s v="jmruizr@eafit.edu.co"/>
    <s v="josemigue1029@outlook.com"/>
    <s v="573183699006"/>
    <d v="2025-05-30T00:00:00"/>
    <s v="Activo en Programa"/>
    <s v="001-Administración de Negocios"/>
    <s v="Escuela de Administración"/>
    <d v="2004-10-29T00:00:00"/>
    <n v="21"/>
    <s v="Antioquia"/>
    <s v="Envigado"/>
    <s v="Hombre"/>
    <s v="Soltero"/>
    <s v="NO"/>
    <s v="NO"/>
    <n v="0"/>
    <s v="NO"/>
    <s v="NA"/>
    <s v="NO"/>
    <s v="NA"/>
    <s v="NO"/>
    <s v="NA"/>
    <s v="No"/>
    <s v="318/369-9006"/>
    <s v="573183699006"/>
    <s v="Estrato 2"/>
    <s v="Calle 7a # Via los Julios"/>
    <s v="Antioquia"/>
    <s v="Medellín"/>
    <s v="No aplica, no soy foráneo"/>
    <s v="Arriendo"/>
    <s v="SI"/>
    <s v="2021"/>
    <s v="AC202141409978"/>
    <n v="284"/>
    <n v="56"/>
    <n v="53"/>
    <s v="Privada"/>
    <s v="I.E. CELESTIN FREINET"/>
    <n v="2021"/>
    <s v="Antioquia"/>
    <s v="Itagui"/>
    <s v="BACHILLER"/>
    <n v="0"/>
    <s v="TIPO: Privada, INSTITUCION: I.E. CELESTIN FREINET, AÑO: 2021, CIUDAD: Itagui, TITULO: BACHILLER"/>
    <s v="11"/>
    <s v="Escala de 0 - 5"/>
    <s v="Escala de 0 - 5"/>
    <s v="3,4"/>
    <s v="4"/>
    <s v="3"/>
    <s v="4"/>
    <s v="4"/>
    <s v="3"/>
    <n v="3.4"/>
    <n v="4"/>
    <n v="3"/>
    <n v="3.4"/>
    <n v="4"/>
    <n v="3"/>
    <s v="4"/>
    <s v="4"/>
    <s v="3"/>
    <s v="4"/>
    <s v="4,5"/>
    <s v="3"/>
    <s v="4"/>
    <s v="4"/>
    <s v="3"/>
    <s v="De 9, 10 y 11"/>
    <n v="3.4666666666666668"/>
    <s v="NO"/>
    <s v="NA"/>
    <n v="0"/>
    <n v="0"/>
    <s v="No"/>
    <n v="50"/>
    <m/>
    <n v="50"/>
    <m/>
    <n v="50"/>
    <m/>
    <s v="su abuelo es administrador empírico y trabaja en la mayorista en un negocio de aguacates y el quiere seguir con esa empresa, por esta razón quiere estudiar administración, es hurfano pero tiene toda la resiliencia para seguir adelante, le gusta EAFIT Por el reconocimiento y durante la pandemia recibió todo el apoyo para terminar sus estudios."/>
    <n v="50"/>
    <s v="Con detalle por componente"/>
    <s v="Deportistas de alto rendimiento o representativo,Espacios de liderazgo o representación social,Trabajo social o comunitario"/>
    <s v="Desde niño he soñado con ser un gran administrador de negocios, viajar por el mundo y conocer distintas culturas, llevando a cada una de ellas un pedacito de lo que soy y todo lo que puedo aportar a nivel intelectual y humano. Tras la pérdida de mi madre, mi mayor motivación ha sido salir adelante, crecer, estudiar y convertirme cada día en una mejor persona._x000a__x000a_Creo firmemente que la Universidad EAFIT tiene el ADN que necesito para formarme como un profesional íntegro, capaz de transformar realidades. Me visualizo aportando socialmente, generando empleo, creando oportunidades para todos y llevando la educación a personas vulnerables. Aspiro llegar a cada rincón donde me sea permitido a entregar mi conocimiento y empatía sin olvidar que me rige el servicio a los demás y el amor por lo que hago como ley de vida._x000a__x000a_He vivido de cerca las injusticias de la pobreza: personas que se acuestan sin comer, sin acceso a salud, sin un techo o un futuro para sus hijos. Estas experiencias y el amor por los demás me motivan a trabajar por un país más equitativo._x000a__x000a_ La beca me permitirá acceder a una educación de calidad para ser la voz de quienes murieron gritando y nunca fueron escuchados. Con el apoyo de EAFIT y esta beca, estoy seguro de que podré cumplir mi propósito"/>
    <s v="EAFIT es una experiencia"/>
    <s v="Por la calidad académica."/>
    <s v="Nivel académico de docentes."/>
    <n v="0"/>
    <s v="3"/>
    <s v="NO"/>
    <s v="NO"/>
    <s v="Entre 1 y 2 millones"/>
    <s v="No"/>
    <n v="0"/>
    <s v="SI"/>
    <s v="Crédito entidad externa"/>
    <s v="NO"/>
    <m/>
    <s v="NO"/>
    <s v=""/>
    <s v=""/>
    <s v="Si"/>
    <s v="Walter Ruiz Bermudez"/>
    <s v="Soltero"/>
    <s v="BACHILLERATO"/>
    <s v="52"/>
    <s v="Empleado"/>
    <s v="Trabajador informal"/>
    <s v="Bodeguero"/>
    <s v="No aplica"/>
    <n v="1500000"/>
    <s v="No"/>
    <s v="NO"/>
    <s v="NO"/>
    <s v="Si tengo comunicacion con el pero es poca, nunca he vivido con el, tiene farmacodependencia y sufre de depresion cronica. Duerme todo el dia, tiene muy poca relacion con las personas que lo rodean."/>
    <s v="No, fallecida"/>
    <s v=""/>
    <m/>
    <m/>
    <m/>
    <s v=""/>
    <s v=""/>
    <m/>
    <s v=""/>
    <m/>
    <s v=""/>
    <m/>
    <m/>
    <s v="Era una mujer brillante, siempre vivi con ella hasta el dia de su fallecimiento, hace 4 años que murio y siempre fue ella quien me dio el sustento y velo por mi educacion."/>
    <n v="1500000"/>
    <s v="No, vivo solo"/>
    <s v=""/>
    <s v=""/>
    <s v=""/>
    <s v=""/>
    <s v=""/>
    <m/>
    <s v=""/>
    <s v=""/>
    <s v=""/>
    <s v=""/>
    <s v=""/>
    <s v=""/>
    <m/>
    <s v=""/>
    <s v=""/>
    <s v=""/>
    <s v=""/>
    <s v=""/>
    <s v=""/>
    <m/>
    <s v=""/>
    <s v=""/>
    <n v="0"/>
    <n v="0"/>
    <n v="0"/>
    <n v="0"/>
    <n v="0"/>
    <s v="No"/>
    <s v=""/>
    <s v=""/>
    <n v="0"/>
    <s v="No"/>
    <s v=""/>
    <s v=""/>
    <n v="0"/>
    <s v="No"/>
    <s v=""/>
    <s v=""/>
    <s v=""/>
    <n v="0"/>
    <s v="No tenemos."/>
    <n v="3"/>
    <n v="4"/>
    <n v="3"/>
    <n v="4"/>
    <n v="3"/>
    <n v="4"/>
    <n v="3"/>
    <n v="3"/>
    <n v="3"/>
    <n v="3"/>
    <n v="33"/>
    <s v="SI"/>
    <m/>
    <s v="SI, SON PRI"/>
    <s v="ok tienen todos los datos"/>
    <e v="#N/A"/>
    <e v="#N/A"/>
    <m/>
    <n v="3"/>
    <n v="10"/>
    <n v="10"/>
    <n v="0"/>
    <n v="5"/>
    <n v="10"/>
    <n v="20"/>
    <n v="18.5"/>
    <n v="18.5"/>
    <n v="63.5"/>
    <n v="0.6"/>
    <m/>
    <n v="2"/>
    <n v="4.5"/>
    <n v="8"/>
    <n v="4"/>
    <n v="2"/>
    <n v="4"/>
    <n v="8"/>
    <n v="4.5"/>
    <n v="63.5"/>
    <n v="0.7"/>
    <n v="0.6"/>
    <e v="#N/A"/>
    <m/>
    <m/>
    <n v="0"/>
    <m/>
    <m/>
    <s v="Administración de Negocios"/>
    <e v="#N/A"/>
    <s v="001"/>
    <e v="#N/A"/>
  </r>
  <r>
    <s v="TI"/>
    <n v="1033259158"/>
    <s v="1000344746"/>
    <s v="MANUELA MUÑOZ LUJÁN"/>
    <s v="Transferencia Externa"/>
    <x v="1"/>
    <s v="No cumple, estrato 4"/>
    <m/>
    <s v="En publico objetivo"/>
    <s v="2da Cohorte"/>
    <s v="Admitido"/>
    <s v="mmunozl3@eafit.edu.co"/>
    <s v="mmunozl3@eafit.edu.co"/>
    <s v="manuelamunozlujan0@gmail.com"/>
    <s v="573217742043"/>
    <d v="2025-05-16T00:00:00"/>
    <s v="Activo en Programa"/>
    <s v="010-Ingeniería de Sistemas"/>
    <s v="E Ciencias Aplic e Ingeniería"/>
    <d v="2006-11-10T00:00:00"/>
    <n v="19"/>
    <s v="Antioquia"/>
    <s v="Medellín"/>
    <s v="Mujer"/>
    <s v="Soltero"/>
    <s v="SI"/>
    <s v="SI"/>
    <s v="Argelia"/>
    <s v="NO"/>
    <s v="NA"/>
    <s v="NO"/>
    <s v="NA"/>
    <s v="NO"/>
    <s v="NA"/>
    <s v="No"/>
    <s v="321/774-2043"/>
    <s v="573217742043"/>
    <s v="Estrato 4"/>
    <s v="CL 14 · 75 13"/>
    <s v="Antioquia"/>
    <s v="Medellín"/>
    <s v="No aplica, no soy foráneo"/>
    <s v="Familiar"/>
    <s v="SI"/>
    <s v="2023"/>
    <s v="AC202340331025"/>
    <n v="359"/>
    <n v="73"/>
    <n v="66"/>
    <s v="Privada"/>
    <s v="COL SAN FRANCISCO JAVIER"/>
    <n v="2023"/>
    <m/>
    <s v="Medellín"/>
    <s v="Técnico"/>
    <s v="BACHILLER"/>
    <s v="TIPO: Privada, INSTITUCION: COL SAN FRANCISCO JAVIER, AÑO: 2023, CIUDAD: Medellín, TITULO: BACHILLER"/>
    <n v="0"/>
    <n v="0"/>
    <s v="PCA TEX"/>
    <m/>
    <s v="5"/>
    <m/>
    <m/>
    <s v="5"/>
    <m/>
    <m/>
    <n v="5"/>
    <m/>
    <m/>
    <n v="5"/>
    <m/>
    <m/>
    <s v="5"/>
    <m/>
    <m/>
    <s v="5"/>
    <m/>
    <m/>
    <s v="5"/>
    <m/>
    <s v="Ver PCA TEX"/>
    <n v="4.9000000000000004"/>
    <s v="SI"/>
    <s v="Desarrollo de software- CESDE-Cursando"/>
    <s v="TECNOLOGIA"/>
    <s v="Desarrollo de software"/>
    <s v="No"/>
    <n v="45"/>
    <m/>
    <n v="45"/>
    <m/>
    <n v="50"/>
    <m/>
    <m/>
    <n v="46.666666666666664"/>
    <s v="Con detalle por componente"/>
    <s v="Espacios de liderazgo o representación social"/>
    <s v="Siempre he sido una chica curiosa, con una iniciativa natural por buscar mejores alternativas a las soluciones que responden a problemas ya existentes, es por ello que en unos años me visualizo ejerciendo como ingeniera en sistemas perfeccionando las alternativas a problemas ya existentes y mejorando calidad de vida de las personas que desarrollan tareas diariamente, no únicamente aquellas relacionadas con procesos tecnológicos, sino esas tareas manuales y repetitivas que fácilmente pueden ser automatizadas y ahorrarían mucho tiempo a cientos de empleados._x000a__x000a_Con esta beca talento me contemplo ayudando a Medellín, el Valle del Software, a agilizar proyectos, prestando una mejor atención a los ciudadanos que presentan dudas respecto a servicios, información general o temas básicos de ciudadanía; amaría ser parte de un plan que esté dirigido a mejorar la calidad de la educación en Colombia y capacite a las generaciones futuras en todos los ámbitos posibles, al menos en lo que corresponde a formación general y conocimientos que los impulsen a interesarse por ser profesionales._x000a__x000a_La beca a la que me postulo es el portal que me llevará a trasformar futuros, es como una nave en el tiempo que me permitirá mejorar la vida de personas que aún no son conscientes de todo el potencial que tiene la tecnología y lo mucho que ésta puede ayudarlos en su día a día._x000a__x000a_Estoy encantada de estar admitida en EAFIT para ingeniería en sistemas, ahora, haré uso de esta beca para potenciar todos mis conocimientos y aportar a la sociedad. Este, como todos mis planes, únicamente están enfocados a un crecimiento exponencial, en el que todos los resultados (aunque puedan ocurrir contratiempos) serán grandiosos. Gracias por la oportunidad y espero obtener su valiosa ayuda."/>
    <s v="Página WEB"/>
    <s v="Universidad reconocida."/>
    <s v="Vocación."/>
    <n v="2"/>
    <s v="0"/>
    <s v="SI"/>
    <s v="NO"/>
    <s v="Entre 1 y 2 millones"/>
    <s v="No"/>
    <n v="0"/>
    <n v="0"/>
    <m/>
    <s v="SI"/>
    <s v="Beca"/>
    <s v="NO"/>
    <s v=""/>
    <s v=""/>
    <s v="Si"/>
    <s v="Osmer Alexander Muñoz Cortés"/>
    <s v="Unión marital"/>
    <s v="BACHILLERATO"/>
    <s v="50"/>
    <s v="Empleado"/>
    <s v="Empleado (con contrato laboral)"/>
    <s v="conductor"/>
    <s v="Gobernación de Antioquia"/>
    <n v="3251389"/>
    <s v="Si"/>
    <s v="NO"/>
    <s v="NO"/>
    <s v=""/>
    <s v="Si"/>
    <s v="Ana María Luján Piedrahita"/>
    <s v="Unión marital"/>
    <s v="BACHILLERATO"/>
    <s v="40"/>
    <s v="EMPLEADA"/>
    <s v="Empleado (con contrato laboral)"/>
    <s v="Operaria de Máquina Plana"/>
    <s v="Creaciones Pajov"/>
    <n v="1623500"/>
    <s v="Si"/>
    <s v="NO"/>
    <s v="NO"/>
    <m/>
    <n v="4874889"/>
    <s v="No, solo vivo con mis padres"/>
    <s v=""/>
    <s v=""/>
    <s v=""/>
    <s v=""/>
    <s v=""/>
    <m/>
    <s v=""/>
    <s v=""/>
    <s v=""/>
    <s v=""/>
    <s v=""/>
    <s v=""/>
    <m/>
    <s v=""/>
    <s v=""/>
    <s v=""/>
    <s v=""/>
    <s v=""/>
    <s v=""/>
    <m/>
    <s v=""/>
    <s v=""/>
    <n v="0"/>
    <n v="200000000"/>
    <n v="0"/>
    <n v="0"/>
    <n v="0"/>
    <s v="No"/>
    <s v=""/>
    <s v=""/>
    <n v="0"/>
    <s v="No"/>
    <s v=""/>
    <s v=""/>
    <n v="0"/>
    <s v="No"/>
    <s v=""/>
    <s v=""/>
    <s v=""/>
    <n v="0"/>
    <m/>
    <n v="4"/>
    <n v="4"/>
    <n v="3"/>
    <n v="4"/>
    <n v="4"/>
    <n v="4"/>
    <n v="4"/>
    <n v="4"/>
    <n v="3"/>
    <n v="4"/>
    <n v="38"/>
    <s v="SI"/>
    <m/>
    <s v="ES TEX, LE FALTA EL DETALLE DE OTROS ESTUDIOS"/>
    <s v="ok se agrega info de otros estudios por llamada"/>
    <n v="0.4"/>
    <n v="20241"/>
    <m/>
    <n v="3"/>
    <n v="4"/>
    <n v="4"/>
    <n v="10"/>
    <n v="20"/>
    <n v="15"/>
    <n v="20"/>
    <n v="13.5"/>
    <n v="13.5"/>
    <n v="82.5"/>
    <n v="0.4"/>
    <m/>
    <n v="2"/>
    <n v="3.5"/>
    <n v="6"/>
    <n v="2"/>
    <n v="2"/>
    <n v="3.5"/>
    <n v="6"/>
    <n v="2"/>
    <n v="82.5"/>
    <n v="0.4"/>
    <n v="0.5"/>
    <e v="#N/A"/>
    <m/>
    <m/>
    <n v="0"/>
    <m/>
    <m/>
    <s v="Ingeniería de Sistemas"/>
    <e v="#N/A"/>
    <s v="010"/>
    <e v="#N/A"/>
  </r>
  <r>
    <s v="CC"/>
    <n v="1033259303"/>
    <s v="1000408506"/>
    <s v="CAROLINA MARÍN GALLO"/>
    <s v="Estudios por primera vez"/>
    <x v="1"/>
    <s v="Duda, cursando o graduado de tecnica o tecnologia"/>
    <m/>
    <s v="En publico objetivo"/>
    <s v="3ra Cohorte"/>
    <s v="Admitido"/>
    <s v="cmaring6@eafit.edu.co"/>
    <e v="#N/A"/>
    <s v="srtamaring@gmail.com"/>
    <s v="573006971007"/>
    <d v="2025-05-30T00:00:00"/>
    <s v="Activo en Programa"/>
    <s v="001-Administración de Negocios"/>
    <s v="Escuela de Administración"/>
    <d v="2006-12-29T00:00:00"/>
    <n v="18"/>
    <s v="Antioquia"/>
    <s v="Medellín"/>
    <s v="Mujer"/>
    <s v="Soltero"/>
    <s v="NO"/>
    <s v="NO"/>
    <n v="0"/>
    <s v="NO"/>
    <s v="NA"/>
    <s v="NO"/>
    <s v="NA"/>
    <s v="NO"/>
    <s v="NA"/>
    <s v="No"/>
    <s v="508-2918"/>
    <s v="573006971007"/>
    <s v="Estrato 3"/>
    <s v="CR 77 #23 50"/>
    <s v="Antioquia"/>
    <s v="Medellín"/>
    <s v="No aplica, no soy foráneo"/>
    <s v="Propio"/>
    <s v="SI"/>
    <s v="2023"/>
    <s v="AC202344892345"/>
    <n v="322"/>
    <n v="56"/>
    <n v="69"/>
    <s v="Pública"/>
    <s v="INST EDUC SANTO ANGEL"/>
    <n v="2023"/>
    <m/>
    <s v="Medellín"/>
    <s v="Técnico"/>
    <s v="BACHILLER"/>
    <s v="TIPO: Pública, INSTITUCION: INST EDUC SANTO ANGEL, AÑO: 2023, CIUDAD: Medellín, TITULO: BACHILLER"/>
    <s v="11"/>
    <s v="Escala de 0 - 5"/>
    <s v="Escala de 0 - 5"/>
    <s v="4,5"/>
    <s v="4"/>
    <m/>
    <s v="4,5"/>
    <s v="4,5"/>
    <m/>
    <n v="4"/>
    <n v="3.5"/>
    <m/>
    <n v="4.8"/>
    <n v="3.4"/>
    <m/>
    <s v="4,5"/>
    <s v="5"/>
    <m/>
    <s v="5"/>
    <s v="4,5"/>
    <m/>
    <s v="4,5"/>
    <s v="4,5"/>
    <m/>
    <s v="De 9 y 10"/>
    <n v="3.9250000000000003"/>
    <s v="SI"/>
    <s v="TIPO: Pública, INSTITUCION: SERVICIO NACIONAL DE APRENDIZA, AÑO: 2025, CIUDAD: Medellín, TITULO: TECNICO EN COCINA"/>
    <s v="TECNICA"/>
    <s v=" TITULO: TECNICO EN COCINA"/>
    <s v="No"/>
    <n v="50"/>
    <m/>
    <n v="50"/>
    <m/>
    <n v="50"/>
    <m/>
    <m/>
    <n v="50"/>
    <s v="Con detalle por componente"/>
    <s v="Espacios de liderazgo o representación social"/>
    <s v="Elegí esta profesión porque siempre he tenido el espíritu de emprender y crear, la capacidad de ver más allá de lo que a simple vista es un negocio o una gran empresa, sino que tener la visión de identificar oportunidades donde otros solo ven problemas. Emprender va más allá de solo crear un producto o ofrecer un servicio; es entender a la persona que está detrás y dejar un impacto positivo en su calidad de vida. Una empresa va más allá de números, estadísticas financieras y balances; una organización empresarial también es el reflejo de sueños de personas que trabajan para construir algo más grande, un impacto real._x000a__x000a_Obtener la beca para mí representaría una oportunidad de transformar mi entorno con los conocimientos no solo académicos, sino humanos. Mi objetivo es centrarme en el emprendimiento local de mi sector, promoviendo la creación de empleos, sino también la posibilidad de beneficiar a otros. Mi compromiso se basaría principalmente en generar redes de apoyo que impulsen el talento local en pequeñas, medianas y grandes empresas._x000a__x000a_Mi ideología principal es que el conocimiento siempre debe compartirse para multiplicarse y crear algo más grande. Desarrollarme profesionalmente no es solo mi único objetivo, sino también tener la oportunidad de administrar y motivar a las personas a creer y desarrollar su propio potencial. Esta beca, para mí, es la oportunidad de poder cumplir mi sueño y poder prepararme para un mejor futuro donde pueda liderar, aprender a tomar decisiones éticas y hacer sueños realidad que respondan a las necesidades de las personas."/>
    <s v="Estudiantes de EAFIT"/>
    <s v="Por la calidad académica."/>
    <s v="Vocación."/>
    <n v="2"/>
    <s v="0"/>
    <s v="SI"/>
    <s v="NO"/>
    <s v="Entre 1 y 2 millones"/>
    <s v="No"/>
    <n v="0"/>
    <n v="0"/>
    <m/>
    <s v="SI"/>
    <s v="Beca"/>
    <s v="NO"/>
    <s v=""/>
    <s v=""/>
    <s v="Si"/>
    <s v="Néstor Raúl Marín Agudelo"/>
    <s v="Casado"/>
    <s v="TECNOLOGÍA"/>
    <s v="53"/>
    <s v="vendedor"/>
    <s v="Desempleado (Se encuentra en la búsqueda activa de empleo)"/>
    <s v="No aplica"/>
    <s v="No aplica"/>
    <n v="0"/>
    <s v="Si"/>
    <s v="NO"/>
    <s v="NO"/>
    <s v=""/>
    <s v="Si"/>
    <s v="Xiomara Gallo Gómez"/>
    <s v="Casado"/>
    <s v="TÉCNICA"/>
    <s v="53"/>
    <s v="Operaria"/>
    <s v="Empleado (con contrato laboral)"/>
    <s v="Empleada como operaria costurera"/>
    <s v="Agua Bendita"/>
    <n v="1581535"/>
    <s v="Si"/>
    <s v="NO"/>
    <s v="NO"/>
    <m/>
    <n v="1581535"/>
    <s v="No, solo vivo con mis padres"/>
    <s v=""/>
    <s v=""/>
    <s v=""/>
    <s v=""/>
    <s v=""/>
    <m/>
    <s v=""/>
    <s v=""/>
    <s v=""/>
    <s v=""/>
    <s v=""/>
    <s v=""/>
    <m/>
    <s v=""/>
    <s v=""/>
    <s v=""/>
    <s v=""/>
    <s v=""/>
    <s v=""/>
    <m/>
    <s v=""/>
    <s v=""/>
    <n v="140744000"/>
    <n v="0"/>
    <n v="0"/>
    <n v="0"/>
    <n v="0"/>
    <s v="Si"/>
    <s v="Honda"/>
    <s v="2010"/>
    <n v="3200000"/>
    <s v="No"/>
    <s v=""/>
    <s v=""/>
    <n v="0"/>
    <s v="No"/>
    <s v=""/>
    <s v=""/>
    <s v=""/>
    <n v="0"/>
    <m/>
    <n v="4"/>
    <n v="3"/>
    <n v="3"/>
    <n v="4"/>
    <n v="4"/>
    <n v="3"/>
    <n v="3"/>
    <n v="4"/>
    <n v="3"/>
    <n v="4"/>
    <n v="35"/>
    <s v="SI"/>
    <m/>
    <s v="SI, SON PRI"/>
    <s v="ok tienen todos los datos"/>
    <e v="#N/A"/>
    <e v="#N/A"/>
    <m/>
    <n v="3"/>
    <n v="10"/>
    <n v="8"/>
    <n v="5"/>
    <n v="10"/>
    <n v="15"/>
    <n v="20"/>
    <n v="16"/>
    <n v="16"/>
    <n v="76"/>
    <n v="0.5"/>
    <m/>
    <n v="3.5"/>
    <n v="2.5"/>
    <n v="8"/>
    <n v="2"/>
    <n v="3.5"/>
    <n v="2.5"/>
    <n v="8"/>
    <n v="2"/>
    <n v="74"/>
    <n v="0.5"/>
    <n v="0.5"/>
    <e v="#N/A"/>
    <m/>
    <m/>
    <n v="0"/>
    <m/>
    <m/>
    <s v="Administración de Negocios"/>
    <e v="#N/A"/>
    <s v="001"/>
    <e v="#N/A"/>
  </r>
  <r>
    <s v="TI"/>
    <n v="1033259781"/>
    <s v="1000405708"/>
    <s v="MIGUEL ANGEL CHICA CANO"/>
    <s v="Estudios por primera vez"/>
    <x v="1"/>
    <s v="Descartado por ingresos altos"/>
    <m/>
    <s v="En publico objetivo"/>
    <s v="2da Cohorte"/>
    <s v="Admitido"/>
    <s v="machicac1@eafit.edu.co"/>
    <e v="#N/A"/>
    <s v="chicamga2@gmail.com"/>
    <s v="573137988078"/>
    <d v="2025-05-16T00:00:00"/>
    <s v="Activo en Programa"/>
    <s v="003-Economía"/>
    <s v="E.Finanzas, Economía, Gobierno"/>
    <d v="2007-07-16T00:00:00"/>
    <n v="18"/>
    <s v="Antioquia"/>
    <s v="Medellín"/>
    <s v="Hombre"/>
    <s v="Soltero"/>
    <s v="NO"/>
    <s v="NO"/>
    <n v="0"/>
    <s v="NO"/>
    <s v="NA"/>
    <s v="NO"/>
    <s v="NA"/>
    <s v="NO"/>
    <s v="NA"/>
    <s v="No"/>
    <s v="313/645-6297"/>
    <s v="573137988078"/>
    <s v="Estrato 3"/>
    <s v="CR 65 B CL 52 B SUR 54"/>
    <s v="Antioquia"/>
    <s v="Medellín"/>
    <s v="No aplica, no soy foráneo"/>
    <s v="Arriendo"/>
    <s v="SI"/>
    <s v="2024"/>
    <s v="AC202433122272"/>
    <n v="339"/>
    <n v="63"/>
    <n v="69"/>
    <s v="Privada"/>
    <s v="Colegio Luis Amigó"/>
    <n v="2024"/>
    <m/>
    <s v="La Estrella"/>
    <s v="Bachillerato"/>
    <s v="Técnico"/>
    <m/>
    <s v="11"/>
    <s v="Escala de 0 - 5"/>
    <s v="Escala de 0 - 5"/>
    <s v="4"/>
    <s v="4"/>
    <m/>
    <s v="4"/>
    <s v="4"/>
    <m/>
    <n v="4"/>
    <n v="4"/>
    <m/>
    <n v="4"/>
    <n v="4"/>
    <m/>
    <s v="4"/>
    <s v="4"/>
    <m/>
    <s v="4"/>
    <s v="4,5"/>
    <m/>
    <s v="4"/>
    <s v="4,5"/>
    <m/>
    <s v="De 9 y 10"/>
    <n v="4"/>
    <s v="NO"/>
    <s v="NA"/>
    <n v="0"/>
    <n v="0"/>
    <s v="No"/>
    <n v="45"/>
    <m/>
    <n v="45"/>
    <m/>
    <n v="50"/>
    <m/>
    <s v="El aspirante está en búsqueda de una beca."/>
    <n v="46.666666666666664"/>
    <s v="Con detalle por componente"/>
    <s v="Deportistas de alto rendimiento o representativo"/>
    <s v="Por medio de la economía, me visualizo en un futuro como un profesional capacitado para gestionar de manera óptima todos y cada uno de los bienes escasos que existen dentro de la comunidad. La economía, más allá de ser una ciencia que estudia mercados y probabilidades, estudia al ser humano y su comportamiento dentro de la sociedad, siendo así un pilar fundamental en nuestra vida cotidiana, requiriendo profesionales capacitados para gestionarla correctamente._x000a_Mi principal objetivo es contribuir al desarrollo sostenible de mi entorno, impulsando así el bienestar colectivo y reduciendo la desigualdad. Busco generar un impacto positivo y fomentar la comprensión de las dinámicas económicas y sociales para impulsar el crecimiento económico. Eso se logrará mediante varias acciones, Tales como: asumir un rol activo en el campo de análisis y como estratega, impulsar la economía local y fomentar la educación económica._x000a_Tengo la seguridad de que, junto a la universidad EAFIT, esto será posible, porque, por medio de una formación sólida y ética, no solo se está impulsando a un profesional hacia el futuro, sino que se está llevando a una comunidad al progreso."/>
    <s v="EAFIT es una experiencia"/>
    <s v="Por la calidad académica."/>
    <s v="Vocación."/>
    <n v="1"/>
    <s v="0"/>
    <s v="SI"/>
    <s v="NO"/>
    <s v="Entre 1 y 2 millones"/>
    <s v="No"/>
    <n v="0"/>
    <n v="0"/>
    <m/>
    <s v="SI"/>
    <s v="Beca"/>
    <s v="NO"/>
    <s v=""/>
    <s v=""/>
    <s v="Si"/>
    <s v="Hernán Darío chica Tabares"/>
    <s v="Soltero"/>
    <s v="TECNOLOGÍA"/>
    <s v="66"/>
    <s v="Transportador"/>
    <s v="Independiente (trabaja por cuenta propia)"/>
    <s v="conductor"/>
    <s v="Particular"/>
    <n v="4210000"/>
    <s v="No"/>
    <s v="SI"/>
    <s v="NO"/>
    <s v=""/>
    <s v="Si"/>
    <s v="Flor marina cano saldarrigaa"/>
    <s v="Soltero"/>
    <s v="TÉCNICA"/>
    <s v="47"/>
    <s v="Asesor comercial supernumerari"/>
    <s v="Empleado (con contrato laboral)"/>
    <s v="Asesor comercial"/>
    <s v="Gana"/>
    <n v="1423500"/>
    <s v="Si"/>
    <s v="NO"/>
    <s v="NO"/>
    <m/>
    <n v="5633500"/>
    <s v="No, solo vivo con mis padres"/>
    <s v=""/>
    <s v=""/>
    <s v=""/>
    <s v=""/>
    <s v=""/>
    <m/>
    <s v=""/>
    <s v=""/>
    <s v=""/>
    <s v=""/>
    <s v=""/>
    <s v=""/>
    <m/>
    <s v=""/>
    <s v=""/>
    <s v=""/>
    <s v=""/>
    <s v=""/>
    <s v=""/>
    <m/>
    <s v=""/>
    <s v=""/>
    <n v="0"/>
    <n v="310503000"/>
    <n v="0"/>
    <n v="0"/>
    <n v="0"/>
    <s v="Si"/>
    <s v="Chevrolet"/>
    <s v="2009"/>
    <n v="18000000"/>
    <s v="No"/>
    <s v=""/>
    <s v=""/>
    <n v="0"/>
    <s v="Si"/>
    <s v="Moto"/>
    <s v="Bajaj"/>
    <s v="2024"/>
    <n v="6000000"/>
    <m/>
    <n v="4"/>
    <n v="4"/>
    <n v="4"/>
    <n v="4"/>
    <n v="4"/>
    <n v="4"/>
    <n v="4"/>
    <n v="3"/>
    <n v="3"/>
    <n v="4"/>
    <n v="38"/>
    <s v="SI"/>
    <s v="SI, TIPO IE"/>
    <s v="PRI SIN TIPO IE"/>
    <s v="pendiente tipo ie"/>
    <e v="#N/A"/>
    <e v="#N/A"/>
    <m/>
    <n v="2"/>
    <n v="10"/>
    <n v="8"/>
    <n v="10"/>
    <n v="15"/>
    <n v="15"/>
    <n v="20"/>
    <n v="9"/>
    <n v="9.5"/>
    <n v="79.5"/>
    <n v="0.4"/>
    <m/>
    <n v="2"/>
    <n v="3.5"/>
    <n v="3"/>
    <n v="1"/>
    <n v="2"/>
    <n v="3"/>
    <n v="3"/>
    <n v="1"/>
    <n v="77"/>
    <n v="0.4"/>
    <n v="0.4"/>
    <e v="#N/A"/>
    <m/>
    <m/>
    <s v="SI, TIPO IE"/>
    <m/>
    <m/>
    <s v="Economía"/>
    <e v="#N/A"/>
    <s v="003"/>
    <e v="#N/A"/>
  </r>
  <r>
    <s v="TI"/>
    <n v="1033259939"/>
    <s v="1000405257"/>
    <s v="LAURA MILENA PELÁEZ ROJAS"/>
    <s v="Estudios por primera vez"/>
    <x v="1"/>
    <s v="Descartado por notas"/>
    <m/>
    <s v="En publico objetivo"/>
    <s v="2da Cohorte"/>
    <s v="Admitido"/>
    <s v="lmpelaezr@eafit.edu.co"/>
    <e v="#N/A"/>
    <s v="pelaezlaura714@gmail.com"/>
    <s v="573160544767"/>
    <d v="2025-05-16T00:00:00"/>
    <s v="Activo en Programa"/>
    <s v="183-Biología"/>
    <s v="E Ciencias Aplic e Ingeniería"/>
    <d v="2007-09-14T00:00:00"/>
    <n v="18"/>
    <s v="Antioquia"/>
    <s v="Medellín"/>
    <s v="Mujer"/>
    <s v="Soltero"/>
    <s v="NO"/>
    <s v="NO"/>
    <n v="0"/>
    <s v="NO"/>
    <s v="NA"/>
    <s v="NO"/>
    <s v="NA"/>
    <s v="NO"/>
    <s v="NA"/>
    <s v="No"/>
    <s v="316/637-8696"/>
    <s v="573160544767"/>
    <s v="Estrato 3"/>
    <s v="CL 37 #42 A- 50"/>
    <s v="Antioquia"/>
    <s v="Itagui"/>
    <s v="No aplica, no soy foráneo"/>
    <s v="Arriendo"/>
    <s v="SI"/>
    <s v="2024"/>
    <s v="AC202431092170"/>
    <n v="347"/>
    <n v="71"/>
    <n v="69"/>
    <s v="Pública"/>
    <s v="I.E. ANTONIO JOSE DE SUCRE"/>
    <n v="2024"/>
    <s v="Antioquia"/>
    <s v="Itagui"/>
    <s v="BACHILLER"/>
    <s v="ACAD"/>
    <s v="TIPO: Pública, INSTITUCION: I.E. ANTONIO JOSE DE SUCRE, AÑO: 2024, CIUDAD: Itagui, TITULO: BACHILLER"/>
    <s v="11"/>
    <s v="Escala de 0 - 5"/>
    <s v="Escala de 0 - 5"/>
    <s v="4,2"/>
    <s v="4,2"/>
    <m/>
    <s v="3,7"/>
    <s v="3,7"/>
    <m/>
    <n v="3.9"/>
    <n v="4.5"/>
    <m/>
    <n v="3.7"/>
    <n v="3.4"/>
    <m/>
    <s v="4,5"/>
    <s v="4,1"/>
    <m/>
    <s v="4"/>
    <s v="3,3"/>
    <m/>
    <s v="3,8"/>
    <s v="4"/>
    <m/>
    <s v="De 9 y 10"/>
    <n v="3.8750000000000004"/>
    <s v="NO"/>
    <s v="NA"/>
    <n v="0"/>
    <n v="0"/>
    <s v="No"/>
    <n v="45"/>
    <m/>
    <n v="45"/>
    <m/>
    <n v="50"/>
    <m/>
    <m/>
    <n v="46.666666666666664"/>
    <s v="Con detalle por componente"/>
    <s v="Trabajo social o comunitario"/>
    <s v="Me visualizo siendo una bióloga investigadora, pues esta ciencia no solo estudia la vida, sino que también permite aportar al desarrollo de esta en los diferentes ámbitos. Durante mi desarrollo académico, pude participar en proyectos de investigación enfocados en el estudio de distintos seres vivos, lo cual abrió completamente mis ojos, haciendo que se me despertara una profunda pasión por la investigación, especialmente en biología. Además, espero que, al momento de ejercer mi carrera, pueda generar un impacto significativo en la sociedad colombiana y a nivel internacional en el ámbito de la ciencia, la investigación y la tecnología aplicada a la biología, ya que sueño con especializarme en biotecnología y seguir preparándome para que mi trabajo tenga un alcance significativo. _x000a_Mi objetivo es poder contribuir a mi región, pues estoy consiente de que no solo la economía, sino la sociedad colombiana depende del trabajo agrícola, por lo que me motiva, en gran medida, por medio de la biología, con el estudio de los organismos y como estos interactúan en diferentes procesos, y por medio de la biotecnología, implementarla a la agronomía para así poder contribuir al desarrollo y modernización sostenible de esta gran labor tan importante como lo es la agricultura._x000a_Está beca representaría una gran oportunidad, no solo como apoyo económico, sino como la confianza que depositarían en mí y que sabría aprovechar al máximo, ya que me caracterizo por ser una persona que se compromete y trabaja por el cumplimiento de sus metas, y con cualidades como la disciplina, la responsabilidad y la perseverancia, sé que puedo salir adelante para mantener el rendimiento académico necesario y aprovechar cada oportunidad de crecimiento."/>
    <s v="A través del Colegio"/>
    <s v="Por la calidad académica."/>
    <s v="Vocación."/>
    <n v="3"/>
    <s v="2"/>
    <s v="NO"/>
    <s v="NO"/>
    <s v="Entre 4 y 5 millones"/>
    <s v="Si"/>
    <n v="0"/>
    <n v="0"/>
    <m/>
    <s v="SI"/>
    <s v="Beca"/>
    <s v="NO"/>
    <s v=""/>
    <s v=""/>
    <s v="Si"/>
    <s v="Wilson Peláez Arenas"/>
    <s v="Casado"/>
    <s v="TECNOLOGÍA"/>
    <s v="56"/>
    <s v="Comerciante"/>
    <s v="Independiente (trabaja por cuenta propia)"/>
    <s v="Ventas y logística"/>
    <s v="Tintas Rojas Publicidad"/>
    <n v="2150000"/>
    <s v="Si"/>
    <s v="SI"/>
    <s v="NO"/>
    <s v=""/>
    <s v="Si"/>
    <s v="Sandra Milena Rojas"/>
    <s v="Casado"/>
    <s v="BACHILLERATO"/>
    <s v="48"/>
    <s v="Comerciante"/>
    <s v="Independiente (trabaja por cuenta propia)"/>
    <s v="Auxiliar Administrativa"/>
    <s v="Tintas Rojas Publicidad"/>
    <n v="1850000"/>
    <s v="Si"/>
    <s v="NO"/>
    <s v="NO"/>
    <m/>
    <n v="4000000"/>
    <s v="Si"/>
    <s v="Juan Esteban Peláez Rojas"/>
    <s v="Hermano / Hermana"/>
    <s v="24"/>
    <s v="Estudiante"/>
    <s v="Instituto Tecnológico Metropolitano"/>
    <n v="0"/>
    <s v="No"/>
    <s v=""/>
    <s v=""/>
    <s v=""/>
    <s v=""/>
    <s v=""/>
    <m/>
    <s v=""/>
    <s v=""/>
    <s v=""/>
    <s v=""/>
    <s v=""/>
    <s v=""/>
    <m/>
    <s v=""/>
    <s v=""/>
    <n v="0"/>
    <n v="0"/>
    <n v="0"/>
    <n v="221208000"/>
    <n v="0"/>
    <s v="Si"/>
    <s v="FORD"/>
    <s v="1998"/>
    <n v="7000000"/>
    <s v="No"/>
    <s v=""/>
    <s v=""/>
    <n v="0"/>
    <s v="Si"/>
    <s v="Moto"/>
    <s v="Auteco"/>
    <s v="2024"/>
    <n v="9500000"/>
    <m/>
    <n v="4"/>
    <n v="4"/>
    <n v="3"/>
    <n v="4"/>
    <n v="3"/>
    <n v="3"/>
    <n v="4"/>
    <n v="3"/>
    <n v="3"/>
    <n v="4"/>
    <n v="35"/>
    <s v="SI"/>
    <m/>
    <s v="SI, SON PRI"/>
    <s v="ok tienen todos los datos"/>
    <e v="#N/A"/>
    <e v="#N/A"/>
    <m/>
    <n v="2"/>
    <n v="10"/>
    <n v="8"/>
    <n v="10"/>
    <n v="10"/>
    <n v="15"/>
    <n v="20"/>
    <n v="19"/>
    <n v="17"/>
    <n v="82"/>
    <n v="0.5"/>
    <n v="0.4"/>
    <n v="3.5"/>
    <n v="4.5"/>
    <n v="6"/>
    <n v="3"/>
    <n v="3.5"/>
    <n v="4"/>
    <n v="7"/>
    <n v="4.5"/>
    <n v="82"/>
    <n v="0.7"/>
    <n v="0.7"/>
    <e v="#N/A"/>
    <m/>
    <m/>
    <n v="0"/>
    <m/>
    <m/>
    <s v="Biología"/>
    <e v="#N/A"/>
    <s v="183"/>
    <e v="#N/A"/>
  </r>
  <r>
    <s v="CC"/>
    <n v="1033487771"/>
    <s v="1000402156"/>
    <s v="PAMELA ALVAREZ GUTIERREZ"/>
    <s v="Estudios por primera vez"/>
    <x v="4"/>
    <s v="No cumple, estrato 4"/>
    <m/>
    <s v="En publico objetivo"/>
    <s v="2da Cohorte"/>
    <s v="Admitido"/>
    <s v="palvarezg1@eafit.edu.co"/>
    <s v="palvarezg1@eafit.edu.co"/>
    <s v="pamealvarez723@gmail.com"/>
    <s v="573015879686"/>
    <d v="2025-05-16T00:00:00"/>
    <s v="Activo en Programa"/>
    <s v="002-Negocios Internacionales"/>
    <s v="Escuela de Administración"/>
    <d v="2005-07-23T00:00:00"/>
    <n v="20"/>
    <s v="Antioquia"/>
    <s v="Bello"/>
    <s v="Mujer"/>
    <s v="Soltero"/>
    <s v="NO"/>
    <s v="NO"/>
    <n v="0"/>
    <s v="NO"/>
    <s v="NA"/>
    <s v="NO"/>
    <s v="NA"/>
    <s v="NO"/>
    <s v="NA"/>
    <s v="No"/>
    <s v="No hay"/>
    <s v="573015879686"/>
    <s v="Estrato 4"/>
    <s v="CR 98 #35 B- 17"/>
    <s v="Antioquia"/>
    <s v="Medellín"/>
    <s v="No aplica, no soy foráneo"/>
    <s v="Familiar"/>
    <s v="SI"/>
    <s v="2022"/>
    <s v="AC202246349807"/>
    <n v="338"/>
    <n v="73"/>
    <n v="69"/>
    <s v="Privada"/>
    <s v="COL NUESTRA MADRE DE MERCEDES"/>
    <n v="2022"/>
    <s v="Antioquia"/>
    <s v="Medellín"/>
    <s v="BACHILLER"/>
    <s v="ACAD"/>
    <s v="TIPO: Privada, INSTITUCION: COL NUESTRA MADRE DE MERCEDES, AÑO: 2022, CIUDAD: Medellín, TITULO: BACHILLER"/>
    <s v="11"/>
    <s v="Escala de 0 - 5"/>
    <s v="Escala de 0 - 5"/>
    <s v="4,5"/>
    <s v="3,9"/>
    <m/>
    <s v="4,5"/>
    <s v="4,4"/>
    <m/>
    <n v="4.2"/>
    <n v="3.8"/>
    <m/>
    <n v="4.2"/>
    <n v="4.0999999999999996"/>
    <m/>
    <s v="4,7"/>
    <s v="4,8"/>
    <m/>
    <s v="4,5"/>
    <s v="4,4"/>
    <m/>
    <s v="4,4"/>
    <s v="4,3"/>
    <m/>
    <s v="De 9 y 10"/>
    <n v="4.0749999999999993"/>
    <s v="NO"/>
    <s v="NA"/>
    <n v="0"/>
    <n v="0"/>
    <s v="No"/>
    <n v="45"/>
    <m/>
    <n v="45"/>
    <m/>
    <n v="45"/>
    <m/>
    <m/>
    <n v="45"/>
    <s v="Con detalle por componente"/>
    <s v="Trabajo social o comunitario"/>
    <s v="La manera en la que deseo ejercer mi carrera en unos años es emprendiendo en el gremio de la dermatología, mi meta es crear una marca propia de productos dermatológicos que sean exportados de Alemania a Colombia e innoven el mercado de la cosmética en mi País negociando con países del exterior en especial Europeos. Deseo enfocar mi carrera en el marketing digital, aprovechando las conexiones y alcance que la tecnología me puede brindar a través del mundo. Por medio de la obtención de la beca, la cual facilitará mi acceso a la educación, puedo adquirir conocimientos que en un futuro aplicaré para emprender proyectos que generen empleo y desarrollo en mi comunidad, así como una cultura de superación y esfuerzo."/>
    <s v="Amigos"/>
    <s v="Por la calidad académica."/>
    <s v="Vocación."/>
    <n v="4"/>
    <s v="1"/>
    <s v="SI"/>
    <s v="NO"/>
    <s v="Entre 1 y 2 millones"/>
    <s v="No"/>
    <s v="SI"/>
    <n v="0"/>
    <m/>
    <s v="NO"/>
    <m/>
    <s v="NO"/>
    <s v=""/>
    <s v=""/>
    <s v="Si"/>
    <s v="YEISON ALEXIS ALVAREZ GIL"/>
    <s v="Casado"/>
    <s v="TÉCNICA"/>
    <s v="43"/>
    <s v="vendedor"/>
    <s v="Empleado (con contrato laboral)"/>
    <s v="VENDEDOR / SERVICIO AL CLIENTE"/>
    <s v="DISCOTECA TAMARINDO"/>
    <n v="1625000"/>
    <s v="Si"/>
    <s v="NO"/>
    <s v="NO"/>
    <s v=""/>
    <s v="Si"/>
    <s v="LEXLY TATIANA GUTIERREZ MANCO"/>
    <s v="Unión marital"/>
    <s v="PRIMARIA"/>
    <s v="41"/>
    <s v="ama de casa"/>
    <s v="Labores del hogar y cuidado"/>
    <s v="Ama de casa"/>
    <s v="Hogar"/>
    <n v="0"/>
    <s v="No"/>
    <s v="NO"/>
    <s v="NO"/>
    <s v="vive en el municipio de la estrella con su actual pareja, nos vemos regularmente y tenemos una buena relación"/>
    <n v="1625000"/>
    <s v="Si"/>
    <s v="ALBA DEL SOCORRO GIL ECHAVARRIA"/>
    <s v="Abuelo / Abuela"/>
    <s v="65"/>
    <s v="Ama de casa"/>
    <s v="HOGAR"/>
    <n v="0"/>
    <s v="No"/>
    <s v="GUILLERMO DE JESUS ALVAREZ GONZALEZ"/>
    <s v="Abuelo / Abuela"/>
    <s v="68"/>
    <s v="OFICIOS VARIOS"/>
    <s v="DISCOTECA TAMARINDO"/>
    <n v="1625000"/>
    <s v="Si"/>
    <s v="EMILIANO PIÑEROS ALVAREZ"/>
    <s v="Primos"/>
    <s v="11"/>
    <s v="Estudiante"/>
    <s v="COLEGIO NUESTRA MADRE DE MERCEDES"/>
    <n v="0"/>
    <s v="No"/>
    <s v="Actualmente vivo con mis abuelos, mi papá y mi primo de 11 años, el vive con nosotros ya que mi tía (que vive cerca) no puede cuidarlo por su trabajo. Yo he estado trabajando desde hace 3 meses  si embargo este es mi ultimo mes ya que renunciaré por mis temas de estudio"/>
    <n v="230973000"/>
    <n v="445000000"/>
    <n v="0"/>
    <n v="578771000"/>
    <n v="0"/>
    <s v="Si"/>
    <s v="FORD EXPLORER"/>
    <s v="2025"/>
    <n v="250000000"/>
    <s v="No"/>
    <s v=""/>
    <s v=""/>
    <n v="0"/>
    <s v="No"/>
    <s v=""/>
    <s v=""/>
    <s v=""/>
    <n v="0"/>
    <m/>
    <n v="4"/>
    <n v="4"/>
    <n v="3"/>
    <n v="4"/>
    <n v="4"/>
    <n v="3"/>
    <n v="4"/>
    <n v="3"/>
    <n v="3"/>
    <n v="4"/>
    <n v="36"/>
    <s v="SI"/>
    <m/>
    <s v="SI, SON PRI"/>
    <s v="ok tienen todos los datos"/>
    <e v="#N/A"/>
    <e v="#N/A"/>
    <m/>
    <n v="3"/>
    <n v="4"/>
    <n v="4"/>
    <n v="10"/>
    <n v="15"/>
    <n v="15"/>
    <n v="15"/>
    <n v="13.5"/>
    <n v="13.5"/>
    <n v="72.5"/>
    <n v="0.4"/>
    <m/>
    <n v="2"/>
    <n v="3.5"/>
    <n v="8"/>
    <n v="0"/>
    <n v="2"/>
    <n v="3.5"/>
    <n v="8"/>
    <n v="0"/>
    <n v="72.5"/>
    <n v="0.4"/>
    <s v="Negado"/>
    <e v="#N/A"/>
    <m/>
    <m/>
    <n v="0"/>
    <m/>
    <m/>
    <s v="Negocios Internacionales"/>
    <e v="#N/A"/>
    <m/>
    <e v="#N/A"/>
  </r>
  <r>
    <s v="CC"/>
    <n v="1033488129"/>
    <s v="1000370594"/>
    <s v="TOMAS POSADA CASTRO"/>
    <s v="Estudios por primera vez"/>
    <x v="1"/>
    <s v="Descartado por baja prioridad pregrado"/>
    <m/>
    <s v="En publico objetivo"/>
    <s v="2da Cohorte"/>
    <s v="Admitido"/>
    <s v="tposadac@eafit.edu.co"/>
    <s v="tposadac@eafit.edu.co"/>
    <s v="tposadac@eafit.edu.co"/>
    <s v="322/275-1100"/>
    <d v="2025-05-16T00:00:00"/>
    <s v="Activo en Programa"/>
    <s v="083-Música"/>
    <s v="Escuela de Artes y Humanidades"/>
    <d v="2005-11-16T00:00:00"/>
    <n v="20"/>
    <s v="Antioquia"/>
    <s v="Medellín"/>
    <s v="Hombre"/>
    <s v="Soltero"/>
    <s v="NO"/>
    <s v="NO"/>
    <n v="0"/>
    <s v="NO"/>
    <s v="NA"/>
    <s v="NO"/>
    <s v="NA"/>
    <s v="NO"/>
    <s v="NA"/>
    <s v="No"/>
    <s v="322/275-1100"/>
    <s v="322/275-1100"/>
    <s v="Estrato 3"/>
    <s v="CR 58 14 SUR 40 AP 504 BRR EL PORVENIR URBANIZACIONVILLA LUNA"/>
    <s v="Antioquia"/>
    <s v="Itagui"/>
    <s v="No aplica, no soy foráneo"/>
    <s v="Arriendo"/>
    <s v="SI"/>
    <s v="2024"/>
    <s v="AC202430189187"/>
    <n v="322"/>
    <n v="69"/>
    <n v="63"/>
    <s v="Privada"/>
    <s v="INSTITUCION EDUCATIVA AVANZAR"/>
    <n v="2024"/>
    <s v="Antioquia"/>
    <s v="Envigado"/>
    <s v="BACHILLER"/>
    <s v="ACAD"/>
    <s v="TIPO: Privada, INSTITUCION: INSTITUCION EDUCATIVA AVANZAR, AÑO: 2024, CIUDAD: Envigado, TITULO: BACHILLER"/>
    <s v="11"/>
    <s v="Escala de 0 - 10"/>
    <s v="Escala de 0 - 5"/>
    <s v="4"/>
    <s v="4"/>
    <m/>
    <s v="4"/>
    <s v="4"/>
    <m/>
    <n v="4"/>
    <n v="4"/>
    <m/>
    <n v="4"/>
    <n v="5"/>
    <m/>
    <s v="4"/>
    <s v="4,5"/>
    <m/>
    <s v="4"/>
    <s v="4"/>
    <m/>
    <s v="4"/>
    <s v="4,5"/>
    <m/>
    <s v="De 9 y 10"/>
    <n v="4.25"/>
    <s v="NO"/>
    <s v="NA"/>
    <n v="0"/>
    <n v="0"/>
    <s v="No"/>
    <s v="Sin informacion"/>
    <s v="Sin informacion"/>
    <s v="Sin informacion"/>
    <s v="Sin informacion"/>
    <s v="Sin informacion"/>
    <s v="Sin informacion"/>
    <n v="0"/>
    <n v="8"/>
    <s v="Audicion musica"/>
    <s v="Artísticas o culturales"/>
    <s v="Llevo 5 años trabajando en mi proyecto como artista Illios, en el que he desarrollado mis habilidades como compositor y productor musical a través de tutoriales en línea, cursos y diplomados presenciales. Él conocimiento que he adquirido lo he expresado en las diversas obras que he lanzado a plataformas digitales, me ha impulsado a trabajar con diferentes artistas tanto locales como extranjeros y por mi arduo esfuerzo y dedicación, mi obra Naho, inspirada en el canto de la ballena fue seleccionada para ser interpretada por la Orquesta Filarmónica de Medellin en el Concierto Filartronico 2024._x000a__x000a_¿Porque la Beca Talento?_x000a_Por la alta calidad que ofrece la universidad en instalaciones y espacios académicos, hay un costo el cual mis padres y yo no contamos con los fondos necesarios para pagarlo por lo cual aspiro a obtener la beca talento._x000a__x000a_¿Porque EAFIT?_x000a_Por la experiencia académica que he recibido en el Preuniversitario Nivel 2 y 3, no conozco un mejor lugar en el que pueda reforzar mis habilidades, inspirarme para crear y motivarme para aprender que no sea la Universidad EAFIT._x000a__x000a_¿Que significa como profesional?_x000a_Si obtengo la beca, mejoraría como músico y compositor haciendo que mis obras tanto propias como compartidas reciban un enriquecimiento musical más profundo, beneficia a mi familia ya que no sufriría una presión económica tan grande y la universidad gana más talento, mí compromiso y dedicación con los planes de estudio en la universidad._x000a__x000a_Impacto en la sociedad_x000a_Actualmente desempeño mi tiempo libre en enseñar como interpretar el piano a 4 jovenes y aspiro a seguir enseñando la música a nuevas generaciones en diversos espacios, con el apoyo de la universidad espero impulsar mi proyecto Illios, ampliar mi catalogo musical así como mejorar la calidad del mismo y encontrar una audiencia que conecte profundamente con mi música en los espacios que ofrece EAFIT."/>
    <s v="Referencias familiares"/>
    <s v="Por la calidad académica."/>
    <s v="Vocación."/>
    <n v="4"/>
    <s v="1"/>
    <s v="NO"/>
    <s v="NO"/>
    <s v="Entre 3 y 4 millones"/>
    <s v="No"/>
    <n v="0"/>
    <n v="0"/>
    <m/>
    <s v="SI"/>
    <s v="Beca"/>
    <s v="NO"/>
    <s v=""/>
    <s v=""/>
    <s v="Si"/>
    <s v="Juan Carlos Posada Monsalve"/>
    <s v="Soltero"/>
    <s v="TÉCNICA"/>
    <s v="42"/>
    <s v="Diseñador grafico"/>
    <s v="Empleado (con contrato laboral)"/>
    <s v="Diseñador grafico"/>
    <s v="Siete Gestión Humana y Organizacional"/>
    <n v="2000000"/>
    <s v="Si"/>
    <s v="NO"/>
    <s v="SI"/>
    <s v=""/>
    <s v="Si"/>
    <s v="Luisa Fernanda Castro Arenas"/>
    <s v="Soltero"/>
    <s v="TECNOLOGÍA"/>
    <s v="47"/>
    <s v="Auxiliar de Gestión Humana"/>
    <s v="Empleado (con contrato laboral)"/>
    <s v="Auxiliar de Gestión Humana"/>
    <s v="INTRAMAQ S.A.S"/>
    <n v="1950000"/>
    <s v="Si"/>
    <s v="NO"/>
    <s v="NO"/>
    <m/>
    <n v="3950000"/>
    <s v="Si"/>
    <s v="Juan Camilo Garcia Castro"/>
    <s v="Hermano / Hermana"/>
    <s v="29"/>
    <s v="Coordinador de sistemas y telecomunicaciones"/>
    <s v="Inverprimos S.A.S"/>
    <n v="4600000"/>
    <s v="Si"/>
    <s v="Natalia Andrea Sampedro Rendón"/>
    <s v="Cuñada"/>
    <s v="24"/>
    <s v="Diseñadora"/>
    <s v="Moving Marketing Studio"/>
    <n v="2500000"/>
    <s v="No"/>
    <s v=""/>
    <s v=""/>
    <s v=""/>
    <s v=""/>
    <s v=""/>
    <m/>
    <s v=""/>
    <s v="Mi hermano dirige sus ingresos a sostener su carrera universitaria y a gastos fijios."/>
    <n v="0"/>
    <n v="100000000"/>
    <n v="0"/>
    <n v="0"/>
    <n v="0"/>
    <s v="Si"/>
    <s v="Suzuki Swift"/>
    <s v="2016"/>
    <n v="30000000"/>
    <s v="No"/>
    <s v=""/>
    <s v=""/>
    <n v="0"/>
    <s v="No"/>
    <s v=""/>
    <s v=""/>
    <s v=""/>
    <n v="0"/>
    <s v="La vivienda corresponde a una Vivienda de Interés Social (VIS) ubicada en el municipio de Guarne, Antioquia. Actualmente se encuentra financiada mediante crédito hipotecario, y fuimos beneficiarios de un subsidio otorgado por el Gobierno Nacional para el pago parcial de los intereses del mismo.En cuanto al vehículo de la familia, este se encuentra actualmente en prenda como parte de un crédito vigente para su adquisición."/>
    <n v="4"/>
    <n v="4"/>
    <n v="4"/>
    <n v="4"/>
    <n v="4"/>
    <n v="4"/>
    <n v="4"/>
    <n v="4"/>
    <n v="4"/>
    <n v="4"/>
    <n v="40"/>
    <s v="SI"/>
    <m/>
    <s v="PRI SIN PUNTAJE ENTREVISTA"/>
    <s v="ok es de musica, se deja puntaje del pregrado de 1 a 10 y comentario"/>
    <e v="#N/A"/>
    <e v="#N/A"/>
    <m/>
    <n v="1"/>
    <n v="10"/>
    <n v="8"/>
    <n v="5"/>
    <n v="15"/>
    <n v="15"/>
    <n v="10"/>
    <n v="15"/>
    <n v="14.5"/>
    <n v="69.5"/>
    <n v="0.4"/>
    <m/>
    <n v="2"/>
    <n v="3.5"/>
    <n v="6"/>
    <n v="3"/>
    <n v="2"/>
    <n v="3"/>
    <n v="7"/>
    <n v="3"/>
    <n v="68"/>
    <n v="0.5"/>
    <n v="0.4"/>
    <e v="#N/A"/>
    <m/>
    <m/>
    <n v="0"/>
    <m/>
    <m/>
    <s v="Música"/>
    <e v="#N/A"/>
    <s v="083"/>
    <e v="#N/A"/>
  </r>
  <r>
    <s v="TI"/>
    <n v="1033490053"/>
    <s v="1000390552"/>
    <s v="NATALIA VALENCIA CHILATRA"/>
    <s v="Estudios por primera vez"/>
    <x v="1"/>
    <s v="Descartado por bajo icfes"/>
    <m/>
    <s v="En publico objetivo"/>
    <s v="2da Cohorte"/>
    <s v="Admitido"/>
    <s v="nvalencic1@eafit.edu.co"/>
    <s v="nvalencic1@eafit.edu.co"/>
    <s v="nataliaperliu@gmail.com"/>
    <s v="573166413644"/>
    <d v="2025-05-16T00:00:00"/>
    <s v="Activo en Programa"/>
    <s v="101-Ingeniería Matemática"/>
    <s v="E Ciencias Aplic e Ingeniería"/>
    <d v="2007-06-26T00:00:00"/>
    <n v="18"/>
    <s v="Antioquia"/>
    <s v="Medellín"/>
    <s v="Mujer"/>
    <s v="Soltero"/>
    <s v="NO"/>
    <s v="NO"/>
    <n v="0"/>
    <s v="NO"/>
    <s v="NA"/>
    <s v="NO"/>
    <s v="NA"/>
    <s v="NO"/>
    <s v="NA"/>
    <s v="No"/>
    <s v="300/118-5486"/>
    <s v="573166413644"/>
    <s v="Estrato 2"/>
    <s v="CL 53 SUR #70 23"/>
    <s v="Antioquia"/>
    <s v="Medellín"/>
    <s v="No aplica, no soy foráneo"/>
    <s v="Arriendo"/>
    <s v="SI"/>
    <s v="2024"/>
    <s v="AC202434151221"/>
    <n v="301"/>
    <n v="62"/>
    <n v="60"/>
    <s v="Pública"/>
    <s v="INST EDUC MANUEL J. BETANCUR"/>
    <n v="2024"/>
    <s v="Antioquia"/>
    <s v="Medellín"/>
    <s v="BACHILLER"/>
    <s v="ACAD"/>
    <s v="TIPO: Pública, INSTITUCION: INST EDUC MANUEL J. BETANCUR, AÑO: 2024, CIUDAD: Medellín, TITULO: BACHILLER"/>
    <s v="11"/>
    <s v="Escala de 0 - 5"/>
    <s v="Escala de 0 - 5"/>
    <s v="4"/>
    <s v="4"/>
    <m/>
    <s v="4"/>
    <s v="4"/>
    <m/>
    <n v="4"/>
    <n v="4.4000000000000004"/>
    <m/>
    <n v="3.4"/>
    <n v="3.9"/>
    <m/>
    <s v="3,4"/>
    <s v="4"/>
    <m/>
    <s v="4"/>
    <s v="4,7"/>
    <m/>
    <s v="4,1"/>
    <s v="4,5"/>
    <m/>
    <s v="De 9 y 10"/>
    <n v="3.9250000000000003"/>
    <s v="NO"/>
    <s v="NA"/>
    <n v="0"/>
    <n v="0"/>
    <s v="No"/>
    <n v="50"/>
    <m/>
    <n v="50"/>
    <m/>
    <n v="50"/>
    <m/>
    <s v="Persona admitida la programa de ingeniería matemática."/>
    <n v="50"/>
    <s v="Con detalle por componente"/>
    <s v="Ninguna"/>
    <s v="Me visualizo ejerciendo esta profesión no solo como alguien que desarrolla modelos o algoritmos, sino como una persona comprometida que aplica sus conocimientos matemáticos para resolver problemas reales y generar un impacto positivo ya sea como una líder de innovación, siendo un puente entre la teoría y la práctica, solucionando problemas complejos, y siendo una inspiración para otros._x000a__x000a_Obtener esta beca significa para mí mucho más que una oportunidad académica, es una forma concreta de transformar mi lugar de origen. Llevando nuevas ideas y soluciones en diferentes ámbitos, aplicando mis conocimientos en el análisis de datos para mejorar decisiones locales sobre la salud, educación, transporte o economía, también liderando proyectos sostenibles involucrados en la energía, recursos naturales y así reducir costos y aumentar la calidad de vida de la comunidad, o dando mi aporte a proyectos que impulsen el desarrollo local, especialmente en ciencia, tecnología y educación siendo una motivación u oportunidad para jóvenes especialmente para las niñas despierten su interés por las matemáticas y la ciencia, creyendo en su potencial._x000a__x000a_Estoy convencida de que el talento no depende del lugar donde uno nace, pero sí necesita un apoyo para florecer. Por eso, su apoyo no solo transformaría mi vida, sino que también me permitiría contribuir al progreso de mi comunidad."/>
    <s v="A través del Colegio"/>
    <s v="Internacionalización."/>
    <s v="Alta empleabilidad."/>
    <n v="1"/>
    <s v="0"/>
    <s v="SI"/>
    <s v="NO"/>
    <s v="Menos de 1millón"/>
    <s v="No"/>
    <n v="0"/>
    <s v="NO"/>
    <m/>
    <s v="SI"/>
    <s v="Beca"/>
    <s v="NO"/>
    <s v=""/>
    <s v=""/>
    <s v="Si"/>
    <s v="Jose Ramiro Valencia"/>
    <s v="Soltero"/>
    <s v="BACHILLERATO"/>
    <s v="68"/>
    <s v="Conductor"/>
    <s v="Independiente (trabaja por cuenta propia)"/>
    <s v="conductor"/>
    <s v="trabaja por cuenta propia"/>
    <n v="0"/>
    <s v="No"/>
    <s v="NO"/>
    <s v="NO"/>
    <s v="Mi padre es una persona ausente la cual no vive conmigo. No tenemos una relación cercana y no participa en los asuntos económicos del hogar."/>
    <s v="Si"/>
    <s v="Martha Liliana Chilatra Otavo"/>
    <s v="Soltero"/>
    <s v="BACHILLERATO"/>
    <s v="37"/>
    <s v="AUDITORA DE CALIDAD"/>
    <s v="Practicante"/>
    <s v="aprendiz-auditora de calidad"/>
    <s v="AGUA BENDITA SAS"/>
    <n v="1423500"/>
    <s v="Si"/>
    <s v="SI"/>
    <s v="NO"/>
    <s v="Mi madre es una persona trabajadora y comprometida con el bienestar de las dos . Ha asumido sola la responsabilidad de mi crianza y ha sido un gran ejemplo de esfuerzo y perseverancia. A pesar de las dificultades económicas, siempre me ha motivado a seguir estudiando ya aprovechar las oportunidades para salir adelante."/>
    <n v="1423500"/>
    <s v="No, solo vivo con mis padres"/>
    <s v=""/>
    <s v=""/>
    <s v=""/>
    <s v=""/>
    <s v=""/>
    <m/>
    <s v=""/>
    <s v=""/>
    <s v=""/>
    <s v=""/>
    <s v=""/>
    <s v=""/>
    <m/>
    <s v=""/>
    <s v=""/>
    <s v=""/>
    <s v=""/>
    <s v=""/>
    <s v=""/>
    <m/>
    <s v=""/>
    <s v=""/>
    <n v="0"/>
    <n v="0"/>
    <n v="0"/>
    <n v="0"/>
    <n v="0"/>
    <s v="No"/>
    <s v=""/>
    <s v=""/>
    <n v="0"/>
    <s v="No"/>
    <s v=""/>
    <s v=""/>
    <n v="0"/>
    <s v="No"/>
    <s v=""/>
    <s v=""/>
    <s v=""/>
    <n v="0"/>
    <s v="No contamos con ningún bien ni vehículo propio"/>
    <n v="4"/>
    <n v="4"/>
    <n v="4"/>
    <n v="4"/>
    <n v="4"/>
    <n v="4"/>
    <n v="3"/>
    <n v="3"/>
    <n v="4"/>
    <n v="4"/>
    <n v="38"/>
    <s v="SI"/>
    <m/>
    <s v="SI, SON PRI"/>
    <s v="ok tienen todos los datos"/>
    <s v="Negada"/>
    <n v="20251"/>
    <m/>
    <n v="3"/>
    <n v="10"/>
    <n v="10"/>
    <n v="5"/>
    <n v="10"/>
    <n v="15"/>
    <n v="20"/>
    <n v="20"/>
    <n v="20"/>
    <n v="80"/>
    <s v="80 - 100%"/>
    <m/>
    <n v="3.5"/>
    <n v="4.5"/>
    <n v="8"/>
    <n v="4"/>
    <n v="3.5"/>
    <n v="4"/>
    <n v="8"/>
    <n v="4.5"/>
    <n v="80"/>
    <s v="80 - 100%"/>
    <n v="1"/>
    <e v="#N/A"/>
    <m/>
    <m/>
    <n v="0"/>
    <m/>
    <m/>
    <s v="Ingeniería Matemática"/>
    <e v="#N/A"/>
    <s v="101"/>
    <e v="#N/A"/>
  </r>
  <r>
    <s v="TI"/>
    <n v="1033490151"/>
    <s v="1000392631"/>
    <s v="NICOLÁS BLANDÓN BERRÍO"/>
    <s v="Estudios por primera vez"/>
    <x v="1"/>
    <s v="Descartado por ingresos altos"/>
    <m/>
    <s v="En publico objetivo"/>
    <s v="2da Cohorte"/>
    <s v="Admitido"/>
    <s v="nblandonb@eafit.edu.co"/>
    <s v="nblandonb@eafit.edu.co"/>
    <s v="nicolasblandonberrio@gmail.com"/>
    <s v="+573113607789"/>
    <d v="2025-05-16T00:00:00"/>
    <s v="Activo en Programa"/>
    <s v="183-Biología"/>
    <s v="E Ciencias Aplic e Ingeniería"/>
    <d v="2007-07-31T00:00:00"/>
    <n v="18"/>
    <s v="Antioquia"/>
    <s v="Bello"/>
    <s v="Hombre"/>
    <s v="Soltero"/>
    <s v="NO"/>
    <s v="NO"/>
    <n v="0"/>
    <s v="NO"/>
    <s v="NA"/>
    <s v="NO"/>
    <s v="NA"/>
    <s v="NO"/>
    <s v="NA"/>
    <s v="No"/>
    <s v="311 7799396"/>
    <s v="+573113607789"/>
    <s v="Estrato 3"/>
    <s v="CR 63 A NORTE 94 A NORTE 377"/>
    <s v="Antioquia"/>
    <s v="Medellín"/>
    <s v="Si"/>
    <s v="Propio"/>
    <s v="SI"/>
    <s v="2024"/>
    <s v="AC202434505624"/>
    <n v="380"/>
    <n v="78"/>
    <n v="76"/>
    <s v="Pública"/>
    <s v="I. E. EDUARDO FERNANDEZ BOTERO"/>
    <n v="2024"/>
    <s v="Antioquia"/>
    <s v="Amalfi"/>
    <s v="BACHILLER"/>
    <n v="0"/>
    <s v="TIPO: Pública, INSTITUCION: I. E. EDUARDO FERNANDEZ BOTERO, AÑO: 2024, CIUDAD: Amalfi, TITULO: BACHILLER"/>
    <s v="11"/>
    <s v="Escala de 0 - 5"/>
    <s v="Escala de 0 - 5"/>
    <s v="4,5"/>
    <s v="4,1"/>
    <s v="4,5"/>
    <s v="4,5"/>
    <s v="4,5"/>
    <s v="5"/>
    <n v="4.2"/>
    <n v="4.5"/>
    <n v="5"/>
    <n v="4.7"/>
    <n v="4.5999999999999996"/>
    <n v="4.5"/>
    <s v="5"/>
    <s v="5"/>
    <s v="5"/>
    <s v="5"/>
    <s v="4,5"/>
    <s v="5"/>
    <s v="5"/>
    <s v="5"/>
    <s v="5"/>
    <s v="De 9, 10 y 11"/>
    <n v="4.583333333333333"/>
    <s v="NO"/>
    <s v="NA"/>
    <n v="0"/>
    <n v="0"/>
    <s v="No"/>
    <n v="50"/>
    <m/>
    <n v="50"/>
    <m/>
    <n v="50"/>
    <m/>
    <s v="Muestra gran conocimiento en la Biología."/>
    <n v="50"/>
    <s v="Con detalle por componente"/>
    <s v="Trabajo social o comunitario"/>
    <s v="Desde niño la biología ha sido un tema que me ha apasionado hasta el punto de que quiero que mi futuro se base en ella. Es una ciencia con el potencial de beneficiar enormemente a la biosfera, ayuda a entender los pilares básicos que nos permiten a nosotros realizar todas las tareas que nos proponemos y ser capaces de moldear a nuestro antojo esas reglas fundamentales para poder mejorar nuestro diario vivir, desde la alimentación, la salud y la tecnología._x000a__x000a_La biología desde sus inicios nos ha permitido mejorar muchas tecnologías y mecanismo que antes se creían imposibles o irreales, como las vacunas y una gran cantidad de avances médicos inspirados en los mecanismos animales, ciertas estructuras arquitectónicas basadas en los insectos coloniales, innovaciones en la robótica al usar la locomoción cuadrúpeda de los seres terrestres tales como el guepardo o los perros, formas fusiformes empleadas en prototipos de robots submarinos, el uso de los sonares y tecnologías similares basadas en la eco localización de los cetáceos o quirópteros._x000a__x000a_Como biólogo egresado de la universidad EAFIT, haría parte en grupos de investigación enfocados en encontrar vacunas y nuevos avances médicos innovadores basados en las técnicas usadas por diferentes especies a la hora de enfrentar sepas de virus de la misma familia; descubrir nuevas especies animales en zonas poco exploradas como el Amazonas con el propósito de enriquecer aún más el patrimonio de fauna del país, por el potencial para que aparezcan en él nuevas especies no catalogadas con anterioridad. Con todo esto y más, se podrían mejorar genéticamente en el nordeste antioqueño los cultivos para resistir sequías, tener un mayor valor nutricional o aumentar su ritmo de crecimiento; crear ganado más musculoso para la venta de carnes o con una mejor producción de leche, huevos u otros productos."/>
    <s v="Referencias familiares"/>
    <s v="Universidad reconocida."/>
    <s v="Vocación."/>
    <n v="2"/>
    <s v="1"/>
    <s v="SI"/>
    <s v="NO"/>
    <s v="Entre 2 y 3 millones"/>
    <s v="No"/>
    <n v="0"/>
    <n v="0"/>
    <m/>
    <s v="SI"/>
    <s v="Beca"/>
    <s v="NO"/>
    <s v=""/>
    <s v=""/>
    <s v="No, fallecido"/>
    <n v="0"/>
    <m/>
    <m/>
    <m/>
    <s v=""/>
    <s v=""/>
    <m/>
    <s v=""/>
    <m/>
    <s v=""/>
    <m/>
    <m/>
    <s v="Mi padre fue conductor de profesión, apasionado por la mecánica, la electricidad e interesado por los avances científicos relacionados con las fuentes de energías y los combustibles. Lo admiraba por su capacidad de raciocinio, deducción, aprendizaje, curiosidad, esfuerzo y dedicación."/>
    <s v="Si"/>
    <s v="Gloria Patricia Berrío Tobón"/>
    <s v="Casado"/>
    <s v="BACHILLERATO"/>
    <s v="54"/>
    <s v="Técnica en Administración de Servicios de Salud"/>
    <s v="Empleado (con contrato laboral)"/>
    <s v="Auxiliar Administrativa"/>
    <s v="Gobernación de Antioquia"/>
    <n v="5182236"/>
    <s v="Si"/>
    <s v="SI"/>
    <s v="SI"/>
    <s v="Una mujer muy trabajadora, muy responsable, se esfuerza mucho en darle la mejor vida posible a sus hijos y padres, de gran calidad en su desempeño laboral. Actualmente viuda que tiene que equilibrar su vida laboral con el cuidado de su hija en situación de discapacidad por mielomeningocele e hidrocefalia (Chiari II)"/>
    <n v="5182236"/>
    <s v="Si"/>
    <s v="Natalia Blandón Berrío"/>
    <s v="Hermano / Hermana"/>
    <s v="23"/>
    <s v="Desempleada"/>
    <s v="Ninguna"/>
    <n v="0"/>
    <s v="No"/>
    <s v=""/>
    <s v=""/>
    <s v=""/>
    <s v=""/>
    <s v=""/>
    <m/>
    <s v=""/>
    <s v=""/>
    <s v=""/>
    <s v=""/>
    <s v=""/>
    <s v=""/>
    <m/>
    <s v=""/>
    <s v="Mi hermana es una bachiller, miembro de la Banda Sinfónica Municipal de Amalfi, interpreta la flauta traversa. Está en situación de discapacidad por mielomeningocele e hidrocefalia (Chiari II) desde que nació. Se desplaza en silla de ruedas y requiere el acompañamiento continuo de mi madre o de mi abuela."/>
    <n v="320000000"/>
    <n v="0"/>
    <n v="0"/>
    <n v="0"/>
    <n v="0"/>
    <s v="Si"/>
    <s v="Mitsubishi"/>
    <s v="2004"/>
    <n v="50000000"/>
    <s v="No"/>
    <s v=""/>
    <s v=""/>
    <n v="0"/>
    <s v="No"/>
    <s v=""/>
    <s v=""/>
    <s v=""/>
    <n v="0"/>
    <s v="La casa se encuentra a cuadra y media del parque principal del municipio de Amalfi y está en obra negra, . El automóvil posee varios fallos debido a una anterior hibridación a gas que terminó causando varios daños al vehículo, principalmente al consumo de combustible, siendo más ineficiente que otros autos del mismo modelo."/>
    <n v="4"/>
    <n v="4"/>
    <n v="3"/>
    <n v="4"/>
    <n v="4"/>
    <n v="4"/>
    <n v="4"/>
    <n v="4"/>
    <n v="3"/>
    <n v="4"/>
    <n v="38"/>
    <s v="SI"/>
    <m/>
    <s v="SI, SON PRI"/>
    <s v="ok tienen todos los datos"/>
    <e v="#N/A"/>
    <e v="#N/A"/>
    <m/>
    <n v="2"/>
    <n v="10"/>
    <n v="8"/>
    <n v="15"/>
    <n v="20"/>
    <n v="15"/>
    <n v="20"/>
    <n v="13"/>
    <n v="10"/>
    <n v="90"/>
    <n v="0.4"/>
    <m/>
    <n v="3.5"/>
    <n v="2.5"/>
    <n v="3"/>
    <n v="1"/>
    <n v="3.5"/>
    <n v="2.5"/>
    <n v="6"/>
    <n v="1"/>
    <n v="91"/>
    <n v="0.4"/>
    <n v="0.4"/>
    <e v="#N/A"/>
    <s v="se baja por pregrado"/>
    <m/>
    <n v="0"/>
    <m/>
    <m/>
    <s v="Biología"/>
    <e v="#N/A"/>
    <s v="183"/>
    <e v="#N/A"/>
  </r>
  <r>
    <s v="TI"/>
    <n v="1033490726"/>
    <s v="1000388719"/>
    <s v="EMMANUEL PATIÑO DEOSSA"/>
    <s v="Estudios por primera vez"/>
    <x v="1"/>
    <s v="Descartado por ingresos altos"/>
    <m/>
    <s v="En publico objetivo"/>
    <s v="1er Cohorte"/>
    <s v="Admitido"/>
    <s v="epatinod@eafit.edu.co"/>
    <s v="epatinod@eafit.edu.co"/>
    <s v="emmanuelpatinodeossa@gmail.com"/>
    <s v="310/396-6735"/>
    <d v="2025-04-25T00:00:00"/>
    <s v="Activo en Programa"/>
    <s v="010-Ingeniería de Sistemas"/>
    <s v="E Ciencias Aplic e Ingeniería"/>
    <d v="2008-01-09T00:00:00"/>
    <n v="17"/>
    <s v="Antioquia"/>
    <s v="Medellín"/>
    <s v="Hombre"/>
    <s v="Soltero"/>
    <s v="NO"/>
    <s v="NO"/>
    <n v="0"/>
    <s v="NO"/>
    <s v="NA"/>
    <s v="NO"/>
    <s v="NA"/>
    <s v="NO"/>
    <s v="NA"/>
    <s v="No"/>
    <s v="000-0000"/>
    <s v="310/396-6735"/>
    <s v="Estrato 3"/>
    <s v="CR 59 C #40 24"/>
    <s v="Antioquia"/>
    <s v="Bello"/>
    <s v="No aplica, no soy foráneo"/>
    <s v="Familiar"/>
    <s v="SI"/>
    <s v="2024"/>
    <s v="AC202433237617"/>
    <n v="368"/>
    <n v="77"/>
    <n v="73"/>
    <s v="Privada"/>
    <s v="LA SALLE DE BELLO"/>
    <n v="2024"/>
    <s v="Antioquia"/>
    <s v="Bello"/>
    <s v="bachiller academico"/>
    <s v="ACAD"/>
    <s v="TIPO: Privada, INSTITUCION: LA SALLE DE BELLO, AÑO: 2024, CIUDAD: Bello, TITULO: BACHILLER ACADEMICO"/>
    <s v="11"/>
    <s v="Escala de 0 - 5"/>
    <s v="Escala de 0 - 5"/>
    <s v="4,5"/>
    <s v="4"/>
    <m/>
    <s v="4,2"/>
    <s v="4"/>
    <m/>
    <n v="3.5"/>
    <n v="3.6"/>
    <m/>
    <n v="4.0999999999999996"/>
    <n v="4.0999999999999996"/>
    <m/>
    <s v="4,1"/>
    <s v="3,8"/>
    <m/>
    <s v="3,9"/>
    <s v="3,9"/>
    <m/>
    <s v="3,4"/>
    <s v="3,4"/>
    <m/>
    <s v="De 9 y 10"/>
    <n v="3.8249999999999997"/>
    <s v="NO"/>
    <s v="NA"/>
    <n v="0"/>
    <n v="0"/>
    <s v="No"/>
    <n v="45"/>
    <m/>
    <n v="50"/>
    <m/>
    <n v="50"/>
    <m/>
    <m/>
    <n v="48.333333333333336"/>
    <s v="Con detalle por componente"/>
    <s v="Espacios de liderazgo o representación social,Deportistas de alto rendimiento o representativo"/>
    <s v="Me visualizo ejerciendo esta profesión enfocándome y combinando diferentes áreas como el desarrollo de software, la seguridad cibernética y el análisis de datos paro poder resolver problemáticas reales. Aspiro a trabajar en soluciones tecnológicas que ayuden a mejorar diferentes aspectos tales como, la educación, el sector de la salud y el sector del comercio ya que con el desarrollo de sistemas eficientes de analítica y tratamiento de datos se puede mejorar mucho la eficacia y la facilidad de estos sectores para progresar. También planeo desarrollar estos sistemas con una visión asequible para aquellas personas que se les dificulte la interacción con la tecnología, estas personas pueden ser personas de la tercera edad, habitantes de zonas rurales o en general cualquier persona que no este acostumbrada a lidiar con la tecnología, creando sistemas y paginas web eficientes y fáciles de entender para todo el mundo. Asimismo planeo trabajar de la mano con empresas publicas modernizando  los procesos administrativos, la eficacia y transparencia de los servicios públicos para que los ciudadanos puedan tener una fuete confiable y transparente con ellos de todos estos servicios._x000a_Considero que la ingeniería de sistemas  no es solo una carrera técnica si no mas bien una herramienta para fomentar el desarrollo sostenible y la equidad social especialmente en un territorio como bello. La obtención de esta beca representa una oportunidad para mi de poder cumplir mi sueño profesional en la universidad con la mayor calidad educativa de Colombia ya que sin ella me seria muy complicado poder cumplirlo. Gracias a esta beca podría desarrollar al máximo de capacidad académica y personal. Asimismo me comprometo a retribuir esta oportunidad generando valor en el desarrollo tecnológico de mi cuidad y permitir que Bello avance hacia un futuro mas justo, moderno e inclusivo con todos los ciudadanos."/>
    <s v="Amigos"/>
    <s v="Por la calidad académica."/>
    <s v="Vocación."/>
    <n v="3"/>
    <s v="0"/>
    <s v="SI"/>
    <s v="NO"/>
    <s v="Entre 5 y 6 millones"/>
    <s v="Si"/>
    <n v="0"/>
    <n v="0"/>
    <m/>
    <s v="SI"/>
    <s v="Beca"/>
    <s v="NO"/>
    <s v=""/>
    <s v=""/>
    <s v="Si"/>
    <s v="Jorge Amado Patiño Osorio"/>
    <s v="Casado"/>
    <s v="BACHILLERATO"/>
    <s v="52"/>
    <s v="Auxiliar de farmacia"/>
    <s v="Emprendedor (inicia un proyecto productivo o negocio propio)"/>
    <s v="Jefe"/>
    <s v="Drogeria JN"/>
    <n v="4000000"/>
    <s v="Si"/>
    <s v="NO"/>
    <s v="NO"/>
    <s v=""/>
    <s v="Si"/>
    <s v="Noemy Alexandra Deossa Lastra"/>
    <s v="Soltero"/>
    <s v="BACHILLERATO"/>
    <s v="49"/>
    <s v="Auxiliar de farmacia"/>
    <s v="Empleado (con contrato laboral)"/>
    <s v="Administradora"/>
    <s v="Drogueria JN"/>
    <n v="3500000"/>
    <s v="Si"/>
    <s v="SI"/>
    <s v="NO"/>
    <m/>
    <n v="7500000"/>
    <s v="Si"/>
    <s v="Amparito del Socorro Lastra Cano"/>
    <s v="Abuelo / Abuela"/>
    <s v="78"/>
    <s v="Pensionada de sobreviviente"/>
    <s v="Eafit"/>
    <n v="1985846"/>
    <s v="No"/>
    <s v=""/>
    <s v=""/>
    <s v=""/>
    <s v=""/>
    <s v=""/>
    <m/>
    <s v=""/>
    <s v=""/>
    <s v=""/>
    <s v=""/>
    <s v=""/>
    <s v=""/>
    <m/>
    <s v=""/>
    <s v=""/>
    <n v="0"/>
    <n v="0"/>
    <n v="0"/>
    <n v="0"/>
    <n v="0"/>
    <s v="No"/>
    <s v=""/>
    <s v=""/>
    <n v="0"/>
    <s v="No"/>
    <s v=""/>
    <s v=""/>
    <n v="0"/>
    <s v="Si"/>
    <s v="Moto"/>
    <s v="Suzuki"/>
    <s v="2024"/>
    <n v="15580000"/>
    <m/>
    <n v="4"/>
    <n v="3"/>
    <n v="2"/>
    <n v="4"/>
    <n v="4"/>
    <n v="3"/>
    <n v="4"/>
    <n v="4"/>
    <n v="3"/>
    <n v="4"/>
    <n v="35"/>
    <s v="SI"/>
    <m/>
    <s v="SI, SON PRI"/>
    <s v="ok tienen todos los datos"/>
    <e v="#N/A"/>
    <e v="#N/A"/>
    <m/>
    <n v="3"/>
    <n v="10"/>
    <n v="8"/>
    <n v="15"/>
    <n v="10"/>
    <n v="15"/>
    <n v="20"/>
    <n v="11"/>
    <n v="10.5"/>
    <n v="80.5"/>
    <n v="0.4"/>
    <m/>
    <n v="2"/>
    <n v="3.5"/>
    <n v="1"/>
    <n v="4"/>
    <n v="2"/>
    <n v="3.5"/>
    <n v="1"/>
    <n v="4.5"/>
    <n v="79"/>
    <n v="0.4"/>
    <n v="0.4"/>
    <e v="#N/A"/>
    <m/>
    <m/>
    <n v="0"/>
    <m/>
    <m/>
    <s v="Ingeniería de Sistemas"/>
    <e v="#N/A"/>
    <s v="010"/>
    <e v="#N/A"/>
  </r>
  <r>
    <s v="CC"/>
    <n v="1034291356"/>
    <s v="1000388003"/>
    <s v="JUAN PABLO DELGADO JIMÉNEZ"/>
    <s v="Estudios por primera vez"/>
    <x v="10"/>
    <s v="Descartado por ingresos altos"/>
    <s v="Ya pago matricula"/>
    <s v="En publico objetivo"/>
    <s v="2da Cohorte"/>
    <s v="Admitido"/>
    <s v="jpdelgadoj@eafit.edu.co"/>
    <s v="jpdelgadoj@eafit.edu.co"/>
    <s v="juanpablo.dj2006@gmail.com"/>
    <s v="573168005043"/>
    <d v="2025-05-16T00:00:00"/>
    <s v="Activo en Programa"/>
    <s v="002-Negocios Internacionales"/>
    <s v="Escuela de Administración"/>
    <d v="2006-05-22T00:00:00"/>
    <n v="19"/>
    <s v="Cataluña"/>
    <s v="Barcelona"/>
    <s v="Hombre"/>
    <s v="Soltero"/>
    <s v="NO"/>
    <s v="NO"/>
    <n v="0"/>
    <s v="NO"/>
    <s v="NA"/>
    <s v="NO"/>
    <s v="NA"/>
    <s v="NO"/>
    <s v="NA"/>
    <s v="No"/>
    <s v="328-1929"/>
    <s v="573168005043"/>
    <s v="Estrato 3"/>
    <s v="Calle 50A # 86-295"/>
    <s v="Antioquia"/>
    <s v="Medellín"/>
    <s v="No aplica, no soy foráneo"/>
    <s v="Propio"/>
    <s v="SI"/>
    <s v="2024"/>
    <s v="AC202433234119"/>
    <n v="340"/>
    <n v="69"/>
    <n v="66"/>
    <s v="Privada"/>
    <s v="COLOMBO BRITANICO"/>
    <n v="2024"/>
    <s v="Antioquia"/>
    <s v="Envigado"/>
    <s v="BACHILLER"/>
    <n v="0"/>
    <s v="TIPO: Privada, INSTITUCION: COLOMBO BRITANICO, AÑO: 2024, CIUDAD: Envigado, TITULO: BACHILLER"/>
    <s v="11"/>
    <s v="Escala de 0 - 7"/>
    <s v="Escala de 0 - 7"/>
    <s v="5,6"/>
    <s v="4,8"/>
    <m/>
    <s v="4,2"/>
    <s v="6,3"/>
    <m/>
    <n v="5.7"/>
    <n v="4.8"/>
    <m/>
    <n v="6.3"/>
    <n v="5.6"/>
    <m/>
    <s v="5,6"/>
    <s v="4"/>
    <m/>
    <s v="4,2"/>
    <s v="4,5"/>
    <m/>
    <s v="4,2"/>
    <s v="4"/>
    <m/>
    <s v="De 9 y 10"/>
    <n v="5.6"/>
    <s v="NO"/>
    <s v="NA"/>
    <n v="0"/>
    <n v="0"/>
    <s v="No"/>
    <n v="45"/>
    <m/>
    <n v="45"/>
    <m/>
    <n v="45"/>
    <m/>
    <m/>
    <n v="45"/>
    <s v="Con detalle por componente"/>
    <s v="Deportistas de alto rendimiento o representativo,Espacios de liderazgo o representación social"/>
    <s v="Me visualizo como un profesional en Negocios Internacionales con una visión global pero con un compromiso profundo por el aspecto social que puedo mejorar en mi territorio.  Al estudiar esta carrera, quiero adquirir las herramientas necesarias para conectar a mi familia y la comunidad con _x000a_nuevas oportunidades que mejoren la calidad de vida de las personas que me rodean y el entorno que habito.  Pretendo generar opciones de empleo y atraer negocios de inversión exterior, ya que mi meta es crear proyectos que impulsen negocios locales, promoviendo alianzas estrategicas que fortalezcan el tejido social y empresarial de mi región. _x000a_La beca representa para mi no solo un apoyo económico, sino la posilidad de formarme como ser humano y profesional en una universidad de excelencia como EAFIT, ya que reconozco su impacto nacional e internacional que tienen sus egresados; y así convertir el conocimiento adquirido en un motor de cambio positivo para mi entorno.  Aspiro ser un puente entre el territorio local y global, y demostrar que desde cualquier lugar se puede impactar el mundo, desde el sacrificio y el compromiso personal por salir adelante."/>
    <s v="Amigos"/>
    <s v="Proyección laboral."/>
    <s v="Alta empleabilidad."/>
    <n v="3"/>
    <s v="1"/>
    <s v="SI"/>
    <s v="NO"/>
    <s v="Entre 8 y 9 millones"/>
    <s v="No"/>
    <n v="0"/>
    <n v="0"/>
    <m/>
    <s v="SI"/>
    <s v="Beca"/>
    <s v="NO"/>
    <s v=""/>
    <s v=""/>
    <s v="Si"/>
    <s v="Andrés Alberto Delgado Bonilla"/>
    <s v="Casado"/>
    <s v="MAESTRÍA"/>
    <s v="52"/>
    <s v="ingeniero civil"/>
    <s v="Empleado (con contrato laboral)"/>
    <s v="Director de Obra"/>
    <s v="Consorcio Vias Sostenibles"/>
    <n v="7800000"/>
    <s v="No"/>
    <s v="NO"/>
    <s v="SI"/>
    <s v="Mi padre es un excelente ser humano, papá y esposo.  Actualmente se encuentra viviendo en la ciudad de Pereira por motivos laborales."/>
    <s v="Si"/>
    <s v="Yeny Alexandra Jiménez Pérez"/>
    <s v="Casado"/>
    <s v="MAESTRÍA"/>
    <s v="50"/>
    <s v="Licenciada en educación preescolar"/>
    <s v="Desempleado (Se encuentra en la búsqueda activa de empleo)"/>
    <s v="Se encuentra en búsqueda activa de empleo"/>
    <s v="NO APLICA"/>
    <n v="0"/>
    <s v="No"/>
    <s v="NO"/>
    <s v="NO"/>
    <s v="Mi madre es una gran mamá y profesional, actualmente se encuentra viviendo con mi padre en Pereira y en búsqueda de empleo y mejorar las condiciones económicas de la familia."/>
    <n v="7800000"/>
    <s v="Si"/>
    <s v="Franklin Delgado Bonilla"/>
    <s v="Tío / Tía"/>
    <s v="56"/>
    <s v="Conductor"/>
    <s v="Mate Travel Colombia SAS"/>
    <n v="2000000"/>
    <s v="Si"/>
    <s v="Dora Patricia Gómez Jaramillo"/>
    <s v="Tío / Tía"/>
    <s v="59"/>
    <s v="Ama de casa"/>
    <s v="No aplica"/>
    <n v="0"/>
    <s v="No"/>
    <s v="Mateo Delgado Jiménez"/>
    <s v="Hermano / Hermana"/>
    <s v="16"/>
    <s v="Estudiante"/>
    <s v="Colegio Colombo Britanico"/>
    <n v="0"/>
    <s v="No"/>
    <s v="Desde enero del 2025 mi hermano menor y yo nos encontramos viviendo en la casa de mis tios, ya que mis padres se fueron ambos para pereira y nosotros teniamos que seguir viviendo en Medellín para seguir estudiando. Mis tios muy amable y amorosamente decidieron apoyarnos y nos recibieron en su hogar."/>
    <n v="0"/>
    <n v="0"/>
    <n v="0"/>
    <n v="0"/>
    <n v="0"/>
    <s v="No"/>
    <s v=""/>
    <s v=""/>
    <n v="0"/>
    <s v="No"/>
    <s v=""/>
    <s v=""/>
    <n v="0"/>
    <s v="Si"/>
    <s v="Moto"/>
    <s v="yamaha"/>
    <s v="2020"/>
    <n v="20000000"/>
    <s v="Mis padres tienen la moto en Pereira para movilizarse."/>
    <n v="4"/>
    <n v="4"/>
    <n v="3"/>
    <n v="4"/>
    <n v="4"/>
    <n v="3"/>
    <n v="4"/>
    <n v="3"/>
    <n v="3"/>
    <n v="4"/>
    <n v="36"/>
    <s v="SI"/>
    <m/>
    <s v="SI, SON PRI"/>
    <s v="ok tienen todos los datos"/>
    <e v="#N/A"/>
    <e v="#N/A"/>
    <m/>
    <n v="3"/>
    <n v="10"/>
    <n v="8"/>
    <n v="10"/>
    <n v="15"/>
    <n v="15"/>
    <n v="15"/>
    <n v="9"/>
    <n v="8.5"/>
    <n v="73.5"/>
    <n v="0.4"/>
    <m/>
    <n v="2"/>
    <n v="2.5"/>
    <n v="1"/>
    <n v="3"/>
    <n v="2"/>
    <n v="2.5"/>
    <n v="1"/>
    <n v="3.5"/>
    <n v="72"/>
    <n v="0.4"/>
    <n v="0.4"/>
    <e v="#N/A"/>
    <m/>
    <m/>
    <n v="0"/>
    <m/>
    <m/>
    <s v="Negocios Internacionales"/>
    <e v="#N/A"/>
    <m/>
    <e v="#N/A"/>
  </r>
  <r>
    <s v="CC"/>
    <n v="1034297427"/>
    <s v="1000404216"/>
    <s v="RONALD NIXON GUTIERREZ CARDONA"/>
    <s v="Transferencia Externa"/>
    <x v="1"/>
    <s v="No cumple, otros estudios de pregrado"/>
    <m/>
    <s v="En publico objetivo"/>
    <s v="3ra Cohorte"/>
    <s v="Admitido"/>
    <s v="rngutierrc@eafit.edu.co"/>
    <e v="#N/A"/>
    <s v="ronaldnixong@gmail.com"/>
    <s v="573014640378"/>
    <d v="2025-05-30T00:00:00"/>
    <s v="Activo en Programa"/>
    <s v="002-Negocios Internacionales"/>
    <s v="Escuela de Administración"/>
    <d v="2005-04-25T00:00:00"/>
    <n v="20"/>
    <s v="Miranda"/>
    <s v="Caracas"/>
    <s v="Hombre"/>
    <s v="Soltero"/>
    <s v="NO"/>
    <s v="NO"/>
    <n v="0"/>
    <s v="NO"/>
    <s v="NA"/>
    <s v="NO"/>
    <s v="NA"/>
    <s v="NO"/>
    <s v="NA"/>
    <s v="No"/>
    <s v="No tengo"/>
    <s v="573014640378"/>
    <s v="Estrato 2"/>
    <s v="Cra 32a calle 31-59 int 301"/>
    <s v="Antioquia"/>
    <s v="Medellín"/>
    <s v="No aplica, no soy foráneo"/>
    <s v="Arriendo"/>
    <s v="SI"/>
    <s v="2022"/>
    <s v="AC202243590882"/>
    <n v="321"/>
    <n v="67"/>
    <n v="69"/>
    <s v="Privada"/>
    <s v="Colegio UPB"/>
    <n v="2022"/>
    <m/>
    <s v="Medellín"/>
    <s v="Bachillerato"/>
    <s v="Académico"/>
    <m/>
    <n v="0"/>
    <n v="0"/>
    <s v="PCA TEX"/>
    <m/>
    <m/>
    <m/>
    <m/>
    <m/>
    <m/>
    <m/>
    <m/>
    <m/>
    <m/>
    <m/>
    <m/>
    <m/>
    <m/>
    <m/>
    <m/>
    <m/>
    <m/>
    <m/>
    <m/>
    <m/>
    <s v="Ver PCA TEX"/>
    <n v="4.3"/>
    <s v="SI"/>
    <s v="TIPO: Privada, INSTITUCION: UNV. PONTIFICIA BOLIVARIANA, AÑO: 0, CIUDAD: Medellín, TITULO: ABOGADO (A) (Medellín)"/>
    <s v="PREGRADO"/>
    <s v=" TITULO: ABOGADO (A) (Medellín)"/>
    <s v="No"/>
    <n v="40"/>
    <m/>
    <n v="40"/>
    <m/>
    <n v="40"/>
    <m/>
    <m/>
    <n v="40"/>
    <s v="Con detalle por componente"/>
    <s v="Deportistas de alto rendimiento o representativo"/>
    <s v="En un futuro me visualizo, con la ayuda de Dios, con 2 carreras terminadas, Negocios Internacionales y Derecho, ejerciendo en las diversas ramas que me ofrecen dichos estudios, no me cierro a ninguna posibilidad, me gusta la política, entonces por qué no pensar en un puesto en el ministerio de relaciones exteriores, quizás como agente diplomático o quizás una embajada; Sitios donde puedo ejercer los 2 estudios, al igual que en una empresa internacional y demás. Para mi esta beca sería como un reinicio, volver a empezar, ya que no me fue posible, por temas familiares, seguir estudiando Derecho, por lo que esta sería mi oportunidad de afianzar mis conocimientos en otro tema que me gusta y siempre he tenido en mente, intentaría entrar en la política venezolana, ya que es mi país de origen y es una ruta que comprendo como posible para en un futuro, aportar para el cambio y la renovación que necesita y merece el pueblo venezolano."/>
    <s v="Estudiantes de EAFIT"/>
    <s v="Internacionalización."/>
    <s v="Vocación."/>
    <n v="3"/>
    <s v="1"/>
    <s v="SI"/>
    <s v="NO"/>
    <s v="Entre 2 y 3 millones"/>
    <s v="No"/>
    <n v="0"/>
    <n v="0"/>
    <m/>
    <s v="SI"/>
    <s v="Beca"/>
    <s v="NO"/>
    <s v=""/>
    <s v=""/>
    <s v="Si"/>
    <s v="Richard Nixon Gutiérrez"/>
    <s v="Casado"/>
    <s v="ESPECIALIZACIÓN"/>
    <s v="58"/>
    <s v="Abogado"/>
    <s v="Desempleado (Se encuentra en la búsqueda activa de empleo)"/>
    <s v="No tiene"/>
    <s v="No tiene"/>
    <n v="0"/>
    <s v="No"/>
    <s v="NO"/>
    <s v="NO"/>
    <s v="Fuera del país, situación especial"/>
    <s v="Si"/>
    <s v="Isabel Cristina Cardona"/>
    <s v="Casado"/>
    <s v="UNIVERSITARIOS"/>
    <s v="46"/>
    <s v="Comerciante al por menos por internet"/>
    <s v="Independiente (trabaja por cuenta propia)"/>
    <s v="Comerciante al por menor"/>
    <s v="No tiene"/>
    <n v="2500000"/>
    <s v="Si"/>
    <s v="NO"/>
    <s v="NO"/>
    <m/>
    <n v="2500000"/>
    <s v="Si"/>
    <s v="Isabela Gutiérrez"/>
    <s v="Hermano / Hermana"/>
    <s v="18"/>
    <s v="No tiene"/>
    <s v="No tiene"/>
    <n v="0"/>
    <s v="No"/>
    <s v="Isaac Granda Gutiérrez"/>
    <s v="Sobrino"/>
    <s v="1"/>
    <s v="No tiene"/>
    <s v="No tiene"/>
    <n v="0"/>
    <s v="No"/>
    <s v=""/>
    <s v=""/>
    <s v=""/>
    <s v=""/>
    <s v=""/>
    <m/>
    <s v=""/>
    <s v=""/>
    <n v="0"/>
    <n v="0"/>
    <n v="0"/>
    <n v="0"/>
    <n v="0"/>
    <s v="No"/>
    <s v=""/>
    <s v=""/>
    <n v="0"/>
    <s v="No"/>
    <s v=""/>
    <s v=""/>
    <n v="0"/>
    <s v="No"/>
    <s v=""/>
    <s v=""/>
    <s v=""/>
    <n v="0"/>
    <s v="No tenemos"/>
    <n v="4"/>
    <n v="4"/>
    <n v="3"/>
    <n v="4"/>
    <n v="4"/>
    <n v="3"/>
    <n v="4"/>
    <n v="4"/>
    <n v="3"/>
    <n v="4"/>
    <n v="37"/>
    <s v="SI"/>
    <s v="SI, TIPO IE"/>
    <s v="TEX SIN TIPO DE IE"/>
    <s v="pendiente tipo ie"/>
    <e v="#N/A"/>
    <e v="#N/A"/>
    <m/>
    <n v="3"/>
    <n v="10"/>
    <n v="10"/>
    <n v="5"/>
    <n v="15"/>
    <n v="15"/>
    <n v="10"/>
    <n v="18.5"/>
    <n v="18.5"/>
    <n v="73.5"/>
    <n v="0.6"/>
    <m/>
    <n v="2"/>
    <n v="4.5"/>
    <n v="8"/>
    <n v="4"/>
    <n v="2"/>
    <n v="4"/>
    <n v="8"/>
    <n v="4.5"/>
    <n v="73.5"/>
    <n v="0.7"/>
    <n v="0.6"/>
    <e v="#N/A"/>
    <s v="se baja por tex"/>
    <m/>
    <s v="SI, TIPO IE"/>
    <m/>
    <m/>
    <s v="Negocios Internacionales"/>
    <e v="#N/A"/>
    <s v="002"/>
    <e v="#N/A"/>
  </r>
  <r>
    <s v="CC"/>
    <n v="1034918437"/>
    <s v="1000347563"/>
    <s v="JULIANA JARAMILLO OSORIO"/>
    <s v="Estudios por primera vez"/>
    <x v="10"/>
    <s v="No cumple, puntaje ICFES menor a 300"/>
    <s v="Ya pago matricula"/>
    <s v="En publico objetivo"/>
    <s v="2da Cohorte"/>
    <s v="Admitido"/>
    <s v="jjaramillo@eafit.edu.co"/>
    <s v="jjaramillo@eafit.edu.co"/>
    <s v="jjaramillo@eafit.edu.co"/>
    <s v="573143193273"/>
    <d v="2025-05-16T00:00:00"/>
    <s v="Activo en Programa"/>
    <s v="002-Negocios Internacionales"/>
    <s v="Escuela de Administración"/>
    <d v="2005-12-30T00:00:00"/>
    <n v="19"/>
    <s v="Antioquia"/>
    <s v="Medellín"/>
    <s v="Mujer"/>
    <s v="Soltero"/>
    <s v="NO"/>
    <s v="NO"/>
    <n v="0"/>
    <s v="NO"/>
    <s v="NA"/>
    <s v="NO"/>
    <s v="NA"/>
    <s v="NO"/>
    <s v="NA"/>
    <s v="No"/>
    <s v="314/319-3273"/>
    <s v="573143193273"/>
    <s v="Estrato 3"/>
    <s v="CR 80 B 8 SUR 36"/>
    <s v="Antioquia"/>
    <s v="Medellín"/>
    <s v="No aplica, no soy foráneo"/>
    <s v="Propio"/>
    <s v="SI"/>
    <s v="2023"/>
    <s v="AC202344892816"/>
    <n v="291"/>
    <n v="56"/>
    <n v="61"/>
    <s v="Pública"/>
    <s v="INST EDUC SANTO ANGEL"/>
    <n v="2023"/>
    <s v="Antioquia"/>
    <s v="Medellín"/>
    <s v="BACHILLER"/>
    <s v="ACAD"/>
    <s v="TIPO: Pública, INSTITUCION: INST EDUC SANTO ANGEL, AÑO: 2023, CIUDAD: Medellín, TITULO: BACHILLER"/>
    <s v="11"/>
    <s v="Escala Desempeño"/>
    <s v="Escala de 0 - 5"/>
    <s v="4"/>
    <s v="4"/>
    <m/>
    <s v="4,5"/>
    <s v="4,5"/>
    <m/>
    <n v="4"/>
    <n v="4"/>
    <m/>
    <n v="4"/>
    <n v="4"/>
    <m/>
    <s v="4"/>
    <s v="4,5"/>
    <m/>
    <s v="4,5"/>
    <s v="4,5"/>
    <m/>
    <s v="4"/>
    <s v="4,5"/>
    <m/>
    <s v="De 9 y 10"/>
    <n v="4"/>
    <s v="NO"/>
    <s v="NA"/>
    <n v="0"/>
    <n v="0"/>
    <s v="No"/>
    <n v="45"/>
    <m/>
    <n v="45"/>
    <m/>
    <n v="45"/>
    <m/>
    <m/>
    <n v="45"/>
    <s v="Con detalle por componente"/>
    <s v="Ninguna"/>
    <s v="Me veo ejerciendo la carrera de Negocios Internacionales trabajando con empresas nacionales e internacionales, facilitando el comercio exterior y promoviendo el desarrollo económico de mi país. Mi objetivo es aprender las herramientas que necesito para identificar oportunidades comerciales y generar alianzas estratégicas entre diferentes regiones del mundo._x000a__x000a_Gracias a las oportunidades que me ofrece esta beca, podría tener la posibilidad de formarme académicamente sin limitaciones, y ayudar a mis padres a que mi educación siga avanzando, lo que me permitirá concentrarme en mis estudios y aprovechar al máximo las oportunidades que ofrece la universidad. Además, podré participar en proyectos que fomenten el emprendimiento y la internacionalización de pequeñas y medianas empresas locales, contribuyendo así a un cambio. La educación es primordial._x000a__x000a_Esta beca representa una inversión no solo en mi formación, sino también en el futuro de mi país, y de mi familia."/>
    <s v="A través del Colegio"/>
    <s v="Por la calidad académica."/>
    <s v="Recomendación."/>
    <n v="3"/>
    <s v="1"/>
    <s v="SI"/>
    <s v="NO"/>
    <s v="Entre 2 y 3 millones"/>
    <s v="No"/>
    <s v="SI"/>
    <s v="NO"/>
    <m/>
    <s v="SI"/>
    <s v="Patrocinio empresarial"/>
    <s v="NO"/>
    <s v=""/>
    <s v=""/>
    <s v="Si"/>
    <s v="Edwin Jaramillo"/>
    <s v="Casado"/>
    <s v="BACHILLERATO"/>
    <s v="47"/>
    <s v="Comerciante"/>
    <s v="Independiente (trabaja por cuenta propia)"/>
    <s v="Comerciante"/>
    <s v="No"/>
    <n v="2000000"/>
    <s v="Si"/>
    <s v="NO"/>
    <s v="NO"/>
    <s v=""/>
    <s v="Si"/>
    <s v="Marta Osorio"/>
    <s v="Otro"/>
    <s v="BACHILLERATO"/>
    <s v="47"/>
    <s v="EMPLEADA"/>
    <s v="Empleado (con contrato laboral)"/>
    <s v="Auxiliar comerciante"/>
    <s v="COLOMBIANA DE MOLDEADOS"/>
    <n v="4000000"/>
    <s v="Si"/>
    <s v="NO"/>
    <s v="SI"/>
    <s v="La carta laboral se abre con este número 43841781"/>
    <n v="6000000"/>
    <s v="Si"/>
    <s v="Emiliano Jaramillo"/>
    <s v="Hermano / Hermana"/>
    <s v="11"/>
    <s v="Estudiante"/>
    <s v="I.E Octavio Calderon Mejía"/>
    <n v="0"/>
    <s v="No"/>
    <s v=""/>
    <s v=""/>
    <s v=""/>
    <s v=""/>
    <s v=""/>
    <m/>
    <s v=""/>
    <s v=""/>
    <s v=""/>
    <s v=""/>
    <s v=""/>
    <s v=""/>
    <m/>
    <s v=""/>
    <s v=""/>
    <n v="0"/>
    <n v="225000000"/>
    <n v="0"/>
    <n v="0"/>
    <n v="0"/>
    <s v="Si"/>
    <s v="Chevrolet"/>
    <s v="2015"/>
    <n v="35000000"/>
    <s v="No"/>
    <s v=""/>
    <s v=""/>
    <n v="0"/>
    <s v="No"/>
    <s v=""/>
    <s v=""/>
    <s v=""/>
    <n v="0"/>
    <m/>
    <n v="4"/>
    <n v="4"/>
    <n v="4"/>
    <n v="4"/>
    <n v="4"/>
    <n v="4"/>
    <n v="4"/>
    <n v="4"/>
    <n v="4"/>
    <n v="4"/>
    <n v="40"/>
    <s v="SI"/>
    <m/>
    <s v="SI, SON PRI"/>
    <s v="ok tienen todos los datos"/>
    <e v="#N/A"/>
    <e v="#N/A"/>
    <m/>
    <n v="3"/>
    <n v="10"/>
    <n v="8"/>
    <n v="0"/>
    <n v="15"/>
    <n v="15"/>
    <n v="15"/>
    <n v="10"/>
    <n v="10"/>
    <n v="65"/>
    <n v="0.4"/>
    <m/>
    <n v="3.5"/>
    <n v="2.5"/>
    <n v="3"/>
    <n v="1"/>
    <n v="3.5"/>
    <n v="2.5"/>
    <n v="3"/>
    <n v="1"/>
    <n v="63"/>
    <n v="0.4"/>
    <n v="0.4"/>
    <e v="#N/A"/>
    <m/>
    <m/>
    <n v="0"/>
    <m/>
    <m/>
    <s v="Negocios Internacionales"/>
    <e v="#N/A"/>
    <m/>
    <e v="#N/A"/>
  </r>
  <r>
    <s v="TI"/>
    <n v="1034920129"/>
    <s v="1000380774"/>
    <s v="SOFIA VILLA OLARTE"/>
    <s v="Estudios por primera vez"/>
    <x v="1"/>
    <s v="Descartado por bajo icfes"/>
    <m/>
    <s v="En publico objetivo"/>
    <s v="2da Cohorte"/>
    <s v="Admitido"/>
    <s v="svillao4@eafit.edu.co"/>
    <s v="svillao4@eafit.edu.co"/>
    <s v="sofiavillaolarte@gmail.com"/>
    <s v="320/597-0500"/>
    <d v="2025-05-16T00:00:00"/>
    <s v="Activo en Programa"/>
    <s v="013-Ingeniería Civil"/>
    <s v="E Ciencias Aplic e Ingeniería"/>
    <d v="2008-01-16T00:00:00"/>
    <n v="17"/>
    <s v="Antioquia"/>
    <s v="Medellín"/>
    <s v="Mujer"/>
    <s v="Soltero"/>
    <s v="NO"/>
    <s v="NO"/>
    <n v="0"/>
    <s v="NO"/>
    <s v="NA"/>
    <s v="NO"/>
    <s v="NA"/>
    <s v="NO"/>
    <s v="NA"/>
    <s v="No"/>
    <s v="604/602-8475"/>
    <s v="320/597-0500"/>
    <s v="Estrato 3"/>
    <s v="CL 116 #70 46"/>
    <s v="Antioquia"/>
    <s v="Medellín"/>
    <s v="No aplica, no soy foráneo"/>
    <s v="Arriendo"/>
    <s v="SI"/>
    <s v="2024"/>
    <s v="AC202433366432"/>
    <n v="300"/>
    <n v="62"/>
    <n v="60"/>
    <s v="Pública"/>
    <s v="I.E. SOR JUANA INES DE LA CRUZ"/>
    <n v="2024"/>
    <s v="Antioquia"/>
    <s v="Medellín"/>
    <s v="BACHILLER"/>
    <n v="0"/>
    <s v="TIPO: Pública, INSTITUCION: I.E. SOR JUANA INES DE LA CRUZ, AÑO: 2024, CIUDAD: Medellín, TITULO: BACHILLER"/>
    <s v="11"/>
    <s v="Escala de 0 - 5"/>
    <s v="Escala de 0 - 5"/>
    <s v="4,5"/>
    <s v="3"/>
    <m/>
    <s v="4,5"/>
    <s v="4"/>
    <m/>
    <n v="4"/>
    <n v="4"/>
    <m/>
    <n v="3.7"/>
    <n v="4"/>
    <m/>
    <s v="4"/>
    <s v="4"/>
    <m/>
    <s v="4,4"/>
    <s v="3"/>
    <m/>
    <s v="4,1"/>
    <s v="4,5"/>
    <m/>
    <s v="De 9 y 10"/>
    <n v="3.9249999999999998"/>
    <s v="NO"/>
    <s v="NA"/>
    <n v="0"/>
    <n v="0"/>
    <s v="No"/>
    <n v="50"/>
    <m/>
    <n v="50"/>
    <m/>
    <n v="45"/>
    <m/>
    <s v="Se admite a la estudiante al programa de Ingeniería Civil"/>
    <n v="48.333333333333336"/>
    <s v="Con detalle por componente"/>
    <s v="Trabajo social o comunitario,Otras (por ejemplo, un talento extraordinario)"/>
    <s v="EAFIT se destaca por entregar conocimientos de vanguardia para la resolución de problemas con base en la innovación, estoy segura de que todo esto me permitirá alcanzar el éxito académico con plenitud y, además, trazarme mayores metas e ideales profesionales cada vez más ambiciosos. _x000a__x000a_Tengo claro que quiero ser Ingeniera Civil, pues esta carrera reúne mis pasiones. Además, me permite conocer nuevas perspectivas sobre el mundo, conocer diferentes estrategias para contribuir al progreso, dándome la oportunidad de liderar proyectos que me permitan mostrar mis habilidades para el trabajo en equipo con el objetivo de mejorar la sostenibilidad y ayudar al bienestar social. Quiero convertirme en agente de cambio positivo para mi comunidad y el entorno aportando cada día a la planificación y ejecución de cambios significativos que puedan mejorar nuestra calidad de vida._x000a__x000a_Me sentiría plenamente realizada desempeñándome como Ingeniera Civil y aún más si mi proceso formativo es en EAFIT, una universidad que me abrirá muchas puertas y oportunidades para cumplir mis sueños y apoyar al de los demás, pues la educación y la carrera que quiero seguir me proporcionarán las herramientas necesarias para lograr el impacto social que busco. Ayudar a las personas y dejar una huella, complementara la construcción de mis anhelos, porque siempre quiero servir y aportar al crecimiento de pequeños mundos. _x000a__x000a_ Estoy segura de que EAFIT es el primer paso firme, la clave para desarrollar mis metas y cumplir mis sueños. Se que tengo un inquebrantable compromiso conmigo misma y con las personas que me rodean por eso, esta oportunidad me ayudará a tener muchos logros a largo plazo y, en ese sentido, podré retribuir y contribuir a mi comunidad con cada una de estas metas alcanzadas."/>
    <s v="Redes sociales"/>
    <s v="Por la calidad académica."/>
    <s v="Vocación."/>
    <n v="2"/>
    <s v="2"/>
    <s v="SI"/>
    <s v="NO"/>
    <s v="Entre 2 y 3 millones"/>
    <s v="No"/>
    <n v="0"/>
    <n v="0"/>
    <m/>
    <s v="SI"/>
    <s v="Beca"/>
    <s v="NO"/>
    <s v=""/>
    <s v=""/>
    <s v="Si"/>
    <s v="Alberto Alonso Villa Álvarez"/>
    <s v="Casado"/>
    <s v="TECNOLOGÍA"/>
    <s v="56"/>
    <s v="Auxiliar Contable"/>
    <s v="Empleado (con contrato laboral)"/>
    <s v="Auxiliar Contable"/>
    <s v="JULITEX SAS"/>
    <n v="2300000"/>
    <s v="Si"/>
    <s v="NO"/>
    <s v="SI"/>
    <s v=""/>
    <s v="Si"/>
    <s v="Suray Liliam Olarte Bustamante"/>
    <s v="Casado"/>
    <s v="BACHILLERATO"/>
    <s v="55"/>
    <s v="ama de casa"/>
    <s v="Labores del hogar y cuidado"/>
    <s v="Ama de casa"/>
    <s v="NA"/>
    <n v="0"/>
    <s v="Si"/>
    <s v="SI"/>
    <s v="SI"/>
    <m/>
    <n v="2300000"/>
    <s v="No, solo vivo con mis padres"/>
    <s v=""/>
    <s v=""/>
    <s v=""/>
    <s v=""/>
    <s v=""/>
    <m/>
    <s v=""/>
    <s v=""/>
    <s v=""/>
    <s v=""/>
    <s v=""/>
    <s v=""/>
    <m/>
    <s v=""/>
    <s v=""/>
    <s v=""/>
    <s v=""/>
    <s v=""/>
    <s v=""/>
    <m/>
    <s v=""/>
    <s v=""/>
    <n v="0"/>
    <n v="0"/>
    <n v="0"/>
    <n v="0"/>
    <n v="0"/>
    <s v="No"/>
    <s v=""/>
    <s v=""/>
    <n v="0"/>
    <s v="No"/>
    <s v=""/>
    <s v=""/>
    <n v="0"/>
    <s v="No"/>
    <s v=""/>
    <s v=""/>
    <s v=""/>
    <n v="0"/>
    <m/>
    <n v="4"/>
    <n v="4"/>
    <n v="4"/>
    <n v="4"/>
    <n v="4"/>
    <n v="3"/>
    <n v="4"/>
    <n v="4"/>
    <n v="4"/>
    <n v="4"/>
    <n v="39"/>
    <s v="SI"/>
    <m/>
    <s v="SI, SON PRI"/>
    <s v="ok tienen todos los datos"/>
    <s v="Negada"/>
    <n v="20251"/>
    <m/>
    <n v="2"/>
    <n v="10"/>
    <n v="8"/>
    <n v="5"/>
    <n v="10"/>
    <n v="15"/>
    <n v="20"/>
    <n v="20"/>
    <n v="20"/>
    <n v="80"/>
    <s v="80 - 100%"/>
    <m/>
    <n v="3.5"/>
    <n v="4.5"/>
    <n v="8"/>
    <n v="4"/>
    <n v="3.5"/>
    <n v="4"/>
    <n v="8"/>
    <n v="4.5"/>
    <n v="78"/>
    <s v="80 - 100%"/>
    <n v="0.8"/>
    <e v="#N/A"/>
    <m/>
    <m/>
    <n v="0"/>
    <m/>
    <m/>
    <s v="Ingeniería Civil"/>
    <e v="#N/A"/>
    <s v="013"/>
    <e v="#N/A"/>
  </r>
  <r>
    <s v="TI"/>
    <n v="1034920245"/>
    <s v="1000401597"/>
    <s v="SALOMÉ QUINTERO SOLÍS"/>
    <s v="Estudios por primera vez"/>
    <x v="5"/>
    <s v="Cumple Nutresa"/>
    <s v="Vehículo"/>
    <s v="En publico objetivo"/>
    <s v="3ra Cohorte"/>
    <s v="Admitido"/>
    <s v="squinters3@eafit.edu.co"/>
    <s v="squinters3@eafit.edu.co"/>
    <s v="salomequin17@gmail.com"/>
    <s v="573128205951"/>
    <d v="2025-05-30T00:00:00"/>
    <s v="Activo en Programa"/>
    <s v="085-Ingeniería Diseño de Producto"/>
    <s v="E Ciencias Aplic e Ingeniería"/>
    <d v="2008-03-17T00:00:00"/>
    <n v="17"/>
    <s v="Antioquia"/>
    <s v="Medellín"/>
    <s v="Mujer"/>
    <s v="Soltero"/>
    <s v="NO"/>
    <s v="NO"/>
    <n v="0"/>
    <s v="NO"/>
    <s v="NA"/>
    <s v="NO"/>
    <s v="NA"/>
    <s v="NO"/>
    <s v="NA"/>
    <s v="No"/>
    <s v="596-4981"/>
    <s v="573128205951"/>
    <s v="Estrato 3"/>
    <s v="CL 56 A N 67 B 40 IN 106 TRAPICHE"/>
    <s v="Antioquia"/>
    <s v="Bello"/>
    <s v="No aplica, no soy foráneo"/>
    <s v="Propio"/>
    <s v="SI"/>
    <s v="2024"/>
    <s v="AC202435935556"/>
    <n v="373"/>
    <n v="73"/>
    <n v="72"/>
    <s v="Pública"/>
    <s v="IE LICEO ANTIOQUEÑO"/>
    <n v="2024"/>
    <m/>
    <s v="Bello"/>
    <s v="Bachillerato"/>
    <s v="BACHILLER"/>
    <s v="TIPO: Pública, INSTITUCION: IE LICEO ANTIOQUEÑO, AÑO: 2024, CIUDAD: Bello, TITULO: BACHILLER"/>
    <s v="11"/>
    <s v="Escala de 0 - 5"/>
    <s v="Escala de 0 - 5"/>
    <s v="4,4"/>
    <s v="4,5"/>
    <m/>
    <s v="1,5"/>
    <s v="4"/>
    <m/>
    <n v="4.5999999999999996"/>
    <n v="4"/>
    <m/>
    <n v="4.5"/>
    <n v="4.5"/>
    <m/>
    <s v="4,8"/>
    <s v="5"/>
    <m/>
    <s v="4"/>
    <s v="4"/>
    <m/>
    <s v="4,8"/>
    <s v="4,1"/>
    <m/>
    <s v="De 9 y 10"/>
    <n v="4.4000000000000004"/>
    <s v="NO"/>
    <s v="NA"/>
    <n v="0"/>
    <n v="0"/>
    <s v="No"/>
    <n v="45"/>
    <m/>
    <n v="45"/>
    <m/>
    <n v="45"/>
    <m/>
    <m/>
    <n v="45"/>
    <s v="Con detalle por componente"/>
    <s v="Artísticas o culturales,Espacios de liderazgo o representación social,Trabajo social o comunitario"/>
    <s v="Me visualizo contribuyendo a la sociedad y su bienestar con innovación, calidad y compromiso. En el ámbito ambiental me veo diseñando productos sostenibles, ecológicos y estéticos que aporten a la conservación de los ecosistemas del Valle de Aburrá, por ejemplo, con la utilización de materiales biodegradables para evitar el deterioro de las fuentes hídricas, reducir la polución y conservar la fauna y flora de la región. _x000a_También me veo retribuyendo a la educación de los jóvenes del país, impartiendo los conocimientos que adquiera gracias a la beca para estudiar en la Universidad EAFIT. Me proyecto profesionalmente trabajando en el diseño de productos en el sector de mobiliario con el propósito de brindar soluciones prácticas a las necesidades en el entorno. De igual manera, me veo gestionando proyectos en el diseño de espacios, y desarrollando servicios y productos para contribuir a la educación y concientización de los jóvenes del país. _x000a_Busco materializar todas estas metas con el objetivo de inspirar a otros por medio de la educación, crear soluciones para mejorar la vida de las personas y aportar a la transformación del mundo desde la manera en que cuidamos el medio ambiente."/>
    <s v="Página WEB"/>
    <s v="Por la calidad académica."/>
    <s v="Vocación."/>
    <n v="3"/>
    <s v="1"/>
    <s v="SI"/>
    <s v="NO"/>
    <s v="Entre 3 y 4 millones"/>
    <s v="No"/>
    <s v="NO"/>
    <s v="NO"/>
    <m/>
    <s v="SI"/>
    <s v="Beca"/>
    <s v="NO"/>
    <s v=""/>
    <s v=""/>
    <s v="Si"/>
    <s v="Juan Carlos Quintero Londoño"/>
    <s v="Casado"/>
    <s v="TECNOLOGÍA"/>
    <s v="45"/>
    <s v="Tecnólogo Automotriz"/>
    <s v="Empleado (con contrato laboral)"/>
    <s v="Coordinador Técnico"/>
    <s v="Renault Agenciauto S.A."/>
    <n v="2070000"/>
    <s v="Si"/>
    <s v="SI"/>
    <s v="NO"/>
    <s v="Es un hombre trabajador, honesto, y comprometido con el bienestar de nuestra familia."/>
    <s v="Si"/>
    <s v="Marta Isabel Solís Suárez"/>
    <s v="Casado"/>
    <s v="TECNOLOGÍA"/>
    <s v="42"/>
    <s v="ama de casa"/>
    <s v="Labores del hogar y cuidado"/>
    <s v="Ama de casa"/>
    <s v="NINGUNA"/>
    <n v="0"/>
    <s v="Si"/>
    <s v="NO"/>
    <s v="NO"/>
    <s v="Es una mujer íntegra, dedicada y fuerte que procura siempre ayudaros a salir adelante y fortalecer nuestro hogar."/>
    <n v="2070000"/>
    <s v="Si"/>
    <s v="Samuel Quintero Solís"/>
    <s v="Hermano / Hermana"/>
    <s v="20"/>
    <s v="Estudiante"/>
    <s v="LCN / ITM"/>
    <n v="0"/>
    <s v="No"/>
    <s v=""/>
    <s v=""/>
    <s v=""/>
    <s v=""/>
    <s v=""/>
    <m/>
    <s v=""/>
    <s v=""/>
    <s v=""/>
    <s v=""/>
    <s v=""/>
    <s v=""/>
    <m/>
    <s v=""/>
    <s v="Somos una familia centrada, unida y amorosa que buscamos el bien del otro."/>
    <n v="136192000"/>
    <n v="0"/>
    <n v="0"/>
    <n v="0"/>
    <n v="0"/>
    <s v="Si"/>
    <s v="Renault"/>
    <s v="2023"/>
    <n v="48920000"/>
    <s v="No"/>
    <s v=""/>
    <s v=""/>
    <n v="0"/>
    <s v="No"/>
    <s v=""/>
    <s v=""/>
    <s v=""/>
    <n v="0"/>
    <s v="La casa es patrimonio familiar y el carro tiene prenda comercial a nombre del fondo de empleados."/>
    <n v="4"/>
    <n v="3"/>
    <n v="2"/>
    <n v="4"/>
    <n v="3"/>
    <n v="3"/>
    <n v="3"/>
    <n v="3"/>
    <n v="4"/>
    <n v="4"/>
    <n v="33"/>
    <s v="SI"/>
    <m/>
    <s v="SI, SON PRI"/>
    <s v="ok tienen todos los datos"/>
    <e v="#N/A"/>
    <e v="#N/A"/>
    <m/>
    <n v="3"/>
    <n v="10"/>
    <n v="8"/>
    <n v="15"/>
    <n v="15"/>
    <n v="10"/>
    <n v="15"/>
    <n v="16"/>
    <n v="16"/>
    <n v="81"/>
    <n v="0.5"/>
    <m/>
    <n v="3.5"/>
    <n v="2.5"/>
    <n v="8"/>
    <n v="2"/>
    <n v="3.5"/>
    <n v="2.5"/>
    <n v="8"/>
    <n v="2"/>
    <n v="79"/>
    <n v="0.5"/>
    <n v="0.5"/>
    <s v="SALOMÉ QUINTERO SOLÍS"/>
    <m/>
    <m/>
    <n v="0"/>
    <s v="EN ORDEN"/>
    <n v="0"/>
    <s v="Ingeniería Diseño de Producto"/>
    <s v="Pres. para revision docs nutresa"/>
    <m/>
    <s v="NUTRESA"/>
  </r>
  <r>
    <s v="CC"/>
    <n v="1034988860"/>
    <s v="1000366233"/>
    <s v="MAIRA SALOME AGUDELO ALZATE"/>
    <s v="Transferencia Externa"/>
    <x v="1"/>
    <s v="No cumple, estrato 4"/>
    <m/>
    <s v="En publico objetivo"/>
    <s v="2da Cohorte"/>
    <s v="Admitido"/>
    <s v="msagudeloa@eafit.edu.co"/>
    <s v="msagudeloa@eafit.edu.co"/>
    <s v="msalomeagudelo@gmail.com"/>
    <s v="573172952497"/>
    <d v="2025-05-16T00:00:00"/>
    <s v="Activo en Programa"/>
    <s v="169-Mercadeo"/>
    <s v="Escuela de Administración"/>
    <d v="2005-10-28T00:00:00"/>
    <n v="20"/>
    <s v="Antioquia"/>
    <s v="Medellín"/>
    <s v="Mujer"/>
    <s v="Soltero"/>
    <s v="NO"/>
    <s v="NO"/>
    <n v="0"/>
    <s v="NO"/>
    <s v="NA"/>
    <s v="NO"/>
    <s v="NA"/>
    <s v="NO"/>
    <s v="NA"/>
    <s v="No"/>
    <s v="317/295-2497"/>
    <s v="573172952497"/>
    <s v="Estrato 4"/>
    <s v="CR 33 29 105"/>
    <s v="Antioquia"/>
    <s v="Medellín"/>
    <s v="No aplica, no soy foráneo"/>
    <s v="Propio"/>
    <s v="SI"/>
    <s v="2022"/>
    <s v="AC202245955331"/>
    <n v="297"/>
    <n v="56"/>
    <n v="59"/>
    <s v="Pública"/>
    <s v="INST EDUC MATER DEI"/>
    <n v="2022"/>
    <s v="Antioquia"/>
    <s v="Medellín"/>
    <s v="BACHILLER"/>
    <s v="TECN"/>
    <s v="TIPO: Pública, INSTITUCION: INST EDUC MATER DEI, AÑO: 2022, CIUDAD: Medellín, TITULO: BACHILLER"/>
    <n v="0"/>
    <n v="0"/>
    <s v="PCA TEX"/>
    <m/>
    <m/>
    <m/>
    <m/>
    <m/>
    <m/>
    <m/>
    <m/>
    <m/>
    <m/>
    <m/>
    <m/>
    <m/>
    <m/>
    <m/>
    <m/>
    <m/>
    <m/>
    <m/>
    <m/>
    <m/>
    <s v="Ver PCA TEX"/>
    <n v="3.8"/>
    <s v="SI"/>
    <s v="TIPO: Pública, INSTITUCION: COLEGIO MAYOR DE ANTIOQUIA, AÑO: 0, CIUDAD: Medellín, TITULO: INGENIERO(A) COMERCIAL (Medellín)"/>
    <s v="PREGRADO"/>
    <s v=" TITULO: INGENIERO(A) COMERCIAL (Medellín)"/>
    <s v="No"/>
    <n v="50"/>
    <m/>
    <n v="50"/>
    <m/>
    <n v="50"/>
    <m/>
    <m/>
    <n v="50"/>
    <s v="Con detalle por componente"/>
    <s v="Ninguna"/>
    <s v="Mi objetivo es contribuir al desarrollo económico de mi país y conectar a los emprendedores con nuevas oportunidades de mercado, así mismo generando empleos y promoviendo la sostenibilidad, fortaleciendo la economía local y la creación de negocios responsables y sostenibles"/>
    <s v="A través del Colegio"/>
    <s v="Proyección laboral."/>
    <s v="Vocación."/>
    <n v="2"/>
    <s v="0"/>
    <s v="NO"/>
    <s v="NO"/>
    <s v="Entre 11 y 12 millones"/>
    <s v="Si"/>
    <n v="0"/>
    <n v="0"/>
    <m/>
    <s v="SI"/>
    <s v="Patrocinio empresarial"/>
    <s v="NO"/>
    <s v=""/>
    <s v=""/>
    <s v="Si"/>
    <s v="Gusta Adolfo Agudelo Marquez"/>
    <s v="Soltero"/>
    <s v="ESPECIALIZACIÓN"/>
    <s v="25"/>
    <s v="Ingeniero Electrónico"/>
    <s v="Independiente (trabaja por cuenta propia)"/>
    <s v="Comerciante"/>
    <s v="Somos Electricos"/>
    <n v="1500000"/>
    <s v="Si"/>
    <s v="NO"/>
    <s v="NO"/>
    <s v=""/>
    <s v="Si"/>
    <s v="Gloria Ines Alzate Ruiz"/>
    <s v="Casado"/>
    <s v="ESPECIALIZACIÓN"/>
    <s v="59"/>
    <s v="Contadora publica"/>
    <s v="Independiente (trabaja por cuenta propia)"/>
    <s v="Administradora de propiedad horizontal"/>
    <s v="U.I.C Halcones de San Digeo y Edificio Madagascar."/>
    <n v="9000000"/>
    <s v="Si"/>
    <s v="NO"/>
    <s v="SI"/>
    <m/>
    <n v="10500000"/>
    <s v="No, solo vivo con mis padres"/>
    <s v=""/>
    <s v=""/>
    <s v=""/>
    <s v=""/>
    <s v=""/>
    <m/>
    <s v=""/>
    <s v=""/>
    <s v=""/>
    <s v=""/>
    <s v=""/>
    <s v=""/>
    <m/>
    <s v=""/>
    <s v=""/>
    <s v=""/>
    <s v=""/>
    <s v=""/>
    <s v=""/>
    <m/>
    <s v=""/>
    <s v=""/>
    <n v="0"/>
    <n v="280000000"/>
    <n v="0"/>
    <n v="0"/>
    <n v="0"/>
    <s v="Si"/>
    <s v="Hyundai"/>
    <s v="2011"/>
    <n v="37000000"/>
    <s v="No"/>
    <s v=""/>
    <s v=""/>
    <n v="0"/>
    <s v="No"/>
    <s v=""/>
    <s v=""/>
    <s v=""/>
    <n v="0"/>
    <m/>
    <n v="4"/>
    <n v="4"/>
    <n v="4"/>
    <n v="4"/>
    <n v="3"/>
    <n v="3"/>
    <n v="4"/>
    <n v="4"/>
    <n v="3"/>
    <n v="4"/>
    <n v="37"/>
    <s v="SI"/>
    <m/>
    <s v="SI, SON TEX, EN LUGAR DE NOTAS TIENEN PCA"/>
    <s v="ok tienen todos los datos"/>
    <e v="#N/A"/>
    <e v="#N/A"/>
    <m/>
    <n v="3"/>
    <n v="4"/>
    <n v="4"/>
    <n v="0"/>
    <n v="10"/>
    <n v="15"/>
    <n v="20"/>
    <n v="7"/>
    <n v="7"/>
    <n v="56"/>
    <n v="0.4"/>
    <m/>
    <n v="3.5"/>
    <n v="2.5"/>
    <n v="0"/>
    <n v="1"/>
    <n v="3.5"/>
    <n v="2.5"/>
    <n v="0"/>
    <n v="1"/>
    <n v="56"/>
    <n v="0.4"/>
    <n v="0.4"/>
    <e v="#N/A"/>
    <m/>
    <m/>
    <n v="0"/>
    <m/>
    <m/>
    <s v="Mercadeo"/>
    <e v="#N/A"/>
    <s v="169"/>
    <e v="#N/A"/>
  </r>
  <r>
    <s v="CC"/>
    <n v="1034989040"/>
    <s v="1000387643"/>
    <s v="JUAN JOSE LOPEZ ARANGO"/>
    <s v="Pasa de estudios gener a pregr"/>
    <x v="7"/>
    <s v="No cumple, estrato 4"/>
    <s v="Se esta revisando valor propiedades contra doc"/>
    <s v="En publico objetivo"/>
    <s v="2da Cohorte"/>
    <s v="Admitido"/>
    <s v="jjlopeza4@eafit.edu.co"/>
    <s v="jjlopeza4@eafit.edu.co"/>
    <s v="jjlopeza4@eafit.edu.co"/>
    <s v="305/357-7011"/>
    <d v="2025-05-16T00:00:00"/>
    <s v="Activo en Programa"/>
    <s v="169-Mercadeo"/>
    <s v="Escuela de Administración"/>
    <d v="2006-01-14T00:00:00"/>
    <n v="19"/>
    <s v="Antioquia"/>
    <s v="Medellín"/>
    <s v="Hombre"/>
    <s v="Soltero"/>
    <s v="NO"/>
    <s v="NO"/>
    <n v="0"/>
    <s v="NO"/>
    <s v="NA"/>
    <s v="NO"/>
    <s v="NA"/>
    <s v="NO"/>
    <s v="NA"/>
    <s v="No"/>
    <s v="305/357-7011"/>
    <s v="305/357-7011"/>
    <s v="Estrato 4"/>
    <s v="VIA PANTANILLO KM 55"/>
    <s v="Antioquia"/>
    <s v="El Retiro"/>
    <s v="No aplica, no soy foráneo"/>
    <s v="Propio"/>
    <s v="SI"/>
    <s v="2023"/>
    <s v="AC202340500389"/>
    <n v="337"/>
    <n v="70"/>
    <n v="71"/>
    <s v="Privada"/>
    <s v="COLEGIO CAMPESTRE HORIZONTES"/>
    <n v="2023"/>
    <s v="Antioquia"/>
    <s v="Rionegro"/>
    <s v="BACHILLER"/>
    <n v="0"/>
    <s v="TIPO: Privada, INSTITUCION: COLEGIO CAMPESTRE HORIZONTES, AÑO: 2023, CIUDAD: Rionegro, TITULO: BACHILLER"/>
    <s v="11"/>
    <s v="Escala de 0 - 5"/>
    <s v="Escala de 0 - 5"/>
    <s v="4"/>
    <s v="4"/>
    <s v="4"/>
    <s v="4"/>
    <s v="4"/>
    <s v="3"/>
    <n v="4"/>
    <n v="4"/>
    <n v="3"/>
    <n v="4.0999999999999996"/>
    <n v="3.5"/>
    <n v="4"/>
    <s v="4,5"/>
    <s v="4"/>
    <s v="3"/>
    <s v="4,5"/>
    <s v="4,3"/>
    <s v="4"/>
    <s v="4"/>
    <s v="4"/>
    <s v="4"/>
    <s v="De 9, 10 y 11"/>
    <n v="3.7666666666666671"/>
    <s v="NO"/>
    <s v="NA"/>
    <n v="0"/>
    <n v="0"/>
    <s v="No"/>
    <n v="40"/>
    <m/>
    <n v="40"/>
    <m/>
    <n v="40"/>
    <m/>
    <s v="Admitido"/>
    <n v="40"/>
    <s v="Con detalle por componente"/>
    <s v="Deportistas de alto rendimiento o representativo"/>
    <s v="Me visualizo como un profesional en Mercadeo con una comprensión profunda de la industria, capaz de crear estrategias innovadoras y valiosas para empresas, organizaciones y comunidades. Deseo liderar proyectos creativos, enfocados en el análisis y el compromiso social, lo que me permitiría participar activamente en el avance del país._x000a__x000a_El mercadeo es una profesión que ofrece múltiples caminos, y uno de los míos surge en el deporte. Desde hace más de seis años practico baloncesto a nivel competitivo, lo que me ha dado la oportunidad de entender de cerca las necesidades de los deportistas, especialmente en el Oriente Antioqueño. Esta experiencia ha despertado en mí el deseo de conectar el deporte con el mercadeo, buscando crear oportunidades a través de alianzas que beneficien tanto a las marcas como a los atletas. Es una relación de valor compartido, un verdadero ganar- ganar: las empresas obtienen visibilidad y representación, mientras que los deportistas reciben el apoyo necesario para seguir sus sueños._x000a__x000a_Obtener esta beca significa mucho más que un apoyo financiero; se convierte en una plataforma para potenciar mis conocimientos académicos en un entorno de excelencia e integridad, con el objetivo de visualizarme como un lider comprometido con el desarrollo de mi región. Mi meta es aplicar lo aprendido en iniciativas que fomenten la inclusión y el desarrollo a través del deporte, creando puentes entre el talento deportivo y las oportunidades que hoy parecen inalcanzables._x000a__x000a_Quiero ser un agente de cambio que, con visión estratégica, conocimiento y un fuerte sentido social, impulse el crecimiento de mi región. Esta beca sería el punto de partida para construir un futuro donde el mercadeo sea una herramienta de impacto real, capaz de abrir caminos, inspirar y transformar vidas"/>
    <s v="Otro"/>
    <s v="Por la oferta académica."/>
    <s v="Vocación."/>
    <n v="2"/>
    <s v="1"/>
    <s v="NO"/>
    <s v="NO"/>
    <s v="Más de 16 millones"/>
    <s v="Si"/>
    <s v="SI"/>
    <n v="0"/>
    <m/>
    <s v="NO"/>
    <m/>
    <s v="SI"/>
    <s v="LIMPIARTE SAS"/>
    <s v="ASISTENTE FACTURACION"/>
    <s v="Sin información"/>
    <s v="JUAN FERNANDO LOPEZ LOPEZ"/>
    <s v="Soltero"/>
    <s v="BACHILLERATO"/>
    <s v="57"/>
    <s v=""/>
    <s v=""/>
    <m/>
    <s v=""/>
    <m/>
    <s v=""/>
    <s v="NO"/>
    <s v="NO"/>
    <s v=""/>
    <s v="Si"/>
    <s v="Beatriz Elena Arango Ramirez"/>
    <s v="Soltero"/>
    <s v="ESPECIALIZACIÓN"/>
    <s v="49"/>
    <s v="Ingeniera de Sistemas"/>
    <s v="Empleado (con contrato laboral)"/>
    <s v="Directora de servicios de infraestructura Grupo Exito"/>
    <s v="Grupo Exito"/>
    <n v="21928500"/>
    <s v="Si"/>
    <s v="NO"/>
    <s v="SI"/>
    <s v="Ejecutiva de grupo éxito con 26 años de trayectoria"/>
    <n v="21928500"/>
    <s v="Si"/>
    <s v="Nubia Ramirez De Arango"/>
    <s v="Abuelo / Abuela"/>
    <s v="69"/>
    <s v="Cesante"/>
    <s v="N/A"/>
    <n v="0"/>
    <s v="No"/>
    <s v=""/>
    <s v=""/>
    <s v=""/>
    <s v=""/>
    <s v=""/>
    <m/>
    <s v=""/>
    <s v=""/>
    <s v=""/>
    <s v=""/>
    <s v=""/>
    <s v=""/>
    <m/>
    <s v=""/>
    <s v="Adulta mayor que no percibe ingresos"/>
    <n v="704835507"/>
    <n v="0"/>
    <n v="0"/>
    <n v="0"/>
    <n v="0"/>
    <s v="Si"/>
    <s v="Mercedes Benz"/>
    <s v="2019"/>
    <n v="105000000"/>
    <s v="No"/>
    <s v=""/>
    <s v=""/>
    <n v="0"/>
    <s v="No"/>
    <s v=""/>
    <s v=""/>
    <s v=""/>
    <n v="0"/>
    <s v="No"/>
    <n v="4"/>
    <n v="4"/>
    <n v="3"/>
    <n v="3"/>
    <n v="3"/>
    <n v="3"/>
    <n v="3"/>
    <n v="4"/>
    <n v="2"/>
    <n v="4"/>
    <n v="33"/>
    <s v="SI"/>
    <m/>
    <s v="SI, SON PRI"/>
    <s v="ok tienen todos los datos"/>
    <e v="#N/A"/>
    <e v="#N/A"/>
    <m/>
    <n v="3"/>
    <n v="4"/>
    <n v="4"/>
    <n v="10"/>
    <n v="10"/>
    <n v="10"/>
    <n v="10"/>
    <n v="4.5"/>
    <n v="4.5"/>
    <n v="48.5"/>
    <n v="0.4"/>
    <m/>
    <n v="2"/>
    <n v="2.5"/>
    <n v="0"/>
    <n v="0"/>
    <n v="2"/>
    <n v="2.5"/>
    <n v="0"/>
    <n v="0"/>
    <n v="48.5"/>
    <n v="0.4"/>
    <s v="Negado"/>
    <e v="#N/A"/>
    <m/>
    <m/>
    <n v="0"/>
    <m/>
    <m/>
    <s v="Mercadeo"/>
    <e v="#N/A"/>
    <m/>
    <e v="#N/A"/>
  </r>
  <r>
    <s v="CC"/>
    <n v="1034990077"/>
    <s v="1000402275"/>
    <s v="SALOME TAMAYO SANCHEZ"/>
    <s v="Estudios por primera vez"/>
    <x v="4"/>
    <s v="No cumple, estrato 4"/>
    <s v="Se esta revisando ingresos contra doc"/>
    <s v="En publico objetivo"/>
    <s v="1er Cohorte"/>
    <s v="Admitido"/>
    <s v="stamayos3@eafit.edu.co"/>
    <s v="stamayos3@eafit.edu.co"/>
    <s v="salometamayo.sanchez@gmail.com"/>
    <s v="573196038197"/>
    <d v="2025-04-28T00:00:00"/>
    <s v="Activo en Programa"/>
    <s v="085-Ingeniería Diseño de Producto"/>
    <s v="E Ciencias Aplic e Ingeniería"/>
    <d v="2006-09-15T00:00:00"/>
    <n v="19"/>
    <s v="Antioquia"/>
    <s v="Medellín"/>
    <s v="Mujer"/>
    <s v="Soltero"/>
    <s v="NO"/>
    <s v="NO"/>
    <n v="0"/>
    <s v="NO"/>
    <s v="NA"/>
    <s v="NO"/>
    <s v="NA"/>
    <s v="NO"/>
    <s v="NA"/>
    <s v="No"/>
    <s v="300/292-3432"/>
    <s v="573196038197"/>
    <s v="Estrato 4"/>
    <s v="CR 37 N 40 AA SUR 08"/>
    <s v="Antioquia"/>
    <s v="Envigado"/>
    <s v="No aplica, no soy foráneo"/>
    <s v="Propio"/>
    <s v="SI"/>
    <s v="2023"/>
    <s v="AC202340018168"/>
    <n v="274"/>
    <n v="62"/>
    <n v="52"/>
    <s v="Privada"/>
    <s v="GIMNASIO INTEGRAL SANTA ANA"/>
    <n v="2023"/>
    <s v="Antioquia"/>
    <s v="Envigado"/>
    <s v="BACHILLER"/>
    <s v="ACAD"/>
    <s v="TIPO: Privada, INSTITUCION: GIMNASIO INTEGRAL SANTA ANA, AÑO: 2023, CIUDAD: Envigado, TITULO: BACHILLER"/>
    <s v="11"/>
    <s v="Escala de 0 - 5"/>
    <s v="Escala de 0 - 5"/>
    <s v="4"/>
    <s v="4,5"/>
    <m/>
    <s v="4,5"/>
    <s v="4"/>
    <m/>
    <n v="4"/>
    <n v="4"/>
    <m/>
    <n v="4"/>
    <n v="3.4"/>
    <m/>
    <s v="4"/>
    <s v="4"/>
    <m/>
    <s v="5"/>
    <s v="5"/>
    <m/>
    <s v="4"/>
    <s v="4"/>
    <m/>
    <s v="De 9 y 10"/>
    <n v="3.85"/>
    <s v="NO"/>
    <s v="NA"/>
    <n v="0"/>
    <n v="0"/>
    <s v="No"/>
    <n v="35"/>
    <m/>
    <n v="45"/>
    <m/>
    <n v="35"/>
    <m/>
    <m/>
    <n v="38.333333333333336"/>
    <s v="Con detalle por componente"/>
    <s v="Otras (por ejemplo, un talento extraordinario)"/>
    <s v="Obtener esta beca representa mucho más que una oportunidad académica: es la posibilidad real de transformar mi región mediante el conocimiento y la innovación. Como futuro ingeniero en Diseño y Producto, mi objetivo es aplicar las herramientas de diseño, tecnología y manufactura para desarrollar soluciones que respondan a las necesidades reales de mi comunidad._x000a__x000a_Mi región se caracteriza por tener gran talento artesanal, recursos naturales y creatividad, pero carece de procesos industrializados que permitan transformar esas capacidades en productos sostenibles, funcionales y con valor agregado. Al formarme profesionalmente, quiero regresar con ideas y habilidades que permitan mejorar esta situación. Mediante el diseño centrado en el usuario y la innovación sostenible, puedo colaborar con emprendedores locales, modernizar procesos tradicionales, crear productos con identidad regional y abrir mercados que hoy parecen inalcanzables._x000a__x000a_También aspiro a crear espacios de formación y talleres donde jóvenes y artesanos puedan aprender sobre diseño, modelado 3D, creando prototipos y producción eficiente. Así, no solo se crean oportunidades de empleo, sino también se impulsa el desarrollo económico desde adentro, fomentando el arraigo y el orgullo por lo local._x000a__x000a_Esta beca no solo me permite acceder a una educación de calidad, sino que me da las herramientas para ser un agente de cambio. Mi compromiso es incluirme y promocionar e incentivar a mi región no solo como profesional, sino como motor de transformación, demostrando que con esfuerzo, visión y conocimiento, es posible construir un futuro mejor desde nuestras propias raíces."/>
    <s v="Estudiantes de EAFIT"/>
    <s v="Proyección laboral."/>
    <s v="Vocación."/>
    <n v="2"/>
    <s v="2"/>
    <s v="NO"/>
    <s v="NO"/>
    <s v="Entre 8 y 9 millones"/>
    <s v="No"/>
    <n v="0"/>
    <s v="NO"/>
    <m/>
    <s v="SI"/>
    <s v="Beca"/>
    <s v="NO"/>
    <s v=""/>
    <s v=""/>
    <s v="Si"/>
    <s v="Jader Mauricio Tamayo Lopera"/>
    <s v="Casado"/>
    <s v="BACHILLERATO"/>
    <s v="57"/>
    <s v="No termino su carrera de publicidad"/>
    <s v="Empleado (con contrato laboral)"/>
    <s v="Auxiliar De Seguros (7)"/>
    <s v="SEGUROS GENERALES SURAMERICANA S A"/>
    <n v="6134420"/>
    <s v="Si"/>
    <s v="NO"/>
    <s v="NO"/>
    <s v="Mi padre ha sido una de las mayores fuentes de inspiración en mi vida. Aunque ha enfrentado muchas dificultades económicas, siempre ha demostrado una fuerza y determinación admirables. El ingresó a Suramericana siendo temporal y con su esfuerzo, capacidades, dedicación y responsabilidad logró un contrato indefinido y cuenta con 27 años en su empresa, cuando mi madre arregló con su empresa (Bancolombia) mi padre quedó con toda la responsabilidad económica de nuestro hogar ya solo seria contar con solo un ingreso y no ha sido fácil hemos tenido que replantear obligaciones y gastos muy drásticos.Con un trabajo duro, muchas veces en condiciones poco favorables viéndolo trabajar desde muy temprano hasta muy tarde de la noche y nunca lo escuche que se quejara ni una mala expresión ni una mala palabra siempre con una sonrisa en su expresión, y lo mas admirable es con el amor, la pasión y la paciencia de cuidar su empleo, ha logrado mantener a nuestra familia con dignidad y sin rendirse nunca. Verlo esforzarse día a día, sin perder la esperanza ni su fe en el valor del trabajo honesto, me ha motivado a superarme y a luchar por un mejor futuro. Él no tuvo la oportunidad de acceder a una educación superior, pero siempre ha creído en el poder transformador del estudio. Gracias a su ejemplo, he aprendido que los sueños se alcanzan con constancia, sacrificio y compromiso. Obtener esta beca significaría no solo un apoyo económico indispensable, sino también un paso importante para devolverle a mi padre, con hechos, todo lo que ha hecho por mí. Mi meta es formarme como profesional y convertir ese esfuerzo silencioso en logros que nos llenen de orgullo a ambos."/>
    <s v="Si"/>
    <s v="Luz Jenny Sanchez Duran"/>
    <s v="Casado"/>
    <s v="BACHILLERATO"/>
    <s v="55"/>
    <s v="Ninguna"/>
    <s v="Labores del hogar y cuidado"/>
    <s v="Ama de casa"/>
    <s v="NINGUNA"/>
    <n v="0"/>
    <s v="Si"/>
    <s v="NO"/>
    <s v="NO"/>
    <s v="Mi madre ha sido, sin duda, una de las figuras más inspiradoras en mi vida. Durante 26 años trabajó como empleada en Bancolombia, y a lo largo de todo ese tiempo me mostró, con su ejemplo, el verdadero significado de la disciplina, la responsabilidad y el compromiso. Su trayectoria profesional me enseñó que el trabajo bien hecho, la ética y la dedicación son valores fundamentales para alcanzar metas y ganarse el respeto de los demás.Sin embargo, tras tomar la difícil decisión de arreglar su vida cambió drásticamente. Pasar de tener estabilidad económica y un rol activo en una empresa, a enfrentarse a la incertidumbre y la falta de ingresos fijos, ha sido una experiencia dolorosa y llena de desafíos.A pesar de las exigencias de su labor, siempre encontró tiempo para apoyarme, impulsarme y recordarme la importancia de la educación como herramienta para transformar la vida. Su constancia y fortaleza me inspiran a luchar por mis propios sueños con la misma entrega que ella demostró en su carrera.Gracias a ella, entiendo el valor del esfuerzo y el mérito, y es por eso que hoy me postulo a esta beca. No solo como una oportunidad económica, sino como un compromiso personal de seguir el ejemplo que mi madre me ha dado. Aspiro a convertirme en un profesional íntegro, preparado y con propósito, que pueda devolverle a ella, y a la sociedad, todo lo que he recibido.Mi madre no solo ha sido una figura materna, sino también un modelo de perseverancia y superación. Su historia me recuerda cada día que con constancia y determinación, los sueños sí pueden hacerse realidad."/>
    <n v="6134420"/>
    <s v="No, solo vivo con mis padres"/>
    <s v=""/>
    <s v=""/>
    <s v=""/>
    <s v=""/>
    <s v=""/>
    <m/>
    <s v=""/>
    <s v=""/>
    <s v=""/>
    <s v=""/>
    <s v=""/>
    <s v=""/>
    <m/>
    <s v=""/>
    <s v=""/>
    <s v=""/>
    <s v=""/>
    <s v=""/>
    <s v=""/>
    <m/>
    <s v=""/>
    <s v=""/>
    <n v="670000000"/>
    <n v="600000000"/>
    <n v="0"/>
    <n v="0"/>
    <n v="0"/>
    <s v="Si"/>
    <s v="Nissan kicks"/>
    <s v="2018"/>
    <n v="70000000"/>
    <s v="No"/>
    <s v=""/>
    <s v=""/>
    <n v="0"/>
    <s v="No"/>
    <s v=""/>
    <s v=""/>
    <s v=""/>
    <n v="0"/>
    <s v="La casa esta ubicada en el municipio de Envigado, barrio el Dorado urbanización Montego la dirección es carrera 37 # 40 AA Sur 08 casa # 8 llevamos 20 años viviendo en esta propiedad, y el vehículo es una camioneta Nissan Kicks del año 2018 se encuentra en muy buen estado con 45.000km."/>
    <n v="4"/>
    <n v="4"/>
    <n v="4"/>
    <n v="4"/>
    <n v="4"/>
    <n v="4"/>
    <n v="4"/>
    <n v="4"/>
    <n v="4"/>
    <n v="4"/>
    <n v="40"/>
    <s v="SI"/>
    <m/>
    <s v="SI, SON PRI"/>
    <s v="ok tienen todos los datos"/>
    <e v="#N/A"/>
    <e v="#N/A"/>
    <m/>
    <n v="3"/>
    <n v="4"/>
    <n v="4"/>
    <n v="0"/>
    <n v="10"/>
    <n v="15"/>
    <n v="10"/>
    <n v="7.5"/>
    <n v="7.5"/>
    <n v="46.5"/>
    <n v="0.4"/>
    <m/>
    <n v="2"/>
    <n v="2.5"/>
    <n v="3"/>
    <n v="0"/>
    <n v="2"/>
    <n v="2.5"/>
    <n v="3"/>
    <n v="0"/>
    <n v="46.5"/>
    <n v="0.4"/>
    <s v="Negado"/>
    <e v="#N/A"/>
    <m/>
    <m/>
    <n v="0"/>
    <m/>
    <m/>
    <s v="Ingeniería Diseño de Producto"/>
    <e v="#N/A"/>
    <m/>
    <e v="#N/A"/>
  </r>
  <r>
    <s v="CC"/>
    <n v="1034990125"/>
    <s v="1000047290"/>
    <s v="JOSE MIGUEL GÓMEZ BOTERO"/>
    <s v="Estudios por primera vez"/>
    <x v="1"/>
    <s v="Descartado por PG y pregrado"/>
    <m/>
    <s v="En publico objetivo"/>
    <s v="2da Cohorte"/>
    <s v="Admitido"/>
    <s v="jmgomezb1@eafit.edu.co"/>
    <s v="jmgomezb1@eafit.edu.co"/>
    <s v="josemiguelgomezbotero@gmail.com"/>
    <s v="314/683-4607"/>
    <d v="2025-05-16T00:00:00"/>
    <s v="Activo en Programa"/>
    <s v="169-Mercadeo"/>
    <s v="Escuela de Administración"/>
    <d v="2006-10-06T00:00:00"/>
    <n v="19"/>
    <s v="Antioquia"/>
    <s v="Medellín"/>
    <s v="Hombre"/>
    <s v="Soltero"/>
    <s v="NO"/>
    <s v="NO"/>
    <n v="0"/>
    <s v="NO"/>
    <s v="NA"/>
    <s v="NO"/>
    <s v="NA"/>
    <s v="NO"/>
    <s v="NA"/>
    <s v="No"/>
    <s v="358-6935"/>
    <s v="314/683-4607"/>
    <s v="Estrato 2"/>
    <s v="CL 57 A SUR 81 115"/>
    <s v="Antioquia"/>
    <s v="Medellín"/>
    <s v="No aplica, no soy foráneo"/>
    <s v="Familiar"/>
    <s v="SI"/>
    <s v="2023"/>
    <s v="AC202344889747"/>
    <n v="321"/>
    <n v="62"/>
    <n v="65"/>
    <s v="Privada"/>
    <s v="INSTITUCION EDUCATVA SAN JOSE"/>
    <n v="2023"/>
    <s v="Antioquia"/>
    <s v="Itagui"/>
    <s v="BACHILLER"/>
    <s v="TECN"/>
    <s v="TIPO: Privada, INSTITUCION: INSTITUCION EDUCATVA SAN JOSE, AÑO: 2023, CIUDAD: Itagui, TITULO: BACHILLER"/>
    <s v="11"/>
    <s v="Escala de 0 - 5"/>
    <s v="Escala de 0 - 5"/>
    <s v="4"/>
    <s v="4"/>
    <m/>
    <s v="4"/>
    <s v="4"/>
    <m/>
    <n v="4.5"/>
    <n v="4"/>
    <m/>
    <n v="4.5"/>
    <n v="4.0999999999999996"/>
    <m/>
    <s v="4"/>
    <s v="4"/>
    <m/>
    <s v="4,5"/>
    <s v="4"/>
    <m/>
    <s v="4"/>
    <s v="4"/>
    <m/>
    <s v="De 9 y 10"/>
    <n v="4.2750000000000004"/>
    <s v="NO"/>
    <s v="NA"/>
    <n v="0"/>
    <n v="0"/>
    <s v="No"/>
    <n v="35"/>
    <m/>
    <n v="35"/>
    <m/>
    <n v="40"/>
    <m/>
    <m/>
    <n v="36.666666666666664"/>
    <s v="Con detalle por componente"/>
    <s v="Ninguna"/>
    <s v="Ubiquemos a San Antonio de Prado como un corregimiento al cual no se le ha sacado todo su potencial, y hoy en día necesitan de un futuro visionario como yo, el cual pueda convertir este lugar en la próxima bomba del comercio al sur del Valle de Aburrá. _x000a_Como habitante de San Antonio de prado, a veces me pregunto el por que siempre tengo que bajar a lugares como Sabaneta, Itagüí, o Envigado, en busca de entretenimiento, restaurantes, o comprar un poco de ropa, y la respuesta esta en la falta de lugares llamativos dentro del corregimiento. Pudiendo ofrecer una gran cantidad de zonas verdes de fácil acceso y vistas privilegiadas al sur del Valle se nos puede hacer fácil pensar en Miradores, o Glampings, lugares en tendencia que hoy en día traen una gran cantidad de clientes, en especial los más jóvenes. _x000a_Estos proyectos acompañados de una futura inversión por parte del gobierno al tema vial, como un mantenimiento a las calles, la presencia de guardas de transito para evitar el estacionamiento indebido de vehículos que obstaculizan el flujo y por ultimo el futuro Metro Cable a San Antonio de Prado el cual esta proyectado desde el año 2006 y junto a la creciente población que consta de alrededor de 160.000 habitantes, pueden hacer que estas inversiones lleguen a la luz muy pronto. _x000a_Sin duda, hay muchos proyectos que le esperan a San Antonio de Prado, los cuales, a su vez, necesitan de alguien como yo, que lleva toda su vida siendo testigo de las necesidades de la zona y junto al apoyo de la Universidad Eafit, podrá convertir estas ideas, en una huella intachable para el sur del Valle del Aburrá"/>
    <s v="Amigos"/>
    <s v="Internacionalización."/>
    <s v="Alta proyección de ingresos."/>
    <n v="4"/>
    <s v="1"/>
    <s v="SI"/>
    <s v="NO"/>
    <s v="Entre 3 y 4 millones"/>
    <s v="Si"/>
    <n v="0"/>
    <n v="0"/>
    <m/>
    <s v="SI"/>
    <s v="Beca"/>
    <s v="NO"/>
    <s v=""/>
    <s v=""/>
    <s v="Si"/>
    <s v="Henry Wilson Gomez Aristizabal"/>
    <s v="Otro"/>
    <s v="TECNOLOGÍA"/>
    <s v="54"/>
    <s v="Mecanico Industrial"/>
    <s v="Emprendedor (inicia un proyecto productivo o negocio propio)"/>
    <s v="Gerente Administrativo"/>
    <s v="Taller Industrial Gomez Botero S.A.S"/>
    <n v="4000000"/>
    <s v="Si"/>
    <s v="NO"/>
    <s v="SI"/>
    <s v="Ninguna"/>
    <s v="Si"/>
    <s v="Maria Isabel Botero Betancur"/>
    <s v="Otro"/>
    <s v="UNIVERSITARIOS"/>
    <s v="45"/>
    <s v="Administradora de empresas turisticas"/>
    <s v="Desempleado (Se encuentra en la búsqueda activa de empleo)"/>
    <s v="Ninguno"/>
    <s v="NINGUNA"/>
    <n v="0"/>
    <s v="Si"/>
    <s v="NO"/>
    <s v="SI"/>
    <s v="Ninguna"/>
    <n v="4000000"/>
    <s v="Si"/>
    <s v="Emanuel Gomez Botero"/>
    <s v="Hermano / Hermana"/>
    <s v="13"/>
    <s v="Estudiante"/>
    <s v="Colegio Carlos Castro Saavedra"/>
    <n v="0"/>
    <s v="No"/>
    <s v=""/>
    <s v=""/>
    <s v=""/>
    <s v=""/>
    <s v=""/>
    <m/>
    <s v=""/>
    <s v=""/>
    <s v=""/>
    <s v=""/>
    <s v=""/>
    <s v=""/>
    <m/>
    <s v=""/>
    <s v="Ninguna"/>
    <n v="0"/>
    <n v="0"/>
    <n v="0"/>
    <n v="0"/>
    <n v="65441740"/>
    <s v="Si"/>
    <s v="Renault"/>
    <s v="2022"/>
    <n v="50000000"/>
    <s v="No"/>
    <s v=""/>
    <s v=""/>
    <n v="0"/>
    <s v="No"/>
    <s v=""/>
    <s v=""/>
    <s v=""/>
    <n v="0"/>
    <s v="No"/>
    <n v="4"/>
    <n v="3"/>
    <n v="3"/>
    <n v="4"/>
    <n v="3"/>
    <n v="4"/>
    <n v="4"/>
    <n v="3"/>
    <n v="4"/>
    <n v="4"/>
    <n v="36"/>
    <s v="SI"/>
    <m/>
    <s v="SI, SON PRI"/>
    <s v="ok tienen todos los datos"/>
    <e v="#N/A"/>
    <e v="#N/A"/>
    <m/>
    <n v="3"/>
    <n v="10"/>
    <n v="10"/>
    <n v="5"/>
    <n v="15"/>
    <n v="15"/>
    <n v="5"/>
    <n v="17"/>
    <n v="14.5"/>
    <n v="64.5"/>
    <n v="0.4"/>
    <m/>
    <n v="2"/>
    <n v="3.5"/>
    <n v="6"/>
    <n v="3"/>
    <n v="2"/>
    <n v="3.5"/>
    <n v="7"/>
    <n v="4.5"/>
    <n v="67"/>
    <n v="0.6"/>
    <n v="0.5"/>
    <e v="#N/A"/>
    <m/>
    <m/>
    <n v="0"/>
    <m/>
    <m/>
    <s v="Mercadeo"/>
    <e v="#N/A"/>
    <s v="169"/>
    <e v="#N/A"/>
  </r>
  <r>
    <s v="CC"/>
    <n v="1034990422"/>
    <s v="1000379462"/>
    <s v="NICOLLE SOFIA CASTRILLON PINEDA"/>
    <s v="Pasa de estudios gener a pregr"/>
    <x v="4"/>
    <s v="No cumple, estrato 4"/>
    <m/>
    <s v="En publico objetivo"/>
    <s v="2da Cohorte"/>
    <s v="Admitido"/>
    <s v="nscastrilp@eafit.edu.co"/>
    <s v="nscastrilp@eafit.edu.co"/>
    <s v="nscastrilp@eafit.edu.co"/>
    <s v="573006125466"/>
    <d v="2025-05-16T00:00:00"/>
    <s v="Activo en Programa"/>
    <s v="085-Ingeniería Diseño de Producto"/>
    <s v="E Ciencias Aplic e Ingeniería"/>
    <d v="2006-12-13T00:00:00"/>
    <n v="18"/>
    <s v="Antioquia"/>
    <s v="Medellín"/>
    <s v="Mujer"/>
    <s v="Soltero"/>
    <s v="NO"/>
    <s v="NO"/>
    <n v="0"/>
    <s v="NO"/>
    <s v="NA"/>
    <s v="NO"/>
    <s v="NA"/>
    <s v="NO"/>
    <s v="NA"/>
    <s v="No"/>
    <s v="300/612-5475"/>
    <s v="573006125466"/>
    <s v="Estrato 4"/>
    <s v="CRA 84#34B 120"/>
    <s v="Antioquia"/>
    <s v="Medellín"/>
    <s v="No aplica, no soy foráneo"/>
    <s v="Familiar"/>
    <s v="SI"/>
    <s v="2024"/>
    <s v="AC202435652474"/>
    <n v="367"/>
    <n v="75"/>
    <n v="64"/>
    <s v="Privada"/>
    <s v="COLEGIO ALEMAN"/>
    <n v="2024"/>
    <s v="Antioquia"/>
    <s v="Itagui"/>
    <s v="BACHILLER"/>
    <n v="0"/>
    <s v="TIPO: Privada, INSTITUCION: COLEGIO ALEMAN, AÑO: 2024, CIUDAD: Itagui, TITULO: BACHILLER"/>
    <s v="12"/>
    <s v="Escala de 0 - 10"/>
    <s v="Escala de 0 - 10"/>
    <s v="9,3"/>
    <s v="9"/>
    <m/>
    <s v="9,1"/>
    <s v="8,9"/>
    <m/>
    <n v="9.1"/>
    <n v="8.8000000000000007"/>
    <m/>
    <n v="9"/>
    <n v="7.4"/>
    <m/>
    <s v="9,7"/>
    <s v="9,3"/>
    <m/>
    <s v="8,7"/>
    <s v="8,7"/>
    <m/>
    <s v="8,7"/>
    <s v="8"/>
    <m/>
    <s v="De 9 y 10"/>
    <n v="8.5749999999999993"/>
    <s v="NO"/>
    <s v="NA"/>
    <n v="0"/>
    <n v="0"/>
    <s v="No"/>
    <n v="50"/>
    <m/>
    <n v="50"/>
    <m/>
    <n v="50"/>
    <m/>
    <s v="Admitida al programa que se inscribió"/>
    <n v="50"/>
    <s v="Con detalle por componente"/>
    <s v="Artísticas o culturales,Espacios de liderazgo o representación social"/>
    <s v="Ejerciendo la carrera de IDP, me veo diseñando  juguetes o joyeria. Ya que siempre han sido productos que me llaman la atención, tanto en el proceso de creación como el proceso creativo que conlleva. Añadiendo el hecho de que este pregrado me parece demasiado interesante ya que combina las ciencias exactas con las artes que son tan importantes para mi. Debido al enfoque artístico que tiene la carrera en un futuro me gustaría apoyar diferentes proyectos o exposiciones para personas con talentos extraordinarios en el área artística, la cual creo que es un pilar en esta sociedad. Debido a esto me gustaría obtener la beca, no solo para poder tener la oportunidad de estudiar algo que me parece extraordinario e interesante, sino también para en un futuro apoyar a niños o adultos que tengan ese potencial pero no lo puedan alcanzar."/>
    <s v="Referencias familiares"/>
    <s v="Por recomendación."/>
    <s v="Recomendación."/>
    <n v="2"/>
    <s v="0"/>
    <s v="SI"/>
    <s v="NO"/>
    <s v="Entre 4 y 5 millones"/>
    <s v="No"/>
    <s v="SI"/>
    <n v="0"/>
    <m/>
    <s v="SI"/>
    <s v="Beca"/>
    <s v="NO"/>
    <s v=""/>
    <s v=""/>
    <s v="Si"/>
    <s v="Juan Carlos Castrillon Jimenez"/>
    <s v="Casado"/>
    <s v="UNIVERSITARIOS"/>
    <s v="63"/>
    <s v="Ingeniero Mecánico"/>
    <s v="Pensionado"/>
    <s v="Pensionado"/>
    <s v="Ninguna"/>
    <n v="3700000"/>
    <s v="Si"/>
    <s v="NO"/>
    <s v="NO"/>
    <s v="Está en proceso de pensionarse en junio 2025."/>
    <s v="Si"/>
    <s v="Heidy Elsa Pineda Gonzalez"/>
    <s v="Soltero"/>
    <s v="MAESTRÍA"/>
    <s v="61"/>
    <s v="Ingeniera de Producción"/>
    <s v="Rentista Capital"/>
    <s v="Rentista capital"/>
    <s v="En el hogar"/>
    <n v="1750000"/>
    <s v="Si"/>
    <s v="NO"/>
    <s v="SI"/>
    <s v="Está pronta a pensionarse, aproximadamente inicios 2026."/>
    <n v="5450000"/>
    <s v="No, solo vivo con mis padres"/>
    <s v=""/>
    <s v=""/>
    <s v=""/>
    <s v=""/>
    <s v=""/>
    <m/>
    <s v=""/>
    <s v=""/>
    <s v=""/>
    <s v=""/>
    <s v=""/>
    <s v=""/>
    <m/>
    <s v=""/>
    <s v=""/>
    <s v=""/>
    <s v=""/>
    <s v=""/>
    <s v=""/>
    <m/>
    <s v=""/>
    <s v=""/>
    <n v="0"/>
    <n v="200000000"/>
    <n v="0"/>
    <n v="220000000"/>
    <n v="0"/>
    <s v="Si"/>
    <s v="Mazda"/>
    <s v="1992"/>
    <n v="5000000"/>
    <s v="No"/>
    <s v=""/>
    <s v=""/>
    <n v="0"/>
    <s v="Si"/>
    <s v="Carro"/>
    <s v="chevrolet"/>
    <s v="2014"/>
    <n v="28000000"/>
    <m/>
    <n v="4"/>
    <n v="3"/>
    <n v="4"/>
    <n v="4"/>
    <n v="2"/>
    <n v="3"/>
    <n v="3"/>
    <n v="2"/>
    <n v="4"/>
    <n v="3"/>
    <n v="32"/>
    <s v="SI"/>
    <m/>
    <s v="SI, SON PRI"/>
    <s v="ok tienen todos los datos"/>
    <e v="#N/A"/>
    <e v="#N/A"/>
    <m/>
    <n v="3"/>
    <n v="4"/>
    <n v="4"/>
    <n v="15"/>
    <n v="15"/>
    <n v="10"/>
    <n v="20"/>
    <n v="13.5"/>
    <n v="10.5"/>
    <n v="74.5"/>
    <n v="0.4"/>
    <n v="0.4"/>
    <n v="2"/>
    <n v="3.5"/>
    <n v="3"/>
    <n v="2"/>
    <n v="2"/>
    <n v="3.5"/>
    <n v="6"/>
    <n v="2"/>
    <n v="77.5"/>
    <n v="0.4"/>
    <s v="Negado"/>
    <e v="#N/A"/>
    <m/>
    <m/>
    <n v="0"/>
    <m/>
    <m/>
    <s v="Ingeniería Diseño de Producto"/>
    <e v="#N/A"/>
    <m/>
    <e v="#N/A"/>
  </r>
  <r>
    <s v="CC"/>
    <n v="1034990639"/>
    <s v="1000408048"/>
    <s v="SARA ISABEL SOSSA GONZÁLEZ"/>
    <s v="Estudios por primera vez"/>
    <x v="1"/>
    <s v="Descartado por PG y pregrado"/>
    <m/>
    <s v="En publico objetivo"/>
    <s v="2da Cohorte"/>
    <s v="Admitido"/>
    <s v="sisossag@eafit.edu.co"/>
    <e v="#N/A"/>
    <s v="saritasossa@gmail.com"/>
    <s v="573226756181"/>
    <d v="2025-05-16T00:00:00"/>
    <s v="Activo en Programa"/>
    <s v="199-Finanzas"/>
    <s v="E.Finanzas, Economía, Gobierno"/>
    <d v="2007-01-28T00:00:00"/>
    <n v="18"/>
    <s v="Antioquia"/>
    <s v="Medellín"/>
    <s v="Mujer"/>
    <s v="Soltero"/>
    <s v="NO"/>
    <s v="NO"/>
    <n v="0"/>
    <s v="NO"/>
    <s v="NA"/>
    <s v="NO"/>
    <s v="NA"/>
    <s v="NO"/>
    <s v="NA"/>
    <s v="No"/>
    <s v="No hay"/>
    <s v="573226756181"/>
    <s v="Estrato 2"/>
    <s v="CR 54 47 14 BRR PIEDRAS BLANCAS"/>
    <s v="Antioquia"/>
    <s v="Copacabana"/>
    <s v="No aplica, no soy foráneo"/>
    <s v="Arriendo"/>
    <s v="SI"/>
    <s v="2023"/>
    <s v="AC202342791291"/>
    <n v="333"/>
    <n v="70"/>
    <n v="68"/>
    <s v="Privada"/>
    <s v="COL ADVENTISTA DEL NORTE"/>
    <n v="2023"/>
    <s v="Bogotá"/>
    <s v="Bogotá D.C."/>
    <s v="BACHILLER"/>
    <s v="ACAD"/>
    <s v="TIPO: Privada, INSTITUCION: COL ADVENTISTA DEL NORTE, AÑO: 2023, CIUDAD: Bogotá D.C., TITULO: BACHILLER"/>
    <s v="11"/>
    <s v="Escala de 0 - 10"/>
    <s v="Escala de 0 - 10"/>
    <s v="8"/>
    <s v="9"/>
    <m/>
    <s v="8"/>
    <s v="9"/>
    <m/>
    <n v="8"/>
    <n v="9"/>
    <m/>
    <n v="9"/>
    <n v="9"/>
    <m/>
    <s v="9"/>
    <s v="10"/>
    <m/>
    <s v="10"/>
    <s v="10"/>
    <m/>
    <s v="10"/>
    <s v="10"/>
    <m/>
    <s v="De 9 y 10"/>
    <n v="8.75"/>
    <s v="NO"/>
    <s v="NA"/>
    <n v="0"/>
    <n v="0"/>
    <s v="No"/>
    <n v="40"/>
    <s v="voleibol"/>
    <n v="40"/>
    <m/>
    <n v="40"/>
    <m/>
    <s v="Se graduó en el 2023_x000a_Trabaja en una joyería _x000a_Puntaje saber 11-333_x000a_Quiere trabajar en la banca"/>
    <n v="40"/>
    <s v="Con detalle por componente"/>
    <s v="Trabajo social o comunitario"/>
    <s v="He sido admitida al programa de Finanzas, la cual es una carrera que me entusiasma profundamente y con la que, asimismo, aspiro a construir un futuro sólido y significativo._x000a_Mi motivación para estudiar Finanzas nace del interés por entender cómo funciona el mundo económico y por el deseo de contribuir, a través de la toma de decisiones financieras, al crecimiento de organizaciones._x000a_Me visualizo ejerciendo la profesión de Finanzas con una fuerte ética profesional y compromiso social. Me gustaría generar un impacto positivo en mi región. Como profesional en esta área, aspiro a convertirme en un agente de cambio, ayudando a personas, pequeñas empresas, emprendimientos y organizaciones a tomar decisiones financieras más informadas, sostenibles y estratégicas._x000a_Considero que en muchas regiones como la mía existen grandes oportunidades de crecimiento, pero también existen limitaciones marcadas por la falta de educación financiera o acceso a herramientas económicas básicas._x000a_Mi objetivo es aportar al desarrollo económico local, fomentando una cultura de ahorro, inversión responsable y eficaz, y emprendimiento. Deseo enfocarme en la gestión financiera para poder llevar a cabo este objetivo._x000a_A través de la obtención de esta beca, además de la oportunidad de poder formarme en una universidad de calidad, también podré adquirir los conocimientos y desarrollar las capacidades necesarias para aplicarlos al servicio de mi comunidad, alcanzando asimismo mis metas profesionales."/>
    <s v="Amigos"/>
    <s v="Por la calidad académica."/>
    <s v="Vocación."/>
    <n v="6"/>
    <s v="3"/>
    <s v="SI"/>
    <s v="NO"/>
    <s v="Entre 4 y 5 millones"/>
    <s v="Si"/>
    <n v="0"/>
    <n v="0"/>
    <m/>
    <s v="SI"/>
    <s v="Beca"/>
    <s v="NO"/>
    <s v=""/>
    <s v=""/>
    <s v="Si"/>
    <s v="Edgar Armando Sossa Malagón"/>
    <s v="Soltero"/>
    <s v="LINCENCIATURA"/>
    <s v="46"/>
    <s v="Licenciatura en Deportes"/>
    <s v="Emprendedor (inicia un proyecto productivo o negocio propio)"/>
    <s v="Profesor"/>
    <s v="Evolution FC"/>
    <n v="1450000"/>
    <s v="No"/>
    <s v="NO"/>
    <s v="NO"/>
    <s v=""/>
    <s v="Si"/>
    <s v="Yulieth Angélica González Ávila"/>
    <s v="Casado"/>
    <s v="BACHILLERATO"/>
    <s v="45"/>
    <s v="ama de casa"/>
    <s v="Labores del hogar y cuidado"/>
    <s v="Ama de casa"/>
    <s v="El hogar"/>
    <n v="0"/>
    <s v="No"/>
    <s v="NO"/>
    <s v="NO"/>
    <m/>
    <n v="1450000"/>
    <s v="Si"/>
    <s v="VANESSA ESCUDERO PARRA"/>
    <s v="Tío / Tía"/>
    <s v="37"/>
    <s v="Trabajador Independiente"/>
    <s v="Empresa Luxur Design"/>
    <n v="2000000"/>
    <s v="Si"/>
    <s v="JEFFERSON GONZALEZ AVILA"/>
    <s v="Tío / Tía"/>
    <s v="40"/>
    <s v="Trabajador Independiente"/>
    <s v="Empresa Luxur Design"/>
    <n v="3000000"/>
    <s v="Si"/>
    <s v="ANA MARIA GONZÁLEZ ESCUDERO"/>
    <s v="Primos"/>
    <s v="15"/>
    <s v="Estudiante"/>
    <s v="Institución Educativa San Judas Tadeo ( Cra. 75 #21-60 )"/>
    <n v="0"/>
    <s v="No"/>
    <s v="Vivo con mis tios, mis 3 primas y la abuela de mis primas"/>
    <n v="0"/>
    <n v="0"/>
    <n v="0"/>
    <n v="0"/>
    <n v="0"/>
    <s v="Si"/>
    <s v="Nissan Pathfinder"/>
    <s v="2006"/>
    <n v="35000000"/>
    <s v="No"/>
    <s v=""/>
    <s v=""/>
    <n v="0"/>
    <s v="No"/>
    <s v=""/>
    <s v=""/>
    <s v=""/>
    <n v="0"/>
    <m/>
    <n v="4"/>
    <n v="3"/>
    <n v="4"/>
    <n v="4"/>
    <n v="4"/>
    <n v="3"/>
    <n v="4"/>
    <n v="4"/>
    <n v="4"/>
    <n v="4"/>
    <n v="38"/>
    <s v="SI"/>
    <m/>
    <s v="SI, SON PRI"/>
    <s v="ok tienen todos los datos"/>
    <e v="#N/A"/>
    <e v="#N/A"/>
    <m/>
    <n v="2"/>
    <n v="10"/>
    <n v="10"/>
    <n v="10"/>
    <n v="15"/>
    <n v="15"/>
    <n v="10"/>
    <n v="18.5"/>
    <n v="18.5"/>
    <n v="78.5"/>
    <n v="0.6"/>
    <m/>
    <n v="2"/>
    <n v="4.5"/>
    <n v="8"/>
    <n v="4"/>
    <n v="2"/>
    <n v="4"/>
    <n v="8"/>
    <n v="4.5"/>
    <n v="78.5"/>
    <n v="0.7"/>
    <n v="0.7"/>
    <e v="#N/A"/>
    <m/>
    <m/>
    <n v="0"/>
    <m/>
    <m/>
    <s v="Finanzas"/>
    <e v="#N/A"/>
    <s v="199"/>
    <e v="#N/A"/>
  </r>
  <r>
    <s v="CC"/>
    <n v="1034990683"/>
    <s v="1000047830"/>
    <s v="VALENTINA MONCADA BEDOYA"/>
    <s v="Estudios por primera vez"/>
    <x v="4"/>
    <s v="Descartado por propiedades"/>
    <m/>
    <s v="En publico objetivo"/>
    <s v="3ra Cohorte"/>
    <s v="Admitido"/>
    <s v="vmoncadab@eafit.edu.co"/>
    <s v="vmoncadab@eafit.edu.co"/>
    <s v="valentinamoncada16@gmail.com"/>
    <s v="321/833-6313"/>
    <d v="2025-05-30T00:00:00"/>
    <s v="Activo en Programa"/>
    <s v="169-Mercadeo"/>
    <s v="Escuela de Administración"/>
    <d v="2007-02-16T00:00:00"/>
    <n v="18"/>
    <s v="Antioquia"/>
    <s v="Medellín"/>
    <s v="Mujer"/>
    <s v="Soltero"/>
    <s v="NO"/>
    <s v="NO"/>
    <n v="0"/>
    <s v="NO"/>
    <s v="NA"/>
    <s v="NO"/>
    <s v="NA"/>
    <s v="NO"/>
    <s v="NA"/>
    <s v="No"/>
    <s v="311/326-6186"/>
    <s v="321/833-6313"/>
    <s v="Estrato 3"/>
    <s v="CR 59#70 125"/>
    <s v="Antioquia"/>
    <s v="Itagui"/>
    <s v="No aplica, no soy foráneo"/>
    <s v="Arriendo"/>
    <s v="SI"/>
    <s v="2024"/>
    <s v="AC202433189834"/>
    <n v="303"/>
    <n v="60"/>
    <n v="64"/>
    <s v="Privada"/>
    <s v="COLEGIO SAN JOSÉ DE LA SALLE"/>
    <n v="2024"/>
    <s v="Antioquia"/>
    <s v="Medellín"/>
    <s v="BACHILLER"/>
    <s v="ACAD"/>
    <s v="TIPO: Privada, INSTITUCION: COLEGIO SAN JOSÉ DE LA SALLE, AÑO: 2024, CIUDAD: Medellín, TITULO: BACHILLER"/>
    <s v="11"/>
    <s v="Escala de 0 - 5"/>
    <s v="Escala de 0 - 5"/>
    <s v="4"/>
    <s v="3,8"/>
    <m/>
    <s v="3,8"/>
    <s v="3,8"/>
    <m/>
    <n v="3.7"/>
    <n v="4"/>
    <m/>
    <n v="4"/>
    <n v="4.5"/>
    <m/>
    <s v="3,7"/>
    <s v="4"/>
    <m/>
    <s v="4"/>
    <s v="4"/>
    <m/>
    <s v="4"/>
    <s v="4"/>
    <m/>
    <s v="De 9 y 10"/>
    <n v="4.05"/>
    <s v="NO"/>
    <s v="NA"/>
    <n v="0"/>
    <n v="0"/>
    <s v="No"/>
    <n v="50"/>
    <m/>
    <n v="50"/>
    <m/>
    <n v="50"/>
    <m/>
    <m/>
    <n v="50"/>
    <s v="Con detalle por componente"/>
    <s v="Trabajo social o comunitario,Deportistas de alto rendimiento o representativo"/>
    <s v="Desde que descubrí mi pasión por unir ideas con personas y soluciones con necesidades reales, supe que el mercadeo era el camino perfecto para mí. Hoy, como futura estudiante del pregrado en Mercadeo en la Universidad EAFIT, me imagino liderando estrategias comerciales que transformen empresas y contribuyan al desarrollo económico de mi entorno. Me visualizo ejerciendo roles como gerente comercial, líder de producto o consultora de mercadeo para pequeñas y medianas empresas, utilizando el conocimiento adquirido en la universidad para impulsar marcas, generar empleo y ofrecer soluciones creativas e innovadoras al mercado._x000a__x000a_Soy una persona muy creativa, y deseo que esa creatividad se refleje en propuestas de valor que mejoren la vida de las personas. Como joven de Medellín, sueño con apoyar a los emprendedores de mi ciudad, dándoles herramientas para posicionar sus negocios y competir en el mercado. Muchas veces, lo que falta no es talento, sino acceso a educación y asesoría profesional, y quiero ser parte activa de ese cambio._x000a__x000a_Esta beca representa para mí la oportunidad de estudiar con excelencia, sin que el aspecto económico sea un obstáculo, y así convertirme en una profesional comprometida que lleve lo aprendido en EAFIT más allá del aula y lo ponga al servicio de quienes más lo necesitan. Además, sería un gran motivo de orgullo para mis padres, quienes siempre han creído en mí, poder decir que gracias a mi esfuerzo y dedicación logré obtener una beca que no solo transformará mi vida, sino que también me permitirá transformar la vida de otros a través del mercadeo."/>
    <s v="A través del Colegio"/>
    <s v="Por la calidad académica."/>
    <s v="Vocación."/>
    <n v="3"/>
    <s v="2"/>
    <s v="NO"/>
    <s v="NO"/>
    <s v="Menos de 1millón"/>
    <s v="Si"/>
    <n v="0"/>
    <n v="0"/>
    <m/>
    <s v="SI"/>
    <s v="Beca"/>
    <s v="NO"/>
    <s v=""/>
    <s v=""/>
    <s v="Si"/>
    <s v="Diego Fernando Moncada Meneses"/>
    <s v="Otro"/>
    <m/>
    <s v="50"/>
    <s v="Abogado"/>
    <s v="Independiente (trabaja por cuenta propia)"/>
    <s v="Independiente"/>
    <s v="N/A"/>
    <n v="2700000"/>
    <s v="No"/>
    <s v="NO"/>
    <s v="SI"/>
    <s v=""/>
    <s v="Si"/>
    <s v="Marleny Del Socorro Bedoya Ruiz"/>
    <s v="Casado"/>
    <s v="TÉCNICA"/>
    <s v="57"/>
    <s v="Técnica en procedimientos judiciales"/>
    <s v="Labores del hogar y cuidado"/>
    <s v="Ama de casa"/>
    <s v="N/A"/>
    <n v="0"/>
    <s v="No"/>
    <s v="NO"/>
    <s v="NO"/>
    <m/>
    <n v="2700000"/>
    <s v="Si"/>
    <s v="Alejandra Bedoya Ruiz"/>
    <s v="Tío / Tía"/>
    <s v="45"/>
    <s v="Ama de casa"/>
    <s v="N/A"/>
    <n v="1423000"/>
    <s v="Si"/>
    <s v="David Moncada"/>
    <s v="Hermano / Hermana"/>
    <s v="18"/>
    <s v="Estudiante"/>
    <s v="Idiomas EAFIT"/>
    <n v="0"/>
    <s v="No"/>
    <s v=""/>
    <s v=""/>
    <s v=""/>
    <s v=""/>
    <s v=""/>
    <m/>
    <s v=""/>
    <s v=""/>
    <n v="200000000"/>
    <n v="700000000"/>
    <n v="0"/>
    <n v="0"/>
    <n v="0"/>
    <s v="Si"/>
    <s v="Toyota"/>
    <s v="2014"/>
    <n v="80000000"/>
    <s v="Si"/>
    <s v="Chevrolet"/>
    <s v="2013"/>
    <n v="60000000"/>
    <s v="No"/>
    <s v=""/>
    <s v=""/>
    <s v=""/>
    <n v="0"/>
    <s v="Vehículo bajo prenda"/>
    <n v="4"/>
    <n v="4"/>
    <n v="4"/>
    <n v="4"/>
    <n v="4"/>
    <n v="4"/>
    <n v="4"/>
    <n v="4"/>
    <n v="4"/>
    <n v="4"/>
    <n v="40"/>
    <s v="SI"/>
    <m/>
    <s v="SI, SON PRI"/>
    <s v="ok tienen todos los datos"/>
    <e v="#N/A"/>
    <e v="#N/A"/>
    <m/>
    <n v="3"/>
    <n v="10"/>
    <n v="8"/>
    <n v="5"/>
    <n v="15"/>
    <n v="15"/>
    <n v="20"/>
    <n v="13"/>
    <n v="13.5"/>
    <n v="78.5"/>
    <n v="0.4"/>
    <m/>
    <n v="2"/>
    <n v="3.5"/>
    <n v="8"/>
    <n v="0"/>
    <n v="2"/>
    <n v="3"/>
    <n v="8"/>
    <n v="0"/>
    <n v="76"/>
    <n v="0.4"/>
    <s v="Negado"/>
    <e v="#N/A"/>
    <m/>
    <m/>
    <n v="0"/>
    <m/>
    <m/>
    <s v="Mercadeo"/>
    <e v="#N/A"/>
    <m/>
    <e v="#N/A"/>
  </r>
  <r>
    <s v="CC"/>
    <n v="1034990684"/>
    <s v="1000047829"/>
    <s v="DAVID MONCADA BEDOYA"/>
    <s v="Estudios por primera vez"/>
    <x v="4"/>
    <s v="Descartado por propiedades"/>
    <m/>
    <s v="En publico objetivo"/>
    <s v="3ra Cohorte"/>
    <s v="Admitido"/>
    <s v="dmoncadab@eafit.edu.co"/>
    <s v="dmoncadab@eafit.edu.co"/>
    <s v="davidmonbe16@gmail.com"/>
    <s v="322/667-8330"/>
    <d v="2025-05-30T00:00:00"/>
    <s v="Activo en Programa"/>
    <s v="001-Administración de Negocios"/>
    <s v="Escuela de Administración"/>
    <d v="2007-02-16T00:00:00"/>
    <n v="18"/>
    <s v="Antioquia"/>
    <s v="Medellín"/>
    <s v="Hombre"/>
    <s v="Soltero"/>
    <s v="NO"/>
    <s v="NO"/>
    <n v="0"/>
    <s v="NO"/>
    <s v="NA"/>
    <s v="NO"/>
    <s v="NA"/>
    <s v="NO"/>
    <s v="NA"/>
    <s v="No"/>
    <s v="311/326-6186"/>
    <s v="322/667-8330"/>
    <s v="Estrato 3"/>
    <s v="Cra 59#70-125"/>
    <s v="Antioquia"/>
    <s v="Itagui"/>
    <s v="No aplica, no soy foráneo"/>
    <s v="Arriendo"/>
    <s v="SI"/>
    <s v="2024"/>
    <s v="AC202433189933"/>
    <n v="350"/>
    <n v="66"/>
    <n v="74"/>
    <s v="Privada"/>
    <s v="COLEGIO SAN JOSÉ DE LA SALLE"/>
    <n v="2024"/>
    <s v="Antioquia"/>
    <s v="Medellín"/>
    <s v="BACHILLER"/>
    <s v="ACAD"/>
    <s v="TIPO: Privada, INSTITUCION: COLEGIO SAN JOSÉ DE LA SALLE, AÑO: 2024, CIUDAD: Medellín, TITULO: BACHILLER"/>
    <s v="11"/>
    <s v="Escala de 0 - 5"/>
    <s v="Escala de 0 - 5"/>
    <s v="4,1"/>
    <s v="4"/>
    <m/>
    <s v="4,5"/>
    <s v="4"/>
    <m/>
    <n v="4.5"/>
    <n v="3.9"/>
    <m/>
    <n v="4"/>
    <n v="4"/>
    <m/>
    <s v="4"/>
    <s v="4,1"/>
    <m/>
    <s v="4,3"/>
    <s v="4,3"/>
    <m/>
    <s v="4,5"/>
    <s v="4,5"/>
    <m/>
    <s v="De 9 y 10"/>
    <n v="4.0999999999999996"/>
    <s v="NO"/>
    <s v="NA"/>
    <n v="0"/>
    <n v="0"/>
    <s v="No"/>
    <n v="45"/>
    <m/>
    <n v="45"/>
    <m/>
    <n v="45"/>
    <m/>
    <s v="se graduó del colegio San jose, juega futbol en Leones pero tuvo una lesión y está en recuperación dependiendo de esto tomará la decisión de volver a jugar... le gusta Administración porque tiene varios campos de acción, su hermana estudió ingen. civil y le recomendó la u"/>
    <n v="45"/>
    <s v="Con detalle por componente"/>
    <s v="Deportistas de alto rendimiento o representativo,Espacios de liderazgo o representación social,Trabajo social o comunitario"/>
    <s v="Desde muy joven he tenido un fuerte interés por el liderazgo, la innovación y el impacto positivo que una buena gestión puede generar en las personas y en los territorios. Desde el colegio siempre fui activo participativamente siendo el personero estudiantil de mi colegio y representándolo en diferentes concursos de oratoria, torneos de futbol y debates. Elegí estudiar Administración de Negocios, porque estoy convencido de que, a través de esta profesión, puedo impulsar proyectos sostenibles, fortalecer emprendimientos y generar oportunidades para el desarrollo económico y social de mi comunidad._x000a__x000a_Me visualizo como un profesional comprometido con la transformación de mi región, liderando empresas o iniciativas que integren responsabilidad social, eficiencia y creatividad. Me visualizo como el audaz emprendedor que es mi padre, que con esfuerzo y mucho amor desde su negocio en el municipio de Tarso, Antioquia de menos de 5.000 habitantes ha logrado brindarle estudio y algunas comodidades a sus 3 hijos, con este gran ejemplo de mi papá y ejerciendo la profesión que elegí sueño con crear una empresa que sea rentable, que también contribuya al bienestar, generando empleo digno y promoviendo el talento. También me gustaría acompañar a pequeños emprendedores en la estructuración de sus ideas de negocio, brindándoles herramientas que les permitan crecer y mantenerse en el tiempo._x000a__x000a_Obtener esta beca sería una oportunidad invaluable para mi y mi familia, no contamos con los recursos para costear la universidad de mi hermana melliza y yo y acceder a esta beca me permitiría acceder a una educación de calidad en la que considero la universidad ideal, esta ayuda me daría la posibilidad de formarme sin que las barreras económicas frenen mis aspiraciones. Estoy seguro de que con el conocimiento y con las herramientas adquiridas podré regresar a mi región con la capacidad de liderar cambios concretos, aportar a la economía local y ser un ejemplo para otros jóvenes que, como yo, sueñan con transformar su realidad a través de la educación."/>
    <s v="A través del Colegio"/>
    <s v="Por la calidad académica."/>
    <s v="Alta empleabilidad."/>
    <n v="3"/>
    <s v="2"/>
    <s v="NO"/>
    <s v="NO"/>
    <s v="Menos de 1millón"/>
    <s v="Si"/>
    <n v="0"/>
    <s v="NO"/>
    <m/>
    <s v="SI"/>
    <s v="Beca"/>
    <s v="NO"/>
    <s v=""/>
    <s v=""/>
    <s v="Si"/>
    <s v="Diego Fernando Moncada Meneses"/>
    <s v="Otro"/>
    <m/>
    <s v="50"/>
    <s v="Abogado"/>
    <s v="Independiente (trabaja por cuenta propia)"/>
    <s v="Independiente"/>
    <s v="N/A"/>
    <n v="2700000"/>
    <s v="No"/>
    <s v="NO"/>
    <s v="SI"/>
    <s v=""/>
    <s v="Si"/>
    <s v="Marleny Del Socorro Bedoya Ruiz"/>
    <s v="Casado"/>
    <s v="TÉCNICA"/>
    <s v="57"/>
    <s v="Técnica en procedimientos judiciales"/>
    <s v="Labores del hogar y cuidado"/>
    <s v="Ama de casa"/>
    <s v="N/A"/>
    <n v="0"/>
    <s v="No"/>
    <s v="NO"/>
    <s v="NO"/>
    <m/>
    <n v="2700000"/>
    <s v="Si"/>
    <s v="Alejandra Bedoya Ruiz"/>
    <s v="Tío / Tía"/>
    <s v="45"/>
    <s v="Ama de casa"/>
    <s v="N/A"/>
    <n v="1423000"/>
    <s v="Si"/>
    <s v="Valentina Moncada Bedoya"/>
    <s v="Hermano / Hermana"/>
    <s v="18"/>
    <s v="Estudiante"/>
    <s v="Idiomas EAFIT"/>
    <n v="0"/>
    <s v="No"/>
    <s v=""/>
    <s v=""/>
    <s v=""/>
    <s v=""/>
    <s v=""/>
    <m/>
    <s v=""/>
    <s v="En el momento mi hermana Valentina y yo vivimos con Alejandra, nuestra tía y no con nuestros padres debido a una situación económica difícil por la que estamos pasando, mis padres viven ahora en el municipio donde está ubicado el negocio familiar y decidieron dejarnos con nuestra tía en itagüi para poder estudiar en la universidad."/>
    <n v="200000000"/>
    <n v="700000000"/>
    <n v="0"/>
    <n v="0"/>
    <n v="0"/>
    <s v="Si"/>
    <s v="Toyota"/>
    <s v="2014"/>
    <n v="80000000"/>
    <s v="Si"/>
    <s v="Chevrolet"/>
    <s v="2013"/>
    <n v="60000000"/>
    <s v="No"/>
    <s v=""/>
    <s v=""/>
    <s v=""/>
    <n v="0"/>
    <s v="Vehículo toyota bajo prenda"/>
    <n v="4"/>
    <n v="4"/>
    <n v="4"/>
    <n v="4"/>
    <n v="4"/>
    <n v="4"/>
    <n v="4"/>
    <n v="4"/>
    <n v="4"/>
    <n v="4"/>
    <n v="40"/>
    <s v="SI"/>
    <m/>
    <s v="SI, SON PRI"/>
    <s v="ok tienen todos los datos"/>
    <e v="#N/A"/>
    <e v="#N/A"/>
    <m/>
    <n v="3"/>
    <n v="10"/>
    <n v="8"/>
    <n v="10"/>
    <n v="15"/>
    <n v="15"/>
    <n v="15"/>
    <n v="13"/>
    <n v="13.5"/>
    <n v="78.5"/>
    <n v="0.4"/>
    <m/>
    <n v="2"/>
    <n v="3.5"/>
    <n v="8"/>
    <n v="0"/>
    <n v="2"/>
    <n v="3"/>
    <n v="8"/>
    <n v="0"/>
    <n v="76"/>
    <n v="0.4"/>
    <s v="Negado"/>
    <e v="#N/A"/>
    <m/>
    <m/>
    <n v="0"/>
    <m/>
    <m/>
    <s v="Administración de Negocios"/>
    <e v="#N/A"/>
    <m/>
    <e v="#N/A"/>
  </r>
  <r>
    <s v="CC"/>
    <n v="1034990739"/>
    <s v="1000382147"/>
    <s v="RAQUEL RESTREPO HERRERA"/>
    <s v="Estudios por primera vez"/>
    <x v="1"/>
    <s v="Descartado por ingresos altos"/>
    <m/>
    <s v="En publico objetivo"/>
    <s v="1er Cohorte"/>
    <s v="Admitido"/>
    <s v="rrestrepoh@eafit.edu.co"/>
    <s v="rrestrepoh@eafit.edu.co"/>
    <s v="raquelrestrepoh@gmail.com"/>
    <s v="573186935461"/>
    <d v="2025-04-25T00:00:00"/>
    <s v="Activo en Programa"/>
    <s v="237-Diseño Interactivo"/>
    <s v="Escuela de Artes y Humanidades"/>
    <d v="2007-03-01T00:00:00"/>
    <n v="18"/>
    <s v="Antioquia"/>
    <s v="Medellín"/>
    <s v="Mujer"/>
    <s v="Soltero"/>
    <s v="NO"/>
    <s v="NO"/>
    <n v="0"/>
    <s v="NO"/>
    <s v="NA"/>
    <s v="NO"/>
    <s v="NA"/>
    <s v="NO"/>
    <s v="NA"/>
    <s v="No"/>
    <s v="288-7274"/>
    <s v="573186935461"/>
    <s v="Estrato 3"/>
    <s v="CL 71 SUR 43 A 45"/>
    <s v="Antioquia"/>
    <s v="Sabaneta"/>
    <s v="No aplica, no soy foráneo"/>
    <s v="Arriendo"/>
    <s v="SI"/>
    <s v="2024"/>
    <s v="AC202433411519"/>
    <n v="351"/>
    <n v="73"/>
    <n v="66"/>
    <s v="Privada"/>
    <s v="COL SAN JOSE DE LAS VEGAS"/>
    <n v="2024"/>
    <s v="Antioquia"/>
    <s v="Medellín"/>
    <s v="BACHILLER"/>
    <s v="ACAD"/>
    <m/>
    <s v="11"/>
    <s v="Escala de 0 - 5"/>
    <s v="Escala de 0 - 5"/>
    <s v="4,28"/>
    <s v="4,78"/>
    <m/>
    <s v="3,9"/>
    <s v="4,28"/>
    <m/>
    <n v="4.18"/>
    <n v="3.95"/>
    <m/>
    <n v="4.1500000000000004"/>
    <n v="4"/>
    <m/>
    <s v="4,25"/>
    <s v="4,28"/>
    <m/>
    <s v="4,53"/>
    <s v="5"/>
    <m/>
    <s v="4,5"/>
    <s v="4,5"/>
    <m/>
    <s v="De 9 y 10"/>
    <n v="4.07"/>
    <s v="NO"/>
    <s v="NA"/>
    <n v="0"/>
    <n v="0"/>
    <s v="No"/>
    <n v="50"/>
    <m/>
    <n v="45"/>
    <m/>
    <n v="50"/>
    <m/>
    <s v="Becada por Comfama para recibir formación en Animación 3D. Necesita información sobre apoyo financiero y oportunidades de becas."/>
    <n v="48.333333333333336"/>
    <s v="Con detalle por componente"/>
    <s v="Artísticas o culturales"/>
    <s v="Desde que soy pequeña, el dibujo siempre ha estado presente en mi cotidianidad. Participé en todas las extra-clases que ofrecía mi colegio sobre pintura y caricatura, lo que alimentó cada vez más mi deseo de desempeñarme en un campo creativo. Además, los videojuegos llamaron mi atención, pero más que la jugabilidad, me interesaban y me inquietaban mucho el desarrollo de personajes, las historias, las animaciones y el tiempo que llevaba completar un proyecto de tal magnitud._x000a_Fue en el grado once que descubrí la carrera de Diseño Interactivo. Me emocionó poder unir en una sola profesión todo lo que me apasiona. Quiero aprender, crecer en la industria de los videojuegos y llegar a ser parte de un gran proyecto, ya sea un juego o una película. Disfruto profundamente el proceso creativo y realmente no me visualizo en otra profesión que no sea esta. _x000a_No es secreto que las mentes creativas suelen vivir bajo el prejuicio de que el arte no da sustento. Sin embargo, siempre se me ha inculcado que, si haces lo que te gusta, el dinero llegará por sí solo. Conozco de primera mano lo difícil que es sostener una familia con recursos limitados y brindarles buena educación. Por eso, quiero poder ser tan buena en lo que me apasiona, que pueda ofrecerle a mi familia una mejor calidad de vida. _x000a_Si obtengo la beca, no solo sería una inversión para mí, sino también para retribuir a mi ciudad. Quiero contribuir con soluciones digitales prácticas a problemas reales. Además, deseo promover el reconocimiento del arte de los jóvenes colombianos con espacios de visibilización e iniciativas de impacto social. Colombia necesita artistas comprometidos con lograr soluciones creativas y estratégicas para construir un futuro mejor."/>
    <s v="Amigos"/>
    <s v="Por la oferta académica."/>
    <s v="Vocación."/>
    <n v="3"/>
    <s v="1"/>
    <s v="SI"/>
    <s v="NO"/>
    <s v="Entre 1 y 2 millones"/>
    <s v="No"/>
    <n v="0"/>
    <n v="0"/>
    <m/>
    <s v="SI"/>
    <s v="Beca"/>
    <s v="NO"/>
    <s v=""/>
    <s v=""/>
    <s v="Si"/>
    <s v="Hernán Darío Restrepo Castro"/>
    <s v="Casado"/>
    <s v="ESPECIALIZACIÓN"/>
    <s v="52"/>
    <s v="Administrador de empresas agropecuarias"/>
    <s v="Empleado (con contrato laboral)"/>
    <s v="Jefe de ventas"/>
    <s v="Casa Toro"/>
    <n v="7080000"/>
    <s v="No"/>
    <s v="NO"/>
    <s v="SI"/>
    <s v="Mi papá estuvo desempleado por más de 1 año, lo que conllevó a que se acumularan deudas en los bancos con gastos como el arriendo, el mercado y los servicios. A principios de este año, después de la separación de mis padres, logró conseguir empleo en Montería, que también le exigía tener que viajar constantemente por todo el país. Cada mes hace una parada en Medellín que dura una semana, y durante esa estadía nos quedamos con él en la casa de mi tía. Mi papá no paga una cuota establecida en mi casa para la ayuda de los gastos, pero cada semana me ayuda a mi y a mi hermana con pasajes, que varía desde los 60mil a los 80 mil."/>
    <s v="Si"/>
    <s v="Mónica María Herrera Yepes"/>
    <s v="Casado"/>
    <s v="ESPECIALIZACIÓN"/>
    <s v="48"/>
    <s v="Ingeniera de alimentos"/>
    <s v="Empleado (con contrato laboral)"/>
    <s v="Líder de logística"/>
    <s v="Antioquia Ventas"/>
    <n v="2750000"/>
    <s v="Si"/>
    <s v="NO"/>
    <s v="SI"/>
    <s v="Tras la separación de mis padres, mi mamá se vio obligada a irse a vivir con mi abuela en sabaneta, pues al volverse la principal fuente de ingresos, fue difícil mantener la calidad de vida que teníamos mi hermana y yo. Mi mamá siempre ha tenido un trabajo estable, pero gracias a las secuelas de la pandemia se vio envuelta en deudas con los bancos, que hasta el día de hoy no ha podido pagar totalmente. Mi mamá con su sueldo y mi abuela con la pensión son las principales proveedoras del hogar; pagan el mercado, los servicios, el arriendo, transporte, extracurriculares y todos los gastos que se presentan en el día a día."/>
    <n v="9830000"/>
    <s v="Si"/>
    <s v="Teresita del Niño Jesús Yepes Rivera"/>
    <s v="Abuelo / Abuela"/>
    <s v="79"/>
    <s v="Ninguna"/>
    <s v="Ninguna"/>
    <n v="5391000"/>
    <s v="Si"/>
    <s v="Isabel Restrepo Herrera"/>
    <s v="Hermano / Hermana"/>
    <s v="15"/>
    <s v="Estudiante"/>
    <s v="Colegio San José de las Vegas"/>
    <n v="0"/>
    <s v="No"/>
    <s v=""/>
    <s v=""/>
    <s v=""/>
    <s v=""/>
    <s v=""/>
    <m/>
    <s v=""/>
    <s v=""/>
    <n v="0"/>
    <n v="0"/>
    <n v="0"/>
    <n v="0"/>
    <n v="0"/>
    <s v="No"/>
    <s v=""/>
    <s v=""/>
    <n v="0"/>
    <s v="No"/>
    <s v=""/>
    <s v=""/>
    <n v="0"/>
    <s v="No"/>
    <s v=""/>
    <s v=""/>
    <s v=""/>
    <n v="0"/>
    <m/>
    <n v="4"/>
    <n v="4"/>
    <n v="4"/>
    <n v="4"/>
    <n v="4"/>
    <n v="3"/>
    <n v="4"/>
    <n v="4"/>
    <n v="4"/>
    <n v="4"/>
    <n v="39"/>
    <s v="SI"/>
    <m/>
    <s v="SI, SON PRI"/>
    <s v="ok tienen todos los datos"/>
    <e v="#N/A"/>
    <e v="#N/A"/>
    <m/>
    <n v="3"/>
    <n v="10"/>
    <n v="8"/>
    <n v="10"/>
    <n v="15"/>
    <n v="15"/>
    <n v="20"/>
    <n v="11.5"/>
    <n v="11.5"/>
    <n v="81.5"/>
    <n v="0.4"/>
    <m/>
    <n v="2"/>
    <n v="4.5"/>
    <n v="1"/>
    <n v="4"/>
    <n v="2"/>
    <n v="4"/>
    <n v="1"/>
    <n v="4.5"/>
    <n v="79.5"/>
    <n v="0.4"/>
    <n v="0.4"/>
    <e v="#N/A"/>
    <m/>
    <m/>
    <n v="0"/>
    <m/>
    <m/>
    <s v="Diseño Interactivo"/>
    <e v="#N/A"/>
    <s v="237"/>
    <e v="#N/A"/>
  </r>
  <r>
    <s v="TI"/>
    <n v="1034991155"/>
    <s v="1000213576"/>
    <s v="JULIANA PEREZ MONTOYA"/>
    <s v="Estudios por primera vez"/>
    <x v="1"/>
    <s v="Descartado por ingresos altos"/>
    <m/>
    <s v="En publico objetivo"/>
    <s v="2da Cohorte"/>
    <s v="Admitido"/>
    <s v="jperezm13@eafit.edu.co"/>
    <e v="#N/A"/>
    <s v="julipemo87@gmail.com"/>
    <s v="313/683-2155"/>
    <d v="2025-05-16T00:00:00"/>
    <s v="Activo en Programa"/>
    <s v="002-Negocios Internacionales"/>
    <s v="Escuela de Administración"/>
    <d v="2007-06-08T00:00:00"/>
    <n v="18"/>
    <s v="Antioquia"/>
    <s v="Medellín"/>
    <s v="Mujer"/>
    <s v="Soltero"/>
    <s v="NO"/>
    <s v="NO"/>
    <n v="0"/>
    <s v="NO"/>
    <s v="NA"/>
    <s v="NO"/>
    <s v="NA"/>
    <s v="NO"/>
    <s v="NA"/>
    <s v="No"/>
    <s v="417-2638"/>
    <s v="313/683-2155"/>
    <s v="Estrato 3"/>
    <s v="AV 23 52 50"/>
    <s v="Antioquia"/>
    <s v="Bello"/>
    <s v="No aplica, no soy foráneo"/>
    <s v="Familiar"/>
    <s v="SI"/>
    <s v="2024"/>
    <s v="AC202437822596"/>
    <n v="309"/>
    <n v="65"/>
    <n v="61"/>
    <s v="Privada"/>
    <s v="COL NAZARET"/>
    <n v="2024"/>
    <s v="Antioquia"/>
    <s v="Bello"/>
    <s v="BACHILLER"/>
    <s v="ACAD"/>
    <s v="TIPO: Privada, INSTITUCION: COL NAZARET, AÑO: 2024, CIUDAD: Bello, TITULO: BACHILLER"/>
    <s v="11"/>
    <s v="Escala de 0 - 5"/>
    <s v="Escala de 0 - 5"/>
    <s v="4,4"/>
    <s v="4,6"/>
    <m/>
    <s v="4,6"/>
    <s v="4,6"/>
    <m/>
    <n v="4.0999999999999996"/>
    <n v="4.5999999999999996"/>
    <m/>
    <n v="4.2"/>
    <n v="4.4000000000000004"/>
    <m/>
    <s v="4,3"/>
    <s v="4,3"/>
    <m/>
    <s v="4,5"/>
    <s v="4,6"/>
    <m/>
    <s v="4,9"/>
    <s v="4,3"/>
    <m/>
    <s v="De 9 y 10"/>
    <n v="4.3249999999999993"/>
    <s v="NO"/>
    <s v="NA"/>
    <n v="0"/>
    <n v="0"/>
    <s v="No"/>
    <n v="45"/>
    <m/>
    <n v="50"/>
    <m/>
    <n v="50"/>
    <m/>
    <m/>
    <n v="48.333333333333336"/>
    <s v="Con detalle por componente"/>
    <s v="Deportistas de alto rendimiento o representativo,Trabajo social o comunitario,Artísticas o culturales"/>
    <s v="Me visualizo ejerciendo la carrera de Negocios Internacionales en una empresa multinacional como la líder de las importaciones o exportaciones de los productos o servicios que esta ofrezca, o ubicada en un cargo gerencial que me permita desarrollar las estrategias aprendidas a lo largo de la carrera. Además, me visualizo explorando nuevas culturas alrededor del mundo, con el fin de complementar el dominio del idioma inglés y ampliando mis conocimientos en otros idiomas. _x000a_ _x000a_Con la beca busco una oportunidad de estudio y la facilidad de sostenimiento dentro de la Universidad, que me permita adquirir conocimientos enfocados a implementar proyectos sostenibles e innovadores a nivel regional y nacional. Enfocándome en fortalecer mis habilidades y permitiéndome compartir el aprendizaje a los más jóvenes, a través de la participación en eventos o espacios donde pueda transmitir mis conocimientos. Además me gustaría hacer contactos a nivel nacional e internacional con organizaciones, gestionando recursos para apoyar a los jóvenes que se encuentren en  condiciones de necesidad, con el fin de que puedan acceder a oportunidades como esta y les permita cumplir sus sueños y metas."/>
    <s v="Otro"/>
    <s v="Por la calidad académica."/>
    <s v="Vocación."/>
    <n v="3"/>
    <s v="1"/>
    <s v="SI"/>
    <s v="NO"/>
    <s v="Entre 6 y 7 millones"/>
    <s v="No"/>
    <n v="0"/>
    <s v="SI"/>
    <s v="Crédito educativo propio"/>
    <s v="SI"/>
    <s v="Beca"/>
    <s v="NO"/>
    <s v=""/>
    <s v=""/>
    <s v="Si"/>
    <s v="Rafael Alberto Pérez De La Cruz"/>
    <s v="Casado"/>
    <s v="BACHILLERATO"/>
    <s v="48"/>
    <s v="Bachiller"/>
    <s v="Independiente (trabaja por cuenta propia)"/>
    <s v="Gestor de calidad"/>
    <s v="Independiente"/>
    <n v="2000000"/>
    <s v="Si"/>
    <s v="NO"/>
    <s v="NO"/>
    <s v="No apoya económicamente"/>
    <s v="Si"/>
    <s v="Isabel Cristina Montoya Rúa"/>
    <s v="Casado"/>
    <s v="MAESTRÍA"/>
    <s v="46"/>
    <s v="Ingeniera de productividad y calidad- Magister en calidad y gestión integral"/>
    <s v="Empleado (con contrato laboral)"/>
    <s v="Coordinadora Sistema de Gestión- Proyecto SIATA"/>
    <s v="Universidad EAFIT"/>
    <n v="6374463"/>
    <s v="Si"/>
    <s v="SI"/>
    <s v="SI"/>
    <s v="Mi mamá es responsable económicamente de los gastos."/>
    <n v="8374463"/>
    <s v="Si"/>
    <s v="Alejandro Pérez Montoya"/>
    <s v="Hermano / Hermana"/>
    <s v="8"/>
    <s v="Estudiante"/>
    <s v="Colegio Nazaret"/>
    <n v="0"/>
    <s v="No"/>
    <s v=""/>
    <s v=""/>
    <s v=""/>
    <s v=""/>
    <s v=""/>
    <m/>
    <s v=""/>
    <s v=""/>
    <s v=""/>
    <s v=""/>
    <s v=""/>
    <s v=""/>
    <m/>
    <s v=""/>
    <s v=""/>
    <n v="0"/>
    <n v="132581000"/>
    <n v="0"/>
    <n v="0"/>
    <n v="0"/>
    <s v="Si"/>
    <s v="Logan"/>
    <s v="2019"/>
    <n v="38000000"/>
    <s v="No"/>
    <s v=""/>
    <s v=""/>
    <n v="0"/>
    <s v="No"/>
    <s v=""/>
    <s v=""/>
    <s v=""/>
    <n v="0"/>
    <s v="El apartamento se encuentra en proceso de pago."/>
    <n v="4"/>
    <n v="4"/>
    <n v="4"/>
    <n v="4"/>
    <n v="4"/>
    <n v="4"/>
    <n v="4"/>
    <n v="4"/>
    <n v="4"/>
    <n v="4"/>
    <n v="40"/>
    <s v="SI"/>
    <m/>
    <s v="SI, SON PRI"/>
    <s v="ok tienen todos los datos"/>
    <s v="Negada"/>
    <n v="20251"/>
    <m/>
    <n v="3"/>
    <n v="10"/>
    <n v="8"/>
    <n v="5"/>
    <n v="15"/>
    <n v="15"/>
    <n v="20"/>
    <n v="8.5"/>
    <n v="8.5"/>
    <n v="73.5"/>
    <n v="0.4"/>
    <m/>
    <n v="2"/>
    <n v="3.5"/>
    <n v="1"/>
    <n v="2"/>
    <n v="2"/>
    <n v="3.5"/>
    <n v="1"/>
    <n v="2"/>
    <n v="71.5"/>
    <n v="0.4"/>
    <n v="0.4"/>
    <e v="#N/A"/>
    <m/>
    <m/>
    <n v="0"/>
    <m/>
    <m/>
    <s v="Negocios Internacionales"/>
    <e v="#N/A"/>
    <s v="002"/>
    <e v="#N/A"/>
  </r>
  <r>
    <s v="TI"/>
    <n v="1034991210"/>
    <s v="1000402328"/>
    <s v="DAVID LADINO AGUDELO"/>
    <s v="Estudios por primera vez"/>
    <x v="10"/>
    <s v="No cumple, estrato 4"/>
    <s v="Ya pago matricula"/>
    <s v="En publico objetivo"/>
    <s v="1er Cohorte"/>
    <s v="Activo"/>
    <s v="dladinoa@eafit.edu.co"/>
    <s v="dladinoa@eafit.edu.co"/>
    <s v="davidladinoa7@gmail.com"/>
    <s v="573160600360"/>
    <d v="2025-04-25T00:00:00"/>
    <s v="Activo en Programa"/>
    <s v="001-Administración de Negocios"/>
    <s v="Escuela de Administración"/>
    <d v="2007-06-20T00:00:00"/>
    <n v="18"/>
    <s v="Antioquia"/>
    <s v="Medellín"/>
    <s v="Hombre"/>
    <s v="Soltero"/>
    <s v="NO"/>
    <s v="NO"/>
    <n v="0"/>
    <s v="NO"/>
    <s v="NA"/>
    <s v="NO"/>
    <s v="NA"/>
    <s v="NO"/>
    <s v="NA"/>
    <s v="No"/>
    <s v="343-1539"/>
    <s v="573160600360"/>
    <s v="Estrato 4"/>
    <s v="calle 7 #80-185"/>
    <s v="Antioquia"/>
    <s v="Medellín"/>
    <s v="No aplica, no soy foráneo"/>
    <s v="Propio"/>
    <s v="SI"/>
    <n v="2025"/>
    <s v="AC202511076678"/>
    <n v="353"/>
    <n v="71"/>
    <n v="68"/>
    <s v="Privada"/>
    <s v="Colegio Canadiense"/>
    <n v="2025"/>
    <m/>
    <s v="Medellín"/>
    <s v="Bachillerato"/>
    <s v="Académico"/>
    <m/>
    <s v="11"/>
    <s v="Escala Desempeño"/>
    <s v="Escala de 0 - 100"/>
    <s v="94"/>
    <s v="94"/>
    <m/>
    <s v="97"/>
    <s v="97"/>
    <m/>
    <n v="95"/>
    <n v="95"/>
    <m/>
    <n v="85"/>
    <n v="92"/>
    <m/>
    <s v="90"/>
    <s v="90"/>
    <m/>
    <s v="91"/>
    <s v="91"/>
    <m/>
    <s v="96"/>
    <s v="96"/>
    <m/>
    <s v="De 9 y 10"/>
    <n v="91.75"/>
    <s v="NO"/>
    <s v="NA"/>
    <n v="0"/>
    <n v="0"/>
    <s v="No"/>
    <n v="50"/>
    <m/>
    <n v="50"/>
    <m/>
    <n v="50"/>
    <m/>
    <s v="le gusta el liderazgo desde el servicio, quiere estudiar administración para poner al servicio de la comunidad los saberes, estudia en el Canadiense, lidera varias misiones, le gusta hacer muchas cosas, salir con amigos, tocar instrumentos, ir a misiones donde se le da amor a los mas necesitados, le gusta EAFIT por el reconocimiento"/>
    <n v="50"/>
    <s v="Con detalle por componente"/>
    <s v="Espacios de liderazgo o representación social,Trabajo social o comunitario"/>
    <s v="Me veo con un cargo administrativo y un rol de liderazgo. Administraré mi propia organización de ayuda humanitaria y responsabilidad social cuyo propósito principal sea colaborar a las personas de bajos recursos a salir de las situaciones en las que viven, gestionando recursos, formación y servicios útiles para impactar sus vidas positivamente y sus realidades sociales."/>
    <s v="EAFIT es una experiencia"/>
    <s v="Por la calidad académica."/>
    <s v="Vocación."/>
    <n v="1"/>
    <s v="0"/>
    <s v="SI"/>
    <s v="NO"/>
    <s v="Más de 16 millones"/>
    <s v="No"/>
    <s v="SI"/>
    <n v="0"/>
    <m/>
    <s v="SI"/>
    <s v="Beca"/>
    <s v="NO"/>
    <s v=""/>
    <s v=""/>
    <s v="Sin información"/>
    <n v="0"/>
    <m/>
    <m/>
    <m/>
    <s v=""/>
    <s v=""/>
    <m/>
    <s v=""/>
    <m/>
    <s v=""/>
    <m/>
    <m/>
    <s v="Padres separados, no recibo ningún tipo de asistencia de parte de mi padre."/>
    <s v="Si"/>
    <s v="Sandra de la Trinidad Agudelo Guzmán"/>
    <s v="Soltero"/>
    <s v="UNIVERSITARIOS"/>
    <s v="52"/>
    <s v="Ingeniera de Sistemas"/>
    <s v="Empleado (con contrato laboral)"/>
    <s v="Arquitecta empresarial de tecnología"/>
    <s v="Bancolombia"/>
    <n v="20240000"/>
    <s v="Si"/>
    <s v="SI"/>
    <s v="SI"/>
    <s v="Madre cabeza de familia"/>
    <n v="20240000"/>
    <s v="No, solo vivo con mis padres"/>
    <s v=""/>
    <s v=""/>
    <s v=""/>
    <s v=""/>
    <s v=""/>
    <m/>
    <s v=""/>
    <s v=""/>
    <s v=""/>
    <s v=""/>
    <s v=""/>
    <s v=""/>
    <m/>
    <s v=""/>
    <s v=""/>
    <s v=""/>
    <s v=""/>
    <s v=""/>
    <s v=""/>
    <m/>
    <s v=""/>
    <s v=""/>
    <n v="0"/>
    <n v="454301000"/>
    <n v="0"/>
    <n v="0"/>
    <n v="60000000"/>
    <s v="Si"/>
    <s v="Suzuki"/>
    <s v="2021"/>
    <n v="60000000"/>
    <s v="No"/>
    <s v=""/>
    <s v=""/>
    <n v="0"/>
    <s v="No"/>
    <s v=""/>
    <s v=""/>
    <s v=""/>
    <n v="0"/>
    <s v=""/>
    <n v="4"/>
    <n v="4"/>
    <n v="3"/>
    <n v="3"/>
    <n v="4"/>
    <n v="4"/>
    <n v="4"/>
    <n v="3"/>
    <n v="4"/>
    <n v="4"/>
    <n v="37"/>
    <s v="SI"/>
    <s v="SI, TIPO IE"/>
    <s v="PRI SIN TIPO IE"/>
    <s v="ok se subsana datos contra doc"/>
    <e v="#N/A"/>
    <e v="#N/A"/>
    <s v="SI"/>
    <n v="3"/>
    <n v="4"/>
    <n v="4"/>
    <n v="10"/>
    <n v="20"/>
    <n v="15"/>
    <n v="20"/>
    <n v="4.5"/>
    <n v="4.5"/>
    <n v="73.5"/>
    <n v="0.4"/>
    <m/>
    <n v="2"/>
    <n v="2.5"/>
    <n v="0"/>
    <n v="0"/>
    <n v="2"/>
    <n v="2.5"/>
    <n v="0"/>
    <n v="0"/>
    <n v="73.5"/>
    <n v="0.4"/>
    <s v="Negado"/>
    <e v="#N/A"/>
    <m/>
    <m/>
    <s v="SI, TIPO IE"/>
    <m/>
    <m/>
    <s v="Administración de Negocios"/>
    <e v="#N/A"/>
    <m/>
    <e v="#N/A"/>
  </r>
  <r>
    <s v="TI"/>
    <n v="1034991558"/>
    <s v="1000405787"/>
    <s v="ALEJANDRO MUÑOZ CARMONA"/>
    <s v="Estudios por primera vez"/>
    <x v="4"/>
    <s v="No cumple, estrato 4"/>
    <s v="Año graduacion e icfes 2025 - ver colegio"/>
    <s v="En publico objetivo"/>
    <s v="1er Cohorte"/>
    <s v="Admitido"/>
    <s v="amunozc5@eafit.edu.co"/>
    <e v="#N/A"/>
    <s v="alejandromucar@gmail.com"/>
    <s v="573015571620"/>
    <d v="2025-04-25T00:00:00"/>
    <s v="Activo en Programa"/>
    <s v="183-Biología"/>
    <s v="E Ciencias Aplic e Ingeniería"/>
    <d v="2007-08-31T00:00:00"/>
    <n v="18"/>
    <s v="Antioquia"/>
    <s v="Medellín"/>
    <s v="Hombre"/>
    <s v="Soltero"/>
    <s v="NO"/>
    <s v="NO"/>
    <n v="0"/>
    <s v="NO"/>
    <s v="NA"/>
    <s v="NO"/>
    <s v="NA"/>
    <s v="NO"/>
    <s v="NA"/>
    <s v="No"/>
    <s v="573007747549"/>
    <s v="573015571620"/>
    <s v="Estrato 4"/>
    <s v="CR 54 #75 AA SUR 16"/>
    <s v="Antioquia"/>
    <s v="Itagui"/>
    <s v="No aplica, no soy foráneo"/>
    <s v="Propio"/>
    <s v="SI"/>
    <s v="2025"/>
    <s v="AC202511076645"/>
    <n v="359"/>
    <n v="72"/>
    <n v="77"/>
    <s v="Privada"/>
    <s v="COLEGIO CANADIENSE"/>
    <n v="2025"/>
    <s v="Antioquia"/>
    <s v="La Estrella"/>
    <s v="BACHILLER"/>
    <s v="ACAD"/>
    <s v="TIPO: Privada, INSTITUCION: COLEGIO CANADIENSE, AÑO: 2025, CIUDAD: La Estrella, TITULO: BACHILLER"/>
    <s v="11"/>
    <s v="Escala de 0 - 100"/>
    <s v="Escala de 0 - 100"/>
    <s v="91"/>
    <s v="82"/>
    <m/>
    <s v="96"/>
    <s v="96"/>
    <m/>
    <n v="95"/>
    <n v="78"/>
    <m/>
    <n v="82"/>
    <n v="90"/>
    <m/>
    <s v="90"/>
    <s v="90"/>
    <m/>
    <s v="86"/>
    <s v="86"/>
    <m/>
    <s v="87"/>
    <s v="92"/>
    <m/>
    <s v="De 9 y 10"/>
    <n v="86.25"/>
    <s v="NO"/>
    <s v="NA"/>
    <n v="0"/>
    <n v="0"/>
    <s v="No"/>
    <n v="50"/>
    <m/>
    <n v="50"/>
    <m/>
    <n v="50"/>
    <m/>
    <s v="Excelente desempeño en la entrevista"/>
    <n v="50"/>
    <s v="Con detalle por componente"/>
    <s v="Deportistas de alto rendimiento o representativo,Trabajo social o comunitario,Artísticas o culturales"/>
    <s v="Me visualizo en la Universidad EAFIT estudiando biología con un enfoque en ecología (tal vez biología marina o herpetología) y conservación de ecosistemas estratégicos de Colombia y el exterior, como los ecosistemas andinos y tropicales. Aprovechar los laboratorios, espacios de estudio y grupos de investigación en biodiversidad para formarme en cuidado ecológico, ambiental  y monitoreo de especies. Quisiera participar en proyectos que vinculen a comunidades y ecosistemas locales, combinando conocimientos tradicionales con ciencia aplicada._x000a__x000a_La beca me dará la oportunidad de estudiar en EAFIT y así convertirme en un agente de cambio a través de mi carrera. Con lo que aprenda, buscaré crear una red de monitoreo ciudadano de fauna, usando herramientas accesibles como aplicaciones en el celular, para involucrar a más gente en la protección de su entorno. La beca no solo me permitirá acceder a una universidad de calidad, sino devolver a mi comunidad, familia y amigos todo el apoyo y confianza que me han dado, apoyar a los pobres animales que no han hecho nada malo al mundo y reducir la brecha entre la ciencia y la gente. Quisiera mejorar la calidad de vida y concientizar no solo a la gente que me rodea si no a muchos más, quisiera transmitir el amor que siento por la naturaleza y el medio ambiente y tratar de buscar un cambio real._x000a__x000a_Otra gran motivación es la internacionalización de mis estudios con EAFIT, siempre he sido alguien al que le gusta explorar, conocer nuevos lugares y experimentar nuevas cosas y sé que muchas veces esto conlleva un gran costo, pero con ayuda de la beca tendré la oportunidad de globalizar mi carrera por medio de intercambios en otros países y aprender sobre diferentes culturas, fauna y flora gracias a la universidad EAFIT."/>
    <s v="Referencias familiares"/>
    <s v="Internacionalización."/>
    <s v="Vocación."/>
    <n v="3"/>
    <s v="0"/>
    <s v="SI"/>
    <s v="NO"/>
    <s v="Entre 4 y 5 millones"/>
    <s v="Si"/>
    <s v="SI"/>
    <s v="NO"/>
    <m/>
    <s v="SI"/>
    <s v="Beca"/>
    <s v="NO"/>
    <s v=""/>
    <s v=""/>
    <s v="Si"/>
    <s v="John Jairo Muñoz Garcia"/>
    <s v="Casado"/>
    <s v="UNIVERSITARIOS"/>
    <s v="59"/>
    <s v="Zootecnista"/>
    <s v="Independiente (trabaja por cuenta propia)"/>
    <s v="Asesor Freerlance"/>
    <s v="Ganaderia"/>
    <n v="3000000"/>
    <s v="Si"/>
    <s v="SI"/>
    <s v="NO"/>
    <s v="Mi padre es una persona muy atenta y me da un gran apoyo en todo lo que hago, tengo una gran conexión con él, pasamos mucho tiempo juntos y gracias a la pasión que me trasmitió a los animales al campo elegí la profesión que quiero tener."/>
    <s v="Si"/>
    <s v="Gloria Patricia Carmona Gil"/>
    <s v="Soltero"/>
    <s v="UNIVERSITARIOS"/>
    <s v="55"/>
    <s v="Quimica farmaceutica"/>
    <s v="Emprendedor (inicia un proyecto productivo o negocio propio)"/>
    <s v="Calidad y aseguramiento de calidad"/>
    <s v="NINGUNA"/>
    <n v="3000000"/>
    <s v="Si"/>
    <s v="NO"/>
    <s v="NO"/>
    <s v="Mi mamá es una persona de la cual he aprendido todo lo que se y como interactuó con las situaciones y la gente, ha sido un pilar fundamental para formar mi personalidad, siempre esta ahí para aconsejarme y apoyarme."/>
    <n v="6000000"/>
    <s v="Si"/>
    <s v="Maria Virgelina Garcia De Muñoz"/>
    <s v="Abuelo / Abuela"/>
    <s v="94"/>
    <s v="Ama de casa"/>
    <s v="Ninguna"/>
    <n v="0"/>
    <s v="No"/>
    <s v=""/>
    <s v=""/>
    <s v=""/>
    <s v=""/>
    <s v=""/>
    <m/>
    <s v=""/>
    <s v=""/>
    <s v=""/>
    <s v=""/>
    <s v=""/>
    <s v=""/>
    <m/>
    <s v=""/>
    <s v="Somos una familia muy unida, mi mamá, mi papá y la mamá de mi papá siempre nos apoyamos uno al otro."/>
    <n v="700000000"/>
    <n v="0"/>
    <n v="0"/>
    <n v="0"/>
    <n v="0"/>
    <s v="Si"/>
    <s v="Renault Logan"/>
    <s v="2019"/>
    <n v="40000000"/>
    <s v="No"/>
    <s v=""/>
    <s v=""/>
    <n v="0"/>
    <s v="No"/>
    <s v=""/>
    <s v=""/>
    <s v=""/>
    <n v="0"/>
    <s v="Vivimos bien, con buenas comodidades, tenemos vehiculo y casa propia comprados con los ahorros de años de trabajo."/>
    <n v="4"/>
    <n v="4"/>
    <n v="3"/>
    <n v="3"/>
    <n v="4"/>
    <n v="4"/>
    <n v="4"/>
    <n v="3"/>
    <n v="4"/>
    <n v="4"/>
    <n v="37"/>
    <s v="SI"/>
    <m/>
    <s v="SI, SON PRI"/>
    <s v="ok tienen todos los datos"/>
    <e v="#N/A"/>
    <e v="#N/A"/>
    <m/>
    <n v="2"/>
    <n v="4"/>
    <n v="4"/>
    <n v="10"/>
    <n v="15"/>
    <n v="15"/>
    <n v="20"/>
    <n v="7.5"/>
    <n v="7.5"/>
    <n v="71.5"/>
    <n v="0.4"/>
    <n v="0.4"/>
    <n v="2"/>
    <n v="2.5"/>
    <n v="3"/>
    <n v="0"/>
    <n v="2"/>
    <n v="2.5"/>
    <n v="3"/>
    <n v="0"/>
    <n v="71.5"/>
    <n v="0.4"/>
    <s v="Negado"/>
    <e v="#N/A"/>
    <m/>
    <m/>
    <n v="0"/>
    <m/>
    <m/>
    <s v="Biología"/>
    <e v="#N/A"/>
    <m/>
    <e v="#N/A"/>
  </r>
  <r>
    <s v="TI"/>
    <n v="1034991740"/>
    <s v="1000386339"/>
    <s v="ESTEBAN ARTURO URREGO TABARES"/>
    <s v="Estudios por primera vez"/>
    <x v="1"/>
    <s v="Descartado por ingresos altos"/>
    <m/>
    <s v="En publico objetivo"/>
    <s v="3ra Cohorte"/>
    <s v="Admitido"/>
    <s v="eaurregot@eafit.edu.co"/>
    <s v="eaurregot@eafit.edu.co"/>
    <s v="estebanaurregot@gmail.com"/>
    <s v="573148597797"/>
    <d v="2025-05-30T00:00:00"/>
    <s v="Activo en Programa"/>
    <s v="199-Finanzas"/>
    <s v="E.Finanzas, Economía, Gobierno"/>
    <d v="2007-09-16T00:00:00"/>
    <n v="18"/>
    <s v="Antioquia"/>
    <s v="Medellín"/>
    <s v="Hombre"/>
    <s v="Soltero"/>
    <s v="NO"/>
    <s v="NO"/>
    <n v="0"/>
    <s v="NO"/>
    <s v="NA"/>
    <s v="NO"/>
    <s v="NA"/>
    <s v="NO"/>
    <s v="NA"/>
    <s v="No"/>
    <s v="587-1707"/>
    <s v="573148597797"/>
    <s v="Estrato 2"/>
    <s v="CARREA 45 63 A 06"/>
    <s v="Antioquia"/>
    <s v="Medellín"/>
    <s v="No aplica, no soy foráneo"/>
    <s v="Propio"/>
    <s v="SI"/>
    <s v="2024"/>
    <s v="AC202433614542"/>
    <n v="310"/>
    <n v="65"/>
    <n v="65"/>
    <s v="Privada"/>
    <s v="COL SALESIANO EL SUFRAGIO"/>
    <n v="2024"/>
    <s v="Antioquia"/>
    <s v="Medellín"/>
    <s v="BACHILLER"/>
    <s v="ACAD"/>
    <s v="TIPO: Privada, INSTITUCION: COL SALESIANO EL SUFRAGIO, AÑO: 2024, CIUDAD: Medellín, TITULO: BACHILLER"/>
    <s v="11"/>
    <s v="Escala de 0 - 5"/>
    <s v="Escala de 0 - 5"/>
    <s v="4,5"/>
    <s v="44"/>
    <m/>
    <s v="4"/>
    <s v="44"/>
    <m/>
    <n v="4"/>
    <n v="3.9"/>
    <m/>
    <n v="4"/>
    <n v="4"/>
    <m/>
    <s v="4,5"/>
    <s v="44"/>
    <m/>
    <s v="4"/>
    <s v="44"/>
    <m/>
    <s v="4"/>
    <s v="44"/>
    <m/>
    <s v="De 9 y 10"/>
    <n v="3.9750000000000001"/>
    <s v="NO"/>
    <s v="NA"/>
    <n v="0"/>
    <n v="0"/>
    <s v="No"/>
    <n v="45"/>
    <s v="Futbol"/>
    <n v="45"/>
    <m/>
    <n v="45"/>
    <m/>
    <s v="se graduó en el 2024_x000a_Saber 11 sacó 310"/>
    <n v="45"/>
    <s v="Con detalle por componente"/>
    <s v="Deportistas de alto rendimiento o representativo"/>
    <s v="Me visualizo a futuro como un gran financiero en la cima de los puestos ejecutivos de grandes empresas logrando impactar positivamente en la población con el conocimiento adquirido en el pregrado, además de lograr una vida personal y familiar estable que me permita llevar a cabo mis metas y objetivos a lo largo de mi vida, y siento que a través de la obtención de la beca  puedo estudiar y nutrir mi conocimiento a la vez de darle solvencia económica a mí familia, además de serle motivo de inspiración a mis conocidos haciéndoles entender la importancia de la disciplina y esfuerzo que nos pueden ayudar a encontrar grandes oportunidades para progresar."/>
    <s v="Página WEB"/>
    <s v="Por la infraestructura."/>
    <s v="Alta proyección de ingresos."/>
    <n v="1"/>
    <s v="0"/>
    <s v="SI"/>
    <s v="NO"/>
    <s v="Entre 4 y 5 millones"/>
    <s v="No"/>
    <n v="0"/>
    <n v="0"/>
    <m/>
    <s v="SI"/>
    <s v="Beca"/>
    <s v="NO"/>
    <s v=""/>
    <s v=""/>
    <s v="Si"/>
    <s v="Carlos Alberto Urrego Ramírez"/>
    <s v="Soltero"/>
    <s v="ESPECIALIZACIÓN TÉCNICA"/>
    <s v="66"/>
    <s v="Independiente"/>
    <s v="Independiente (trabaja por cuenta propia)"/>
    <s v="Consultor Turístico"/>
    <s v="Independiente"/>
    <n v="3000000"/>
    <s v="No"/>
    <s v="NO"/>
    <s v="NO"/>
    <s v=""/>
    <s v="Si"/>
    <s v="Isabel Cristina Tabares Jaramillo"/>
    <s v="Soltero"/>
    <s v="TECNOLOGÍA"/>
    <s v="40"/>
    <s v="Profesional en hotelería y turismo"/>
    <s v="Empleado (con contrato laboral)"/>
    <s v="Administradora"/>
    <s v="Total Spanish"/>
    <n v="2800000"/>
    <s v="Si"/>
    <s v="SI"/>
    <s v="NO"/>
    <m/>
    <n v="5800000"/>
    <s v="No, vivo solo"/>
    <s v=""/>
    <s v=""/>
    <s v=""/>
    <s v=""/>
    <s v=""/>
    <m/>
    <s v=""/>
    <s v=""/>
    <s v=""/>
    <s v=""/>
    <s v=""/>
    <s v=""/>
    <m/>
    <s v=""/>
    <s v=""/>
    <s v=""/>
    <s v=""/>
    <s v=""/>
    <s v=""/>
    <m/>
    <s v=""/>
    <s v=""/>
    <n v="250000000"/>
    <n v="0"/>
    <n v="0"/>
    <n v="0"/>
    <n v="0"/>
    <s v="No"/>
    <s v=""/>
    <s v=""/>
    <n v="0"/>
    <s v="No"/>
    <s v=""/>
    <s v=""/>
    <n v="0"/>
    <s v="Si"/>
    <s v="Moto"/>
    <s v="Kymco"/>
    <s v="2020"/>
    <n v="3000000"/>
    <m/>
    <n v="4"/>
    <n v="4"/>
    <n v="3"/>
    <n v="4"/>
    <n v="4"/>
    <n v="4"/>
    <n v="4"/>
    <n v="4"/>
    <n v="4"/>
    <n v="4"/>
    <n v="39"/>
    <s v="SI"/>
    <m/>
    <s v="SI, SON PRI"/>
    <s v="ok tienen todos los datos"/>
    <e v="#N/A"/>
    <e v="#N/A"/>
    <m/>
    <n v="2"/>
    <n v="10"/>
    <n v="10"/>
    <n v="5"/>
    <n v="10"/>
    <n v="15"/>
    <n v="15"/>
    <n v="8.5"/>
    <n v="8.5"/>
    <n v="63.5"/>
    <n v="0.4"/>
    <m/>
    <n v="2"/>
    <n v="2.5"/>
    <n v="3"/>
    <n v="1"/>
    <n v="2"/>
    <n v="2.5"/>
    <n v="3"/>
    <n v="1"/>
    <n v="63.5"/>
    <n v="0.4"/>
    <n v="0.4"/>
    <e v="#N/A"/>
    <m/>
    <m/>
    <n v="0"/>
    <m/>
    <m/>
    <s v="Finanzas"/>
    <e v="#N/A"/>
    <s v="199"/>
    <e v="#N/A"/>
  </r>
  <r>
    <s v="TI"/>
    <n v="1034991832"/>
    <s v="1000374257"/>
    <s v="JUAN ESTEBAN CARDONA HOYOS"/>
    <s v="Estudios por primera vez"/>
    <x v="9"/>
    <s v="No cumple, estrato 5 o 6"/>
    <s v="Se esta revisando valor propiedades contra doc"/>
    <s v="En publico objetivo"/>
    <s v="3ra Cohorte"/>
    <s v="Admitido"/>
    <s v="jecardonh1@eafit.edu.co"/>
    <s v="jecardonh1@eafit.edu.co"/>
    <s v="jec7623@gmail.com"/>
    <s v="316/010-8222"/>
    <d v="2025-05-30T00:00:00"/>
    <s v="Activo en Programa"/>
    <s v="003-Economía"/>
    <s v="E.Finanzas, Economía, Gobierno"/>
    <d v="2007-10-17T00:00:00"/>
    <n v="18"/>
    <s v="Antioquia"/>
    <s v="Medellín"/>
    <s v="Hombre"/>
    <s v="Soltero"/>
    <s v="NO"/>
    <s v="NO"/>
    <n v="0"/>
    <s v="NO"/>
    <s v="NA"/>
    <s v="NO"/>
    <s v="NA"/>
    <s v="NO"/>
    <s v="NA"/>
    <s v="No"/>
    <s v="577-4711"/>
    <s v="316/010-8222"/>
    <s v="Estrato 6"/>
    <s v="CR 20 #23 SUR 25"/>
    <s v="Antioquia"/>
    <s v="Envigado"/>
    <s v="No aplica, no soy foráneo"/>
    <s v="Propio"/>
    <s v="SI"/>
    <s v="2025"/>
    <s v="AC202510509331"/>
    <n v="362"/>
    <n v="79"/>
    <n v="67"/>
    <s v="Privada"/>
    <s v="CORPORACION COLEGIO CUMBRES"/>
    <n v="2025"/>
    <s v="Antioquia"/>
    <s v="Envigado"/>
    <s v="BACHILLER"/>
    <s v="ACAD"/>
    <s v="TIPO: Privada, INSTITUCION: CORPORACION COLEGIO CUMBRES, AÑO: 2025, CIUDAD: Envigado, TITULO: BACHILLER"/>
    <s v="12"/>
    <s v="Escala de 0 - 100"/>
    <s v="Escala de 0 - 100"/>
    <s v="86"/>
    <s v="86"/>
    <s v="90"/>
    <s v="86"/>
    <s v="86"/>
    <s v="90"/>
    <n v="95"/>
    <n v="100"/>
    <n v="90"/>
    <n v="78"/>
    <n v="76"/>
    <n v="80"/>
    <s v="90"/>
    <s v="90"/>
    <s v="90"/>
    <s v="98"/>
    <s v="100"/>
    <s v="80"/>
    <s v="83"/>
    <s v="78"/>
    <s v="80"/>
    <s v="De 9, 10 y 11"/>
    <n v="86.5"/>
    <s v="NO"/>
    <s v="NA"/>
    <n v="0"/>
    <n v="0"/>
    <s v="No"/>
    <n v="40"/>
    <m/>
    <n v="45"/>
    <m/>
    <n v="50"/>
    <m/>
    <s v="Muy buen desempeño en la entrevista"/>
    <n v="45"/>
    <s v="Con detalle por componente"/>
    <s v="Espacios de liderazgo o representación social,Deportistas de alto rendimiento o representativo,Trabajo social o comunitario"/>
    <s v="Con mi pregrado de Economía, me visualizo como un profesional que aporta innovación y liderazgo para poder así diseñar nuevas soluciones sostenibles. Me imagino trabajando de manera independiente y aportando desde mi profesión a nuevos emprendedores para que entiendan la variables que afectan sus negocios. _x000a_Con esta beca y la oportunidad de estudiar en la universidad EAFIT, lograría apoyar a mis padres que vienen de una inestabilidad financiera, debido a una quiebra de una empresa personal y una temporada sin trabajo. Además con esta, lograría un sueño de hacer un trabajo social, con jóvenes que quieran entender los mercados."/>
    <s v="Referencias familiares"/>
    <s v="Por la calidad académica."/>
    <s v="Certificación."/>
    <n v="3"/>
    <s v="1"/>
    <s v="SI"/>
    <s v="NO"/>
    <s v="Entre 14 y 15 millones"/>
    <s v="No"/>
    <s v="SI"/>
    <s v="SI"/>
    <s v="Crédito entidad externa"/>
    <s v="NO"/>
    <m/>
    <s v="NO"/>
    <s v=""/>
    <s v=""/>
    <s v="Si"/>
    <s v="Omar Alberto Cardona"/>
    <s v="Casado"/>
    <s v="MAESTRÍA"/>
    <s v="51"/>
    <s v="Contador"/>
    <s v="Empleado (con contrato laboral)"/>
    <s v="Director Financiero"/>
    <s v="Camacol Antioquia"/>
    <n v="10544000"/>
    <s v="Si"/>
    <s v="NO"/>
    <s v="SI"/>
    <s v=""/>
    <s v="Si"/>
    <s v="Diana Marcela Hoyos"/>
    <s v="Casado"/>
    <s v="ESPECIALIZACIÓN"/>
    <s v="46"/>
    <s v="Contador"/>
    <s v="Empleado (con contrato laboral)"/>
    <s v="Coordinador Financiero"/>
    <s v="Suramericana"/>
    <n v="9974579"/>
    <s v="Si"/>
    <s v="NO"/>
    <s v="SI"/>
    <m/>
    <n v="20518579"/>
    <s v="Si"/>
    <s v="Matias Cardona"/>
    <s v="Hermano / Hermana"/>
    <s v="12"/>
    <s v="Estudiante"/>
    <s v="Colegio Cumbres"/>
    <n v="0"/>
    <s v="No"/>
    <s v=""/>
    <s v=""/>
    <s v=""/>
    <s v=""/>
    <s v=""/>
    <m/>
    <s v=""/>
    <s v=""/>
    <s v=""/>
    <s v=""/>
    <s v=""/>
    <s v=""/>
    <m/>
    <s v=""/>
    <s v=""/>
    <n v="590692000"/>
    <n v="0"/>
    <n v="0"/>
    <n v="0"/>
    <n v="0"/>
    <s v="Si"/>
    <s v="Toyota"/>
    <s v="2010"/>
    <n v="90000000"/>
    <s v="No"/>
    <s v=""/>
    <s v=""/>
    <n v="0"/>
    <s v="No"/>
    <s v=""/>
    <s v=""/>
    <s v=""/>
    <n v="0"/>
    <m/>
    <n v="4"/>
    <n v="4"/>
    <n v="3"/>
    <n v="4"/>
    <n v="4"/>
    <n v="4"/>
    <n v="3"/>
    <n v="4"/>
    <n v="3"/>
    <n v="4"/>
    <n v="37"/>
    <s v="SI"/>
    <m/>
    <s v="SI, SON PRI"/>
    <s v="ok tienen todos los datos"/>
    <e v="#N/A"/>
    <e v="#N/A"/>
    <m/>
    <n v="2"/>
    <s v="NA"/>
    <s v="NA"/>
    <s v="NA"/>
    <s v="NA"/>
    <s v="NA"/>
    <s v="NA"/>
    <e v="#VALUE!"/>
    <e v="#VALUE!"/>
    <e v="#VALUE!"/>
    <s v="NCR"/>
    <m/>
    <s v="NA"/>
    <s v="NA"/>
    <s v="NA"/>
    <s v="NA"/>
    <s v="NA"/>
    <s v="NA"/>
    <s v="NA"/>
    <s v="NA"/>
    <e v="#VALUE!"/>
    <s v="NCR"/>
    <s v="Negado"/>
    <e v="#N/A"/>
    <m/>
    <m/>
    <n v="0"/>
    <m/>
    <m/>
    <s v="Economía"/>
    <e v="#N/A"/>
    <m/>
    <s v="NCR"/>
  </r>
  <r>
    <s v="TI"/>
    <n v="1034991872"/>
    <s v="1000406716"/>
    <s v="SALOMÉ RENDÓN MORENO"/>
    <s v="Estudios por primera vez"/>
    <x v="1"/>
    <s v="Descartado por notas"/>
    <s v="Rescatado"/>
    <s v="En publico objetivo"/>
    <s v="2da Cohorte"/>
    <s v="Admitido"/>
    <s v="srendonm3@eafit.edu.co"/>
    <e v="#N/A"/>
    <s v="salomerendon055@gmail.com"/>
    <s v="573052261040"/>
    <d v="2025-05-16T00:00:00"/>
    <s v="Activo en Programa"/>
    <s v="237-Diseño Interactivo"/>
    <s v="Escuela de Artes y Humanidades"/>
    <d v="2007-11-01T00:00:00"/>
    <n v="18"/>
    <s v="Antioquia"/>
    <s v="Medellín"/>
    <s v="Mujer"/>
    <s v="Soltero"/>
    <s v="NO"/>
    <s v="NO"/>
    <n v="0"/>
    <s v="NO"/>
    <s v="NA"/>
    <s v="NO"/>
    <s v="NA"/>
    <s v="NO"/>
    <s v="NA"/>
    <s v="No"/>
    <s v="321/859-0204"/>
    <s v="573052261040"/>
    <s v="Estrato 3"/>
    <s v="CL 40 66 18 PORVENIR"/>
    <s v="Santander"/>
    <s v="Rionegro"/>
    <s v="No"/>
    <s v="Arriendo"/>
    <s v="SI"/>
    <s v="2024"/>
    <s v="AC202430171567"/>
    <n v="370"/>
    <n v="79"/>
    <n v="72"/>
    <s v="Privada"/>
    <s v="La presentación rionegro"/>
    <n v="2024"/>
    <m/>
    <s v="Rionegro"/>
    <s v="Bachillerato"/>
    <s v="Académico"/>
    <m/>
    <s v="11"/>
    <s v="Escala de 0 - 5"/>
    <s v="Escala de 0 - 5"/>
    <s v="4,27"/>
    <s v="4,4"/>
    <m/>
    <s v="4,17"/>
    <s v="4,48"/>
    <m/>
    <n v="4.5199999999999996"/>
    <n v="4.8099999999999996"/>
    <m/>
    <n v="3.91"/>
    <n v="4.22"/>
    <m/>
    <s v="3,39"/>
    <s v="4,5"/>
    <m/>
    <s v="4,27"/>
    <s v="4,28"/>
    <m/>
    <s v="4,27"/>
    <s v="4,48"/>
    <m/>
    <s v="De 9 y 10"/>
    <n v="4.3649999999999993"/>
    <s v="NO"/>
    <s v="NA"/>
    <n v="0"/>
    <n v="0"/>
    <s v="No"/>
    <n v="45"/>
    <m/>
    <n v="45"/>
    <m/>
    <n v="45"/>
    <m/>
    <m/>
    <n v="45"/>
    <s v="Con detalle por componente"/>
    <s v="Artísticas o culturales,Deportistas de alto rendimiento o representativo,Trabajo social o comunitario"/>
    <s v="Me visualizo ejerciendo mi carrera en diseño interactivo, trabajando en la empresa Activision, una compañía internacional de videojuegos, en la que podría aportar apasionadamente en la creación de experiencias digitales, representadas en célebres videojuegos que, además de divertir y entretener a los usuarios, también conectaría a millones de jugadores alrededor del mundo. Contribuiría a proyectos de alto impacto e innovadores, que no sólo desafíen los límites de la creatividad y la tecnología, sino que también desafíen mis propios límites, superándome así cada día._x000a_Mediante la obtención de la beca, puedo transformar mi región colaborando con emprendedores locales, ayudándolos desde la parte tecnológica a establecer su presencia en línea de una manera efectiva, impulsando así el crecimiento de dichos emprendimientos, mejorando su progreso económico y generando nuevas fuentes de empleo en mi región. Asimismo, puedo ayudar a mi región a través de la creación o mejora de distintas plataformas educativas con las cuales los alumnos puedan aprender fácilmente principalmente en zonas rurales._x000a_Por último, al alcanzar mis metas profesionales ayudaría económicamente a mis seres queridos para que tengan la posibilidad de continuar sus estudios y así mejorar su calidad de vida. Creo firmemente que la educación es clave para salir adelante, y quiero ser un pilar de apoyo para ellos en su camino hacia el éxito,  al igual que la universidad lo sería conmigo a través de la obtención de la beca."/>
    <s v="Página WEB"/>
    <s v="Por la calidad académica."/>
    <s v="Vocación."/>
    <n v="1"/>
    <s v="4"/>
    <s v="SI"/>
    <s v="NO"/>
    <s v="Entre 1 y 2 millones"/>
    <s v="No"/>
    <n v="0"/>
    <n v="0"/>
    <m/>
    <s v="SI"/>
    <s v="Beca"/>
    <s v="NO"/>
    <s v=""/>
    <s v=""/>
    <s v="Sin información"/>
    <n v="0"/>
    <m/>
    <m/>
    <m/>
    <s v=""/>
    <s v=""/>
    <m/>
    <s v=""/>
    <m/>
    <s v=""/>
    <m/>
    <m/>
    <s v="NA"/>
    <s v="Si"/>
    <s v="Arlet Maritza Moreno Muñoz"/>
    <m/>
    <s v="BACHILLERATO"/>
    <m/>
    <s v="operaria de maquinas de coser"/>
    <s v="Trabajador informal"/>
    <s v="operaria de maquinas de coser"/>
    <s v="taller de confecciones"/>
    <n v="2000000"/>
    <s v="Si"/>
    <s v="NO"/>
    <s v="NO"/>
    <m/>
    <n v="2000000"/>
    <s v="No, solo vivo con mis padres"/>
    <s v=""/>
    <s v=""/>
    <s v=""/>
    <s v=""/>
    <s v=""/>
    <m/>
    <s v=""/>
    <s v=""/>
    <s v=""/>
    <s v=""/>
    <s v=""/>
    <s v=""/>
    <m/>
    <s v=""/>
    <s v=""/>
    <s v=""/>
    <s v=""/>
    <s v=""/>
    <s v=""/>
    <m/>
    <s v=""/>
    <s v=""/>
    <n v="0"/>
    <n v="0"/>
    <n v="0"/>
    <n v="0"/>
    <n v="0"/>
    <s v="No"/>
    <s v=""/>
    <s v=""/>
    <n v="0"/>
    <s v="No"/>
    <s v=""/>
    <s v=""/>
    <n v="0"/>
    <s v="No"/>
    <s v=""/>
    <s v=""/>
    <s v=""/>
    <n v="0"/>
    <m/>
    <n v="4"/>
    <n v="3"/>
    <n v="4"/>
    <n v="4"/>
    <n v="3"/>
    <n v="3"/>
    <n v="3"/>
    <n v="3"/>
    <n v="4"/>
    <n v="4"/>
    <n v="35"/>
    <s v="SI"/>
    <s v="SI, TIPO IE"/>
    <s v="PRI SIN TIPO IE"/>
    <s v="pendiente tipo ie"/>
    <e v="#N/A"/>
    <e v="#N/A"/>
    <m/>
    <n v="3"/>
    <n v="10"/>
    <n v="8"/>
    <n v="15"/>
    <n v="15"/>
    <n v="15"/>
    <n v="15"/>
    <n v="18.5"/>
    <n v="18.5"/>
    <n v="88.5"/>
    <n v="0.6"/>
    <m/>
    <n v="2"/>
    <n v="4.5"/>
    <n v="8"/>
    <n v="4"/>
    <n v="2"/>
    <n v="4"/>
    <n v="8"/>
    <n v="4.5"/>
    <n v="86.5"/>
    <n v="0.7"/>
    <n v="0.8"/>
    <e v="#N/A"/>
    <m/>
    <m/>
    <s v="SI, TIPO IE"/>
    <m/>
    <m/>
    <s v="Diseño Interactivo"/>
    <e v="#N/A"/>
    <s v="237"/>
    <e v="#N/A"/>
  </r>
  <r>
    <s v="TI"/>
    <n v="1034991995"/>
    <s v="1000408878"/>
    <s v="MATIAS PEREZ VELEZ"/>
    <s v="Estudios por primera vez"/>
    <x v="1"/>
    <s v="Descartado por ingresos altos"/>
    <m/>
    <s v="En publico objetivo"/>
    <s v="2da Cohorte"/>
    <s v="Admitido"/>
    <s v="mperezv10@eafit.edu.co"/>
    <e v="#N/A"/>
    <s v="matiasperezvelez26@gmail.com"/>
    <s v="573004568450, 3006739214"/>
    <d v="2025-05-16T00:00:00"/>
    <s v="Matrícula"/>
    <s v="260-Ingeniería Industrial"/>
    <s v="E Ciencias Aplic e Ingeniería"/>
    <s v="26/11/2007"/>
    <n v="18"/>
    <s v="Antioquia"/>
    <s v="Medellín"/>
    <s v="Hombre"/>
    <s v="Soltero"/>
    <s v="NO"/>
    <s v="NO"/>
    <s v="NA"/>
    <s v="NO"/>
    <s v="NA"/>
    <s v="NO"/>
    <s v="NA"/>
    <s v="NO"/>
    <s v="NA"/>
    <s v="No"/>
    <s v="NA"/>
    <s v="NA"/>
    <s v="Estrato 3"/>
    <s v="CL 42 A #24 198"/>
    <s v="Antioquia"/>
    <s v="Medellín"/>
    <s v="No aplica, no soy foráneo"/>
    <s v="Arriendo"/>
    <s v="SI"/>
    <s v="2024"/>
    <s v="AC202433511144"/>
    <n v="364"/>
    <n v="74"/>
    <n v="77"/>
    <s v="Privada"/>
    <s v="Gimnasio Internacional de Medellin"/>
    <n v="2024"/>
    <m/>
    <s v="Medellín"/>
    <s v="Bachillerato"/>
    <s v="Académico"/>
    <m/>
    <s v="Once"/>
    <s v="0100"/>
    <s v="Escala de 0 - 5"/>
    <m/>
    <m/>
    <m/>
    <m/>
    <m/>
    <m/>
    <n v="4"/>
    <n v="4.5"/>
    <m/>
    <n v="4.5"/>
    <n v="4.5"/>
    <m/>
    <m/>
    <m/>
    <m/>
    <m/>
    <m/>
    <m/>
    <m/>
    <m/>
    <m/>
    <s v="De 9 y 10"/>
    <n v="4.375"/>
    <s v="NO"/>
    <s v="NA"/>
    <n v="0"/>
    <n v="0"/>
    <s v="No"/>
    <s v="Sin informacion"/>
    <s v="Sin informacion"/>
    <s v="Sin informacion"/>
    <s v="Sin informacion"/>
    <s v="Sin informacion"/>
    <s v="Sin informacion"/>
    <s v="Sin informacion"/>
    <n v="48.332999999999998"/>
    <s v="Sin detalle por componente"/>
    <s v="Ninguna"/>
    <s v="Tengo el firme propósito de ingresar a la Universidad EAFIT, no solo porque ofrece una formación académica excelente, sino porque representa una comunidad en la que puedo desarrollar mi máximo potencial, y donde puedo comenzar a construir mi sueño: ser un profesional que genere impacto positivo, siendo un líder y generando empleo, aportando activamente a la sociedad, y no solo hablo de Medellín, que para mí, está llena de talento, y que también enfrenta grandes retos en materia de movilidad, empleo, sostenibilidad y desarrollo económico, sino de toda Colombia._x000a__x000a_Ingeniería Industrial de EAFIT,  me inspira profundamente por su enfoque integral, moderno, ajustado a los cambios y necesidades que se presentan actualmente en el mundo, me motiva saber que, como estudiante, aprenderé a resolver problemas en los distintos niveles dentro de la organización, a liderar procesos en toda la cadena de suministro y a optimizar recursos para lograr productos y servicios más rápidos, eficientes y de calidad, además del énfasis en analítica de datos y finanzas permitiendo contar con herramientas sólidas para ingresar en un entorno laboral versátil y proponer soluciones, ayudar a pequeñas y medianas empresas a fortalecer sus procesos, hacerlos más competitivos y sostenibles, para luego con toda la experiencia adquirida crear mi propia empresa y a la vez liderar proyectos comunitarios que vinculen la tecnología con el bienestar social, generando un alto impacto en el país._x000a__x000a_Estoy convencido de que EAFIT es el lugar para cumplir mi propósito, no solo por su prestigio académico, sino por su enfoque humano, su visión de formar profesionales íntegros, éticos y comprometidos con la sociedad. Aquí no solo quiero estudiar, sino crecer, formarme como un buen ser humano y dejar huella."/>
    <s v="Estudiantes de EAFIT"/>
    <s v="Por la calidad académica."/>
    <s v="Alta empleabilidad."/>
    <n v="2"/>
    <s v="1"/>
    <s v="SI"/>
    <s v="NO"/>
    <s v="Entre 6 y 7 millones"/>
    <s v="No"/>
    <n v="0"/>
    <s v="N"/>
    <m/>
    <s v="Y"/>
    <m/>
    <s v="NO"/>
    <s v="NA"/>
    <s v="NA"/>
    <s v="Sin información"/>
    <n v="0"/>
    <m/>
    <m/>
    <m/>
    <s v=""/>
    <s v=""/>
    <m/>
    <s v=""/>
    <m/>
    <s v=""/>
    <m/>
    <m/>
    <s v=""/>
    <s v="Si"/>
    <s v="Natalia Andrea Vélez Carvajal"/>
    <m/>
    <m/>
    <m/>
    <s v="Administradora de empresas"/>
    <s v="Contratista"/>
    <s v="Profesional de apoyo"/>
    <s v="Alcaldia de Medellin"/>
    <n v="6700000"/>
    <s v="Si"/>
    <m/>
    <m/>
    <m/>
    <n v="6700000"/>
    <s v="Si"/>
    <s v="Maximiliano Perez Velez"/>
    <s v="Hermano / Hermana"/>
    <s v="12"/>
    <s v="Estudiante"/>
    <s v="Gimnasio Internacional de Medellin"/>
    <n v="0"/>
    <s v="No"/>
    <s v=""/>
    <s v=""/>
    <s v=""/>
    <s v=""/>
    <s v=""/>
    <m/>
    <s v=""/>
    <s v=""/>
    <s v=""/>
    <s v=""/>
    <s v=""/>
    <s v=""/>
    <m/>
    <s v=""/>
    <s v=""/>
    <n v="0"/>
    <n v="0"/>
    <n v="0"/>
    <n v="0"/>
    <n v="0"/>
    <s v="No"/>
    <s v=""/>
    <s v=""/>
    <n v="0"/>
    <s v="No"/>
    <s v=""/>
    <s v=""/>
    <n v="0"/>
    <s v="No"/>
    <s v=""/>
    <s v=""/>
    <s v=""/>
    <n v="0"/>
    <m/>
    <n v="4"/>
    <n v="4"/>
    <n v="3"/>
    <n v="4"/>
    <n v="4"/>
    <n v="3"/>
    <n v="4"/>
    <n v="4"/>
    <n v="3"/>
    <n v="4"/>
    <n v="37"/>
    <s v="SI"/>
    <s v="SI, ICFES"/>
    <s v="PRI SIN PUNTAJE ICFES, TIPO IES, DETALLE OTROS ESTUDIOS Y DETALLE ENTREVISTA"/>
    <s v="ok se completa con info conv anterior"/>
    <s v="Negada"/>
    <n v="20251"/>
    <m/>
    <n v="3"/>
    <n v="10"/>
    <n v="8"/>
    <n v="15"/>
    <n v="15"/>
    <n v="15"/>
    <n v="20"/>
    <n v="13.5"/>
    <n v="13.5"/>
    <n v="88.5"/>
    <n v="0.4"/>
    <m/>
    <n v="2"/>
    <n v="4.5"/>
    <n v="3"/>
    <n v="4"/>
    <n v="2"/>
    <n v="4"/>
    <n v="3"/>
    <n v="4.5"/>
    <n v="86.5"/>
    <n v="0.4"/>
    <n v="0.5"/>
    <e v="#N/A"/>
    <m/>
    <m/>
    <s v="SI, ICFES"/>
    <m/>
    <m/>
    <s v="Ingeniería Industrial"/>
    <e v="#N/A"/>
    <m/>
    <e v="#N/A"/>
  </r>
  <r>
    <s v="TI"/>
    <n v="1034992280"/>
    <s v="1000393698"/>
    <s v="SALOMÉ GARCÍA LEÓN"/>
    <s v="Estudios por primera vez"/>
    <x v="1"/>
    <s v="Descartado por bajo icfes"/>
    <m/>
    <s v="En publico objetivo"/>
    <s v="2da Cohorte"/>
    <s v="Admitido"/>
    <s v="sgarcial7@eafit.edu.co"/>
    <s v="sgarcial7@eafit.edu.co"/>
    <s v="sgarcial7@eafit.edu.co"/>
    <s v="315/239-6699"/>
    <d v="2025-05-16T00:00:00"/>
    <s v="Activo en Programa"/>
    <s v="085-Ingeniería Diseño de Producto"/>
    <s v="E Ciencias Aplic e Ingeniería"/>
    <d v="2008-01-25T00:00:00"/>
    <n v="17"/>
    <s v="Antioquia"/>
    <s v="Medellín"/>
    <s v="Mujer"/>
    <s v="Soltero"/>
    <s v="NO"/>
    <s v="NO"/>
    <n v="0"/>
    <s v="NO"/>
    <s v="NA"/>
    <s v="NO"/>
    <s v="NA"/>
    <s v="NO"/>
    <s v="NA"/>
    <s v="No"/>
    <s v="604/598-0412"/>
    <s v="315/239-6699"/>
    <s v="Estrato 2"/>
    <s v="CL 124 SUR N 52 12 CALDAS"/>
    <s v="Antioquia"/>
    <s v="Medellín"/>
    <s v="No aplica, no soy foráneo"/>
    <s v="Propio"/>
    <s v="SI"/>
    <s v="2024"/>
    <s v="AC202433134442"/>
    <n v="319"/>
    <n v="72"/>
    <n v="59"/>
    <s v="Privada"/>
    <s v="COL PADRE MANYANET"/>
    <n v="2024"/>
    <m/>
    <s v="Medellín"/>
    <s v="Bachillerato"/>
    <s v="BACHILLER"/>
    <s v="TIPO: Privada, INSTITUCION: COL PADRE MANYANET, AÑO: 2024, CIUDAD: Medellín, TITULO: BACHILLER"/>
    <s v="11"/>
    <s v="Escala de 0 - 5"/>
    <s v="Escala de 0 - 5"/>
    <s v="4"/>
    <s v="4"/>
    <m/>
    <s v="4,5"/>
    <s v="4"/>
    <m/>
    <n v="4"/>
    <n v="3.4"/>
    <m/>
    <n v="4"/>
    <n v="4"/>
    <m/>
    <s v="4,5"/>
    <s v="4,5"/>
    <m/>
    <s v="4"/>
    <s v="4"/>
    <m/>
    <s v="4"/>
    <s v="3,4"/>
    <m/>
    <s v="De 9 y 10"/>
    <n v="3.85"/>
    <s v="NO"/>
    <s v="NA"/>
    <n v="0"/>
    <n v="0"/>
    <s v="No"/>
    <n v="50"/>
    <m/>
    <n v="50"/>
    <m/>
    <n v="50"/>
    <m/>
    <s v="Admitida al programa que se inscribió"/>
    <n v="50"/>
    <s v="Con detalle por componente"/>
    <s v="Artísticas o culturales,Trabajo social o comunitario,Otras (por ejemplo, un talento extraordinario)"/>
    <s v="Al hacer parte de una sociedad se presentan retos que permiten a los jovenes descubrir aquellas habilidades y capacidades con las cuales puedan aportar un beneficio a la comunidad. Respecto a la profesión que elegí, aspiro a transformar el sector, pensamiento, y situaciones de otras personas. Quiero transformar vidas y ser destacada en el ámbito por lo mismo, busco innovación y nuevos productos que puedan hacer un cambio significativo y potencial para el desarrollo ciudadano o incluso internacional. La ingeniería de diseño de producto basa su entendimiento en el reconocimiento de la necesidad social; preguntas como: ¿Qué producto se puede crear para facilitar y disminuir tiempo que se puede invertir en otras situaciones? son parte del dia a dia en la carrera. No es solo vender un producto, es entender el entorno de las personas, anticipandose en las necesidades y generando un impacto que supere las expectativas, algo que en la actualidad se omite por el afan de vender, se olvidan de la importancia de CREAR efectivamente un producto, CREAR una necesidad con sentido. Lo que busco con la beca de talentos Eafit es hacer parte de una comunidad acogedora, donde se enseña el liderazgo como algo fundamental. El conocimiento que verdaderamente da frutos proviene de un lugar donde se enfocan en la manera como se enseña, cómo ser mejor humano y en cómo resaltar dentro de tantas propuestas en el ámbito, eso es lo que la Universidad EAFIT ofrece, y eso es lo que se necesita para dar una propuesta de impacto a la sociedad, ademas de carisma y empatia. Como egresada de esta institución, me visualizo como una profesional íntegra, capaz de demostrar con el ejemplo todo lo aprendido en cada semestre de formación. Gracias a esta beca, tendría la oportunidad de vivir ese proceso transformador."/>
    <s v="Estudiantes de EAFIT"/>
    <s v="Por la calidad académica."/>
    <s v="Certificación."/>
    <n v="2"/>
    <s v="2"/>
    <s v="NO"/>
    <s v="NO"/>
    <s v="Entre 4 y 5 millones"/>
    <s v="Si"/>
    <n v="0"/>
    <n v="0"/>
    <m/>
    <s v="Y"/>
    <m/>
    <s v="NO"/>
    <s v="NA"/>
    <s v="NA"/>
    <s v="Si"/>
    <s v="Julio cesar garcía vasquez"/>
    <s v="Casado"/>
    <s v="BACHILLERATO"/>
    <s v="55"/>
    <s v="Independiente"/>
    <s v="Independiente (trabaja por cuenta propia)"/>
    <s v="Comerciante"/>
    <s v="Aserrios de maderas el rayo"/>
    <n v="4212000"/>
    <s v="No"/>
    <s v="NO"/>
    <s v="NO"/>
    <s v="Hace 2 años no vivo con él y no aporta economicamente"/>
    <s v="Si"/>
    <s v="Leidy Laura león quiroz"/>
    <s v="Otro"/>
    <m/>
    <s v="36"/>
    <s v="ama de casa"/>
    <s v="Labores del hogar y cuidado"/>
    <s v="Ama de casa"/>
    <s v="Ama de casa"/>
    <n v="0"/>
    <s v="No"/>
    <s v="NO"/>
    <s v="NO"/>
    <s v="Atenta a mi en lo emocional"/>
    <n v="4212000"/>
    <s v="Si"/>
    <s v="Maria eugenia quiroz acevedo"/>
    <s v="Abuelo / Abuela"/>
    <s v="64"/>
    <s v="Contratos para realizar comidas"/>
    <s v="independiente"/>
    <n v="2800000"/>
    <s v="Si"/>
    <s v="Fernando de jesus león taborda"/>
    <s v="Abuelo / Abuela"/>
    <s v="70"/>
    <s v="Pensionado"/>
    <s v="pensionado"/>
    <n v="1423500"/>
    <s v="Si"/>
    <s v=""/>
    <s v=""/>
    <s v=""/>
    <s v=""/>
    <s v=""/>
    <m/>
    <s v=""/>
    <s v="Muy decentes y preocupados por mi estudio y vida social"/>
    <n v="160000000"/>
    <n v="0"/>
    <n v="0"/>
    <n v="0"/>
    <n v="0"/>
    <s v="No"/>
    <s v=""/>
    <s v=""/>
    <n v="0"/>
    <s v="No"/>
    <s v=""/>
    <s v=""/>
    <n v="0"/>
    <s v="No"/>
    <s v=""/>
    <s v=""/>
    <s v=""/>
    <n v="0"/>
    <m/>
    <n v="4"/>
    <n v="4"/>
    <n v="4"/>
    <n v="4"/>
    <n v="4"/>
    <n v="4"/>
    <n v="4"/>
    <n v="4"/>
    <n v="4"/>
    <n v="4"/>
    <n v="40"/>
    <s v="SI"/>
    <m/>
    <s v="SI, SON PRI"/>
    <s v="ok tienen todos los datos"/>
    <e v="#N/A"/>
    <e v="#N/A"/>
    <m/>
    <n v="3"/>
    <n v="10"/>
    <n v="10"/>
    <n v="5"/>
    <n v="10"/>
    <n v="15"/>
    <n v="20"/>
    <n v="13.5"/>
    <n v="12.5"/>
    <n v="72.5"/>
    <n v="0.4"/>
    <m/>
    <n v="2"/>
    <n v="2.5"/>
    <n v="6"/>
    <n v="2"/>
    <n v="2"/>
    <n v="2.5"/>
    <n v="7"/>
    <n v="2"/>
    <n v="73.5"/>
    <n v="0.4"/>
    <n v="0.5"/>
    <e v="#N/A"/>
    <m/>
    <m/>
    <n v="0"/>
    <m/>
    <m/>
    <s v="Ingeniería Diseño de Producto"/>
    <e v="#N/A"/>
    <s v="085"/>
    <e v="#N/A"/>
  </r>
  <r>
    <s v="TI"/>
    <n v="1034992327"/>
    <s v="1000388338"/>
    <s v="ESTEFANIA LONDOÑO ARDILA"/>
    <s v="Estudios por primera vez"/>
    <x v="10"/>
    <s v="Descartado, pago matricula"/>
    <s v="Ya pago matricula"/>
    <s v="En publico objetivo"/>
    <s v="1er Cohorte"/>
    <s v="Activo"/>
    <s v="elondonoa5@eafit.edu.co"/>
    <s v="elondonoa5@eafit.edu.co"/>
    <s v="elondonoa5@eafit.edu.co"/>
    <s v="573225341109"/>
    <d v="2025-04-25T00:00:00"/>
    <s v="Activo en Programa"/>
    <s v="168-Psicología"/>
    <s v="Escuela de Artes y Humanidades"/>
    <d v="2008-02-04T00:00:00"/>
    <n v="17"/>
    <s v="Antioquia"/>
    <s v="Medellín"/>
    <s v="Mujer"/>
    <s v="Soltero"/>
    <s v="NO"/>
    <s v="NO"/>
    <n v="0"/>
    <s v="NO"/>
    <s v="NA"/>
    <s v="NO"/>
    <s v="NA"/>
    <s v="NO"/>
    <s v="NA"/>
    <s v="No"/>
    <s v="20463333"/>
    <s v="573225341109"/>
    <s v="Estrato 3"/>
    <s v="CL 7 SUR #83 A 70"/>
    <s v="Antioquia"/>
    <s v="Medellín"/>
    <s v="No aplica, no soy foráneo"/>
    <s v="Familiar"/>
    <s v="SI"/>
    <s v="2024"/>
    <s v="AC202430168680"/>
    <n v="344"/>
    <n v="69"/>
    <n v="65"/>
    <s v="Privada"/>
    <s v="COL DE LA INMACULADA"/>
    <n v="2024"/>
    <s v="Antioquia"/>
    <s v="Medellín"/>
    <s v="BACHILLER"/>
    <s v="ACAD"/>
    <s v="TIPO: Privada, INSTITUCION: COL DE LA INMACULADA, AÑO: 2024, CIUDAD: Medellín, TITULO: BACHILLER"/>
    <s v="11"/>
    <s v="Escala de 0 - 5"/>
    <s v="Escala de 0 - 5"/>
    <s v="4,3"/>
    <s v="4,6"/>
    <m/>
    <s v="4,3"/>
    <s v="4,6"/>
    <m/>
    <n v="4.5"/>
    <n v="4.5999999999999996"/>
    <m/>
    <n v="4.5999999999999996"/>
    <n v="4.8"/>
    <m/>
    <s v="4,6"/>
    <s v="4,8"/>
    <m/>
    <s v="4,6"/>
    <s v="4,6"/>
    <m/>
    <s v="4,8"/>
    <s v="4,9"/>
    <m/>
    <s v="De 9 y 10"/>
    <n v="4.625"/>
    <s v="NO"/>
    <s v="NA"/>
    <n v="0"/>
    <n v="0"/>
    <s v="No"/>
    <n v="45"/>
    <m/>
    <n v="50"/>
    <m/>
    <n v="50"/>
    <m/>
    <s v="Persona admitida al programa que se inscribió"/>
    <n v="48.333333333333336"/>
    <s v="Con detalle por componente"/>
    <s v="Trabajo social o comunitario"/>
    <s v="Me visualizo como una profesional en psicología comprometida con el trabajo social y el desarrollo de las comunidades. Mi propósito es crear estrategias que promuevan la salud mental, algo que es fundamental para construir sociedades más justas y empáticas._x000a__x000a_Gracias al apoyo económico que representa esta beca, podré estudiar esta maravillosa carrera, y posteriormente ejercer mi vocación. Aspiro a liderar proyectos que respondan a la creciente emergencia mundial en salud mental, tanto en en jóvenes como en los más adultos._x000a__x000a_Quiero ser parte de campañas que permitan el acceso a espacios de educación emocional y apoyo psicológico. Donde las personas empiecen a ver a la salud mental como una prioridad del día a día, que podamos contribuir a transformar la sociedad en una mucho más cuidadosa y empática, donde se vea la salud como un derecho y no como un privilegio._x000a__x000a_Gracias a EAFIT, podré cumplir uno de mis grandes sueños; ser parte del área de la salud psicológica, haciendo que las personas encuentren equilibrio y satisfacción en sus vidas. Dado que tengo la oportunidad de ser estudiante activa en Idiomas Eafit, noté el compromiso de la universidad con el aprendizaje seguro e inclusivo, lo que impulsó mi entusiasmo, porque aquí, podré trabajar por un futuro más saludable y justo para todos."/>
    <s v="Estudiantes de EAFIT"/>
    <s v="Por la calidad académica."/>
    <s v="Vocación."/>
    <n v="4"/>
    <s v="2"/>
    <s v="NO"/>
    <s v="NO"/>
    <s v="Entre 8 y 9 millones"/>
    <s v="No"/>
    <n v="0"/>
    <n v="0"/>
    <m/>
    <s v="SI"/>
    <s v="Beca"/>
    <s v="NO"/>
    <s v=""/>
    <s v=""/>
    <s v="Si"/>
    <s v="Yecid Londoño Ardila"/>
    <s v="Otro"/>
    <m/>
    <s v="56"/>
    <s v="Ingeniero Electrónico"/>
    <s v="Empleado (con contrato laboral)"/>
    <s v="Profesional centro de operación en el equipo de Centro de Operación Integrada"/>
    <s v="Isagen"/>
    <n v="8624000"/>
    <s v="Si"/>
    <s v="SI"/>
    <s v="SI"/>
    <s v=""/>
    <s v="Si"/>
    <s v="Diana María Ardila Rivera"/>
    <s v="Casado"/>
    <s v="BACHILLERATO"/>
    <s v="53"/>
    <s v="ama de casa"/>
    <s v="Labores del hogar y cuidado"/>
    <s v="Ama de casa"/>
    <s v="NO APLICA"/>
    <n v="0"/>
    <s v="Si"/>
    <s v="NO"/>
    <s v="NO"/>
    <m/>
    <n v="8624000"/>
    <s v="Si"/>
    <s v="Jakeline Londoño Ardila"/>
    <s v="Hermano / Hermana"/>
    <s v="27"/>
    <s v="Fisioterapeuta"/>
    <s v="independiente"/>
    <n v="1500000"/>
    <s v="No"/>
    <s v="María Luzmila Rivera Herrera"/>
    <s v="Abuelo / Abuela"/>
    <s v="76"/>
    <s v="Ama de casa"/>
    <s v="No aplica"/>
    <n v="0"/>
    <s v="No"/>
    <s v=""/>
    <s v=""/>
    <s v=""/>
    <s v=""/>
    <s v=""/>
    <m/>
    <s v=""/>
    <s v=""/>
    <n v="180000000"/>
    <n v="0"/>
    <n v="0"/>
    <n v="0"/>
    <n v="0"/>
    <s v="Si"/>
    <s v="Kia Niro"/>
    <s v="1"/>
    <n v="75000000"/>
    <s v="No"/>
    <s v=""/>
    <s v=""/>
    <n v="0"/>
    <s v="No"/>
    <s v=""/>
    <s v=""/>
    <s v=""/>
    <n v="0"/>
    <m/>
    <n v="4"/>
    <n v="4"/>
    <n v="4"/>
    <n v="4"/>
    <n v="4"/>
    <n v="3"/>
    <n v="4"/>
    <n v="4"/>
    <n v="3"/>
    <n v="4"/>
    <n v="38"/>
    <s v="SI"/>
    <m/>
    <s v="SI, SON PRI"/>
    <s v="ok tienen todos los datos"/>
    <e v="#N/A"/>
    <e v="#N/A"/>
    <s v="SI"/>
    <n v="3"/>
    <n v="10"/>
    <n v="8"/>
    <n v="10"/>
    <n v="20"/>
    <n v="15"/>
    <n v="20"/>
    <n v="8.5"/>
    <n v="8.5"/>
    <n v="83.5"/>
    <n v="0.4"/>
    <m/>
    <n v="2"/>
    <n v="3.5"/>
    <n v="1"/>
    <n v="2"/>
    <n v="2"/>
    <n v="3.5"/>
    <n v="1"/>
    <n v="2"/>
    <n v="81.5"/>
    <n v="0.4"/>
    <s v="Negado"/>
    <e v="#N/A"/>
    <m/>
    <m/>
    <n v="0"/>
    <m/>
    <m/>
    <s v="Psicología"/>
    <e v="#N/A"/>
    <m/>
    <e v="#N/A"/>
  </r>
  <r>
    <s v="TI"/>
    <n v="1034992341"/>
    <s v="1000405609"/>
    <s v="SIMON GIRALDO MAZO"/>
    <s v="Estudios por primera vez"/>
    <x v="1"/>
    <s v="Descartado por ingresos altos"/>
    <m/>
    <s v="En publico objetivo"/>
    <s v="2da Cohorte"/>
    <s v="Admitido"/>
    <s v="sgiraldm13@eafit.edu.co"/>
    <e v="#N/A"/>
    <s v="simongiraldomz@gmail.com"/>
    <s v="573122419985"/>
    <d v="2025-05-16T00:00:00"/>
    <s v="Activo en Programa"/>
    <s v="001-Administración de Negocios"/>
    <s v="Escuela de Administración"/>
    <d v="2008-02-08T00:00:00"/>
    <n v="17"/>
    <s v="Antioquia"/>
    <s v="Medellín"/>
    <s v="Hombre"/>
    <s v="Soltero"/>
    <s v="NO"/>
    <s v="NO"/>
    <n v="0"/>
    <s v="NO"/>
    <s v="NA"/>
    <s v="NO"/>
    <s v="NA"/>
    <s v="NO"/>
    <s v="NA"/>
    <s v="No"/>
    <s v="601-1665"/>
    <s v="573122419985"/>
    <s v="Estrato 3"/>
    <s v="CL 79 A #52 A- 35"/>
    <s v="Antioquia"/>
    <s v="Itagui"/>
    <s v="No aplica, no soy foráneo"/>
    <s v="Arriendo"/>
    <s v="SI"/>
    <s v="2024"/>
    <s v="AC202435305636"/>
    <n v="339"/>
    <n v="71"/>
    <n v="67"/>
    <s v="Privada"/>
    <s v="DE LA UNV. PONTIFICIA BOLIVARI"/>
    <n v="2024"/>
    <s v="Antioquia"/>
    <s v="Medellín"/>
    <s v="BACHILLER"/>
    <s v="ACAD"/>
    <s v="TIPO: Privada, INSTITUCION: DE LA UNV. PONTIFICIA BOLIVARI, AÑO: 2024, CIUDAD: Medellín, TITULO: BACHILLER"/>
    <s v="11"/>
    <s v="Escala de 0 - 5"/>
    <s v="Escala de 0 - 5"/>
    <s v="4,23"/>
    <s v="3,53"/>
    <m/>
    <s v="3,53"/>
    <s v="4,23"/>
    <m/>
    <n v="3.71"/>
    <n v="3.63"/>
    <m/>
    <n v="4"/>
    <n v="4.46"/>
    <m/>
    <s v="4"/>
    <s v="4,46"/>
    <m/>
    <s v="3,52"/>
    <s v="4,26"/>
    <m/>
    <s v="3,52"/>
    <s v="3,91"/>
    <m/>
    <s v="De 9 y 10"/>
    <n v="3.95"/>
    <s v="NO"/>
    <s v="NA"/>
    <n v="0"/>
    <n v="0"/>
    <s v="No"/>
    <n v="40"/>
    <m/>
    <n v="45"/>
    <m/>
    <n v="45"/>
    <m/>
    <s v="Tiene 17 años. Le gusta el liderazgo, la escucha y comprender para brindar ayuda, le gusta la administración y la parte contable para tomar decisiones. Le gusta EAFIT por su reconocimiento"/>
    <n v="43.333333333333336"/>
    <s v="Con detalle por componente"/>
    <s v="Ninguna"/>
    <s v="En un futuro me visualizo siendo dueño de una empresa valorada en billones de dólares. Elegí esta carrera porque creo que representa todos los rasgos de liderazgo que he tenido desde chiquito, y con mi empresa quiero generar un impacto positivo en el mundo. Estoy pensando en una tienda de productos de mejora personal para hombre (tipo Sephora), ya que el mundo se está volviendo muy liberal y es una buena oportunidad, no solo por el dinero, sino para que los hombres se cuiden más y hacer del mundo un lugar más aseado. O también me interesaría una agencia de marketing y automatizar el fulfillment con IA, que los anuncios se hagan con IA, los procesos y todo esté automatizado para generar los mayores resultados posibles (conversiones, leads, formularios) a las empresas que trabajen con nosotros. Podría ser muy eficiente."/>
    <s v="Amigos"/>
    <s v="Por la calidad académica."/>
    <s v="Alta proyección de ingresos."/>
    <n v="1"/>
    <s v="0"/>
    <s v="SI"/>
    <s v="NO"/>
    <s v="Entre 3 y 4 millones"/>
    <s v="Si"/>
    <s v="SI"/>
    <n v="0"/>
    <m/>
    <s v="SI"/>
    <s v="Beca"/>
    <s v="NO"/>
    <s v=""/>
    <s v=""/>
    <s v="Si"/>
    <s v="Marco Antonio Giraldo Gutierrez"/>
    <s v="Soltero"/>
    <s v="PRIMARIA"/>
    <s v="57"/>
    <s v="Independiente"/>
    <s v="Independiente (trabaja por cuenta propia)"/>
    <s v="Mecanico Automotriz"/>
    <s v="N/A (Es independiente)"/>
    <n v="3500000"/>
    <s v="No"/>
    <s v="NO"/>
    <s v="NO"/>
    <s v="No vivo con el, nunca ha respondido por mi"/>
    <s v="Si"/>
    <s v="Alba Luz Mazo Muñoz"/>
    <s v="Soltero"/>
    <s v="TÉCNICA"/>
    <s v="56"/>
    <s v="Independiente"/>
    <s v="Independiente (trabaja por cuenta propia)"/>
    <s v="VENTAS"/>
    <s v="Emprendimiento de sodas saborizadas (Propio)"/>
    <n v="2500000"/>
    <s v="Si"/>
    <s v="SI"/>
    <s v="NO"/>
    <s v="Madre cabeza de hogar"/>
    <n v="6000000"/>
    <s v="No, solo vivo con mis padres"/>
    <s v=""/>
    <s v=""/>
    <s v=""/>
    <s v=""/>
    <s v=""/>
    <m/>
    <s v=""/>
    <s v=""/>
    <s v=""/>
    <s v=""/>
    <s v=""/>
    <s v=""/>
    <m/>
    <s v=""/>
    <s v=""/>
    <s v=""/>
    <s v=""/>
    <s v=""/>
    <s v=""/>
    <m/>
    <s v=""/>
    <s v=""/>
    <n v="0"/>
    <n v="0"/>
    <n v="0"/>
    <n v="0"/>
    <n v="0"/>
    <s v="No"/>
    <s v=""/>
    <s v=""/>
    <n v="0"/>
    <s v="No"/>
    <s v=""/>
    <s v=""/>
    <n v="0"/>
    <s v="No"/>
    <s v=""/>
    <s v=""/>
    <s v=""/>
    <n v="0"/>
    <s v="No hay, la casa es alquilada"/>
    <n v="3"/>
    <n v="4"/>
    <n v="4"/>
    <n v="4"/>
    <n v="4"/>
    <n v="4"/>
    <n v="4"/>
    <n v="4"/>
    <n v="4"/>
    <n v="4"/>
    <n v="39"/>
    <s v="SI"/>
    <m/>
    <s v="SI, SON PRI"/>
    <s v="ok tienen todos los datos"/>
    <e v="#N/A"/>
    <e v="#N/A"/>
    <m/>
    <n v="3"/>
    <n v="10"/>
    <n v="8"/>
    <n v="10"/>
    <n v="10"/>
    <n v="15"/>
    <n v="15"/>
    <n v="13.5"/>
    <n v="13.5"/>
    <n v="73.5"/>
    <n v="0.4"/>
    <m/>
    <n v="2"/>
    <n v="4.5"/>
    <n v="3"/>
    <n v="4"/>
    <n v="2"/>
    <n v="4"/>
    <n v="3"/>
    <n v="4.5"/>
    <n v="71.5"/>
    <n v="0.4"/>
    <n v="0.4"/>
    <e v="#N/A"/>
    <m/>
    <m/>
    <n v="0"/>
    <m/>
    <m/>
    <s v="Administración de Negocios"/>
    <e v="#N/A"/>
    <s v="001"/>
    <e v="#N/A"/>
  </r>
  <r>
    <s v="TI"/>
    <n v="1034992397"/>
    <s v="1000397106"/>
    <s v="DANNA HERRERA VARGAS"/>
    <s v="Estudios por primera vez"/>
    <x v="1"/>
    <s v="Descartado por ingresos altos"/>
    <m/>
    <s v="En publico objetivo"/>
    <s v="3ra Cohorte"/>
    <s v="Admitido"/>
    <s v="dherrerav2@eafit.edu.co"/>
    <s v="avargas2@eafit.edu.co"/>
    <s v="d4nna.herrer408@gmail.com"/>
    <s v="573107265353"/>
    <d v="2025-05-30T00:00:00"/>
    <s v="Activo en Programa"/>
    <s v="237-Diseño Interactivo"/>
    <s v="Escuela de Artes y Humanidades"/>
    <d v="2008-02-08T00:00:00"/>
    <n v="17"/>
    <s v="Antioquia"/>
    <s v="Medellín"/>
    <s v="Mujer"/>
    <s v="Soltero"/>
    <s v="NO"/>
    <s v="NO"/>
    <n v="0"/>
    <s v="NO"/>
    <s v="NA"/>
    <s v="NO"/>
    <s v="NA"/>
    <s v="NO"/>
    <s v="NA"/>
    <s v="No"/>
    <s v="604/582-6886"/>
    <s v="573107265353"/>
    <s v="Estrato 3"/>
    <s v="CL 15 C SUR 52 D 124"/>
    <s v="Antioquia"/>
    <s v="Itagui"/>
    <s v="No aplica, no soy foráneo"/>
    <s v="Propio"/>
    <s v="SI"/>
    <s v="2024"/>
    <s v="AC202430087650"/>
    <n v="339"/>
    <n v="63"/>
    <n v="71"/>
    <s v="Privada"/>
    <s v="COLEGIO INTEGRADO LAURELES"/>
    <n v="2024"/>
    <s v="Antioquia"/>
    <s v="Envigado"/>
    <s v="BACHILLER"/>
    <s v="ACAD"/>
    <s v="TIPO: Privada, INSTITUCION: COLEGIO INTEGRADO LAURELES, AÑO: 2024, CIUDAD: Envigado, TITULO: BACHILLER"/>
    <s v="11"/>
    <s v="Escala de 0 - 5"/>
    <s v="Escala de 0 - 5"/>
    <s v="4"/>
    <s v="4"/>
    <m/>
    <s v="4,5"/>
    <s v="4"/>
    <m/>
    <n v="4"/>
    <n v="4"/>
    <m/>
    <n v="4.5"/>
    <n v="4.5"/>
    <m/>
    <s v="4,5"/>
    <s v="4"/>
    <m/>
    <s v="4,5"/>
    <s v="4"/>
    <m/>
    <s v="4,5"/>
    <s v="4"/>
    <m/>
    <s v="De 9 y 10"/>
    <n v="4.25"/>
    <s v="NO"/>
    <s v="NA"/>
    <n v="0"/>
    <n v="0"/>
    <s v="No"/>
    <n v="40"/>
    <m/>
    <n v="40"/>
    <m/>
    <n v="40"/>
    <m/>
    <m/>
    <n v="40"/>
    <s v="Con detalle por componente"/>
    <s v="Artísticas o culturales,Otras (por ejemplo, un talento extraordinario)"/>
    <s v="Me visualizo como profesional de Diseño Interactivo, animando series o videojuegos, disfrutando lo que haga, creando mis propias historias. Podría aportar con series o videojuegos que lleven mensajes a los aficionados de nunca rendirse frente a las dificultades, de saber construir amistad, cooperación y trabajo en equipo. Obtener la beca me va a permitir abrir posibilidades económicas para los estudios de mi hermana menor, pues se graduará en un par de años y mi mamá tendría dificultades para sostener los estudios universitarios de ambas."/>
    <s v="Referencias familiares"/>
    <s v="Por recomendación."/>
    <s v="Vocación."/>
    <n v="2"/>
    <s v="2"/>
    <s v="NO"/>
    <s v="NO"/>
    <s v="Entre 6 y 7 millones"/>
    <s v="No"/>
    <n v="0"/>
    <n v="0"/>
    <m/>
    <s v="SI"/>
    <s v="Beca"/>
    <s v="NO"/>
    <s v=""/>
    <s v=""/>
    <s v="Si"/>
    <s v="Alvaro Antonio Herrera Rueda"/>
    <s v="Otro"/>
    <s v="BACHILLERATO"/>
    <s v="63"/>
    <s v="Artista"/>
    <s v="Independiente (trabaja por cuenta propia)"/>
    <s v="Pintor"/>
    <s v="Independiente"/>
    <n v="0"/>
    <s v="No"/>
    <s v="NO"/>
    <s v="NO"/>
    <s v="No tengo conocimiento de la cantidad de ingresos de mi padre. Él no aporta para mi manutención de manera regular, apoya cuando puede con materiales de estudio."/>
    <s v="Si"/>
    <s v="Ana María Vargas Betancur"/>
    <s v="Soltero"/>
    <s v="MAESTRÍA"/>
    <s v="54"/>
    <s v="Psicóloga"/>
    <s v="Empleado (con contrato laboral)"/>
    <s v="Coordinadora de Permanencia Estudiantil"/>
    <s v="EAFIT"/>
    <n v="7500000"/>
    <s v="Si"/>
    <s v="SI"/>
    <s v="SI"/>
    <s v="Mi madre es quien se encarga del sostenimiento económico de mi hermana y yo."/>
    <n v="7500000"/>
    <s v="Si"/>
    <s v="Lucía Herrera Vargas"/>
    <s v="Hermano / Hermana"/>
    <s v="14"/>
    <s v="Estudiante"/>
    <s v="Colegio Campestre El Remanso"/>
    <n v="0"/>
    <s v="No"/>
    <s v="Andrea Vasquez Vargas"/>
    <s v="Hermano / Hermana"/>
    <s v="33"/>
    <s v="Profesora de música"/>
    <s v="Colegio Colombo Británico"/>
    <n v="0"/>
    <s v="No"/>
    <s v=""/>
    <s v=""/>
    <s v=""/>
    <s v=""/>
    <s v=""/>
    <m/>
    <s v=""/>
    <s v="No conozco el monto de ingresos de mi hermana mayor, ya se independizó, vive con su esposo."/>
    <n v="0"/>
    <n v="220000000"/>
    <n v="0"/>
    <n v="0"/>
    <n v="0"/>
    <s v="No"/>
    <s v=""/>
    <s v=""/>
    <n v="0"/>
    <s v="No"/>
    <s v=""/>
    <s v=""/>
    <n v="0"/>
    <s v="No"/>
    <s v=""/>
    <s v=""/>
    <s v=""/>
    <n v="0"/>
    <s v="Solo poseemos el apartamento, se paga deuda hipotecaria. El precio que se informa es el precio comercial promedio que nos han informado los vecinos de la Unidad Residencial donde vivimos."/>
    <n v="4"/>
    <n v="2"/>
    <n v="3"/>
    <n v="4"/>
    <n v="4"/>
    <n v="2"/>
    <n v="4"/>
    <n v="2"/>
    <n v="4"/>
    <n v="4"/>
    <n v="33"/>
    <s v="SI"/>
    <m/>
    <s v="SI, SON PRI"/>
    <s v="ok tienen todos los datos"/>
    <e v="#N/A"/>
    <e v="#N/A"/>
    <m/>
    <n v="3"/>
    <n v="10"/>
    <n v="8"/>
    <n v="10"/>
    <n v="15"/>
    <n v="10"/>
    <n v="10"/>
    <n v="6.5"/>
    <n v="6.5"/>
    <n v="61.5"/>
    <n v="0.4"/>
    <m/>
    <n v="2"/>
    <n v="2.5"/>
    <n v="1"/>
    <n v="1"/>
    <n v="2"/>
    <n v="2.5"/>
    <n v="1"/>
    <n v="1"/>
    <n v="59.5"/>
    <n v="0.4"/>
    <n v="0.4"/>
    <e v="#N/A"/>
    <m/>
    <m/>
    <n v="0"/>
    <m/>
    <m/>
    <s v="Diseño Interactivo"/>
    <e v="#N/A"/>
    <s v="237"/>
    <e v="#N/A"/>
  </r>
  <r>
    <s v="TI"/>
    <n v="1034992398"/>
    <s v="1000389333"/>
    <s v="JUAN JOSÉ MAZO RODRÍGUEZ"/>
    <s v="Estudios por primera vez"/>
    <x v="14"/>
    <s v="Descartado por ingresos altos"/>
    <m/>
    <s v="En publico objetivo"/>
    <s v="3ra Cohorte"/>
    <s v="Admitido"/>
    <s v="jjmazor@eafit.edu.co"/>
    <s v="jjmazor@eafit.edu.co"/>
    <s v="jjmazor@eafit.edu.co"/>
    <s v="301/642-9746"/>
    <d v="2025-05-30T00:00:00"/>
    <s v="Activo en Programa"/>
    <s v="010-Ingeniería de Sistemas"/>
    <s v="E Ciencias Aplic e Ingeniería"/>
    <d v="2008-02-16T00:00:00"/>
    <n v="17"/>
    <s v="Antioquia"/>
    <s v="Medellín"/>
    <s v="Hombre"/>
    <s v="Soltero"/>
    <s v="NO"/>
    <s v="NO"/>
    <n v="0"/>
    <s v="NO"/>
    <s v="NA"/>
    <s v="NO"/>
    <s v="NA"/>
    <s v="NO"/>
    <s v="NA"/>
    <s v="No"/>
    <s v="604/297-0324"/>
    <s v="301/642-9746"/>
    <s v="Estrato 3"/>
    <s v="Cr 48B #82-38"/>
    <s v="Antioquia"/>
    <s v="Medellín"/>
    <s v="No aplica, no soy foráneo"/>
    <s v="Propio"/>
    <s v="SI"/>
    <s v="2024"/>
    <s v="AC202433214012"/>
    <n v="347"/>
    <n v="71"/>
    <n v="71"/>
    <s v="Pública"/>
    <s v="INST EDUC CAMPO VALDES"/>
    <n v="2024"/>
    <s v="Antioquia"/>
    <s v="Medellín"/>
    <s v="BACHILLER"/>
    <n v="0"/>
    <s v="TIPO: Pública, INSTITUCION: INST EDUC CAMPO VALDES, AÑO: 2024, CIUDAD: Medellín, TITULO: BACHILLER"/>
    <s v="11"/>
    <s v="Escala de 0 - 5"/>
    <s v="Escala de 0 - 5"/>
    <s v="3,3"/>
    <s v="3"/>
    <s v="3"/>
    <s v="3,4"/>
    <s v="3"/>
    <s v="3"/>
    <n v="3"/>
    <n v="3"/>
    <n v="3"/>
    <n v="4"/>
    <n v="3"/>
    <n v="3"/>
    <s v="4,5"/>
    <s v="4"/>
    <s v="4"/>
    <s v="5"/>
    <s v="4,1"/>
    <s v="3"/>
    <s v="4"/>
    <s v="3,5"/>
    <s v="4"/>
    <s v="De 9, 10 y 11"/>
    <n v="3.1666666666666665"/>
    <s v="NO"/>
    <s v="NA"/>
    <n v="0"/>
    <n v="0"/>
    <s v="No"/>
    <n v="45"/>
    <m/>
    <n v="50"/>
    <m/>
    <n v="50"/>
    <m/>
    <m/>
    <n v="48.333333333333336"/>
    <s v="Con detalle por componente"/>
    <s v="Ninguna"/>
    <s v="Desde pequeño me he interesado con la tecnología y el mundo de la programación por eso decidí estudiar ingeniería de sistemas con el sueño de convertirme en profesional para transformar mi entorno a través de la tecnología._x000a__x000a_Me veo dando soluciones que respondan a las necesidades de mi region, ya que he visto que hay muchos procesos que no son eficientes y que podrían optimizarse mediante aplicaciones y plataformas digitales, mejorando la eficiencia en areas como la educación, la salud y la gestión de recursos locales. Quiero fomentar el uso de la tecnología en comunidades urbanas para dar oportunidad a quienes por falta de conectividad, no han podido aprovechar el potencial de la  era digital_x000a__x000a_Obtener esta beca seria una increíble oportunidad para alcanzar ese objetivo, al poder formarme académicamente en la universidad algo que no podría hacer sin esta beca debido a limitaciones económicas. Aspiro a ser un ejemplo demostrando que, con esfuerzo y dedicación, es posible salir adelante"/>
    <s v="Sin informacion"/>
    <s v="Sin informacion"/>
    <s v="Sin informacion"/>
    <n v="7"/>
    <s v="2"/>
    <s v="NO"/>
    <s v="NO"/>
    <s v="Entre 5 y 6 millones"/>
    <s v="No"/>
    <n v="0"/>
    <n v="0"/>
    <m/>
    <s v="SI"/>
    <s v="Beca"/>
    <s v="NO"/>
    <s v=""/>
    <s v=""/>
    <s v="Si"/>
    <s v="Jorge Albeiro Mazo Builes"/>
    <s v="Casado"/>
    <s v="UNIVERSITARIOS"/>
    <s v="46"/>
    <s v="Ingeniero en Instrumentacion y Control"/>
    <s v="Empleado (con contrato laboral)"/>
    <s v="COORDINADOR DE MANTENIMIENTO ELECTRICO"/>
    <s v="Alico"/>
    <n v="6440354"/>
    <s v="Si"/>
    <s v="SI"/>
    <s v="SI"/>
    <s v="Ninguna"/>
    <s v="Si"/>
    <s v="Liliana María Rodríguez Orozco"/>
    <s v="Soltero"/>
    <s v="BACHILLERATO"/>
    <s v="47"/>
    <s v="ama de casa"/>
    <s v="Labores del hogar y cuidado"/>
    <s v="Ninguno"/>
    <s v="NINGUNA"/>
    <n v="0"/>
    <s v="Si"/>
    <s v="NO"/>
    <s v="NO"/>
    <s v="Ninguna"/>
    <n v="6440354"/>
    <s v="Si"/>
    <s v="Maria Isabel Mazo Rodríguez"/>
    <s v="Hermano / Hermana"/>
    <s v="21"/>
    <s v="Dj productora"/>
    <s v="Ninguna"/>
    <n v="0"/>
    <s v="No"/>
    <s v="Ana Maria Mazo Rodríguez"/>
    <s v="Hermano / Hermana"/>
    <s v="19"/>
    <s v="Estudiante"/>
    <s v="Ecosesa"/>
    <n v="0"/>
    <s v="No"/>
    <s v="Miguel Angel Aguirre Garcia"/>
    <s v="Hermano / Hermana"/>
    <s v="17"/>
    <s v="Estudiante"/>
    <s v="Universidad de Antioquia"/>
    <n v="0"/>
    <s v="No"/>
    <s v="Ninguna"/>
    <n v="191014000"/>
    <n v="0"/>
    <n v="0"/>
    <n v="0"/>
    <n v="0"/>
    <s v="No"/>
    <s v=""/>
    <s v=""/>
    <n v="0"/>
    <s v="No"/>
    <s v=""/>
    <s v=""/>
    <n v="0"/>
    <s v="Si"/>
    <s v="Moto"/>
    <s v="Honda"/>
    <s v="125"/>
    <n v="3600000"/>
    <s v="Ninguna"/>
    <n v="4"/>
    <n v="4"/>
    <n v="3"/>
    <n v="4"/>
    <n v="4"/>
    <n v="3"/>
    <n v="4"/>
    <n v="3"/>
    <n v="2"/>
    <n v="4"/>
    <n v="35"/>
    <s v="SI"/>
    <m/>
    <s v="SI, SON PRI"/>
    <s v="ok tienen todos los datos"/>
    <s v="Negada"/>
    <n v="20251"/>
    <m/>
    <n v="3"/>
    <n v="10"/>
    <n v="8"/>
    <n v="10"/>
    <n v="5"/>
    <n v="15"/>
    <n v="20"/>
    <n v="11"/>
    <n v="11"/>
    <n v="71"/>
    <n v="0.4"/>
    <m/>
    <n v="3.5"/>
    <n v="2.5"/>
    <n v="3"/>
    <n v="2"/>
    <n v="3.5"/>
    <n v="2.5"/>
    <n v="3"/>
    <n v="2"/>
    <n v="69"/>
    <n v="0.4"/>
    <s v="Negado"/>
    <e v="#N/A"/>
    <m/>
    <m/>
    <n v="0"/>
    <m/>
    <m/>
    <s v="Ingeniería de Sistemas"/>
    <e v="#N/A"/>
    <m/>
    <e v="#N/A"/>
  </r>
  <r>
    <s v="TI"/>
    <n v="1034992405"/>
    <s v="1000405188"/>
    <s v="ZAHELA DUEÑAS CATAÑO"/>
    <s v="Estudios por primera vez"/>
    <x v="1"/>
    <s v="No cumple, estrato 4"/>
    <m/>
    <s v="En publico objetivo"/>
    <s v="2da Cohorte"/>
    <s v="Admitido"/>
    <s v="zduenasc@eafit.edu.co"/>
    <e v="#N/A"/>
    <s v="zahela1402@gmail.com"/>
    <s v="604 60068833"/>
    <d v="2025-05-16T00:00:00"/>
    <s v="Activo en Programa"/>
    <s v="084-Derecho"/>
    <s v="Escuela de Derecho"/>
    <d v="2008-02-14T00:00:00"/>
    <n v="17"/>
    <s v="Antioquia"/>
    <s v="Envigado"/>
    <s v="Mujer"/>
    <s v="Soltero"/>
    <s v="NO"/>
    <s v="NO"/>
    <n v="0"/>
    <s v="NO"/>
    <s v="NA"/>
    <s v="NO"/>
    <s v="NA"/>
    <s v="NO"/>
    <s v="NA"/>
    <s v="No"/>
    <s v="604 60068833"/>
    <s v="NA"/>
    <s v="Estrato 4"/>
    <s v="CL 39 SUR N 25 C- 89"/>
    <s v="Antioquia"/>
    <s v="Envigado"/>
    <s v="No aplica, no soy foráneo"/>
    <s v="Propio"/>
    <s v="SI"/>
    <s v="2024"/>
    <s v="AC202433040508"/>
    <n v="341"/>
    <n v="66"/>
    <n v="74"/>
    <s v="Privada"/>
    <s v="COL DE LA PRESENTACION ENVIGAD"/>
    <n v="2024"/>
    <s v="Antioquia"/>
    <s v="Envigado"/>
    <s v="BACHILLER"/>
    <s v="ACAD"/>
    <s v="TIPO: Privada, INSTITUCION: COL DE LA PRESENTACION ENVIGAD, AÑO: 2024, CIUDAD: Envigado, TITULO: BACHILLER"/>
    <s v="11"/>
    <s v="Escala de 0 - 5"/>
    <s v="Escala de 0 - 5"/>
    <s v="3,8"/>
    <s v="4,1"/>
    <m/>
    <s v="4,4"/>
    <s v="3,9"/>
    <m/>
    <n v="3.9"/>
    <n v="4.3"/>
    <m/>
    <n v="4"/>
    <n v="4.2"/>
    <m/>
    <s v="4,1"/>
    <s v="4"/>
    <m/>
    <s v="4,6"/>
    <s v="4,6"/>
    <m/>
    <s v="4,2"/>
    <s v="4,5"/>
    <m/>
    <s v="De 9 y 10"/>
    <n v="4.0999999999999996"/>
    <s v="NO"/>
    <s v="NA"/>
    <n v="0"/>
    <n v="0"/>
    <s v="No"/>
    <n v="45"/>
    <m/>
    <n v="50"/>
    <m/>
    <n v="50"/>
    <m/>
    <s v="Excelente candidata. Buen conocimiento del programa"/>
    <n v="48.333333333333336"/>
    <s v="Con detalle por componente"/>
    <s v="Deportistas de alto rendimiento o representativo,Espacios de liderazgo o representación social,Trabajo social o comunitario"/>
    <s v="Escogí esta carrera porque es algo que me apasiona. El ejercicio del derecho y ver cómo, al ser ejercido, puede generar un gran impacto en la sociedad es lo que más me fascina y emociona de este proceso. Desde pequeña me he visualizado a mí misma como una agente de cambio en mi país y en mi entorno, y siento que esta carrera me permitiría realizar una verdadera transformación frente a todos los problemas que hoy, como sociedad, enfrentamos._x000a__x000a_Creo firmemente en el poder de la palabra y en cómo, a través de argumentos conscientes, podemos ser y crear el cambio que queremos ver en el mundo: ser la voz de aquellos que no se atreven a expresarse y convertirme en una líder que, día a día, lucha por construir una ciudad y un país mejor._x000a__x000a_Esta beca Talento significaría el inicio de mi camino, no solo como abogada, sino como líder de mi comunidad, y me permitirá formarme para así entregar mi conocimiento y esfuerzo en pro de un propósito mayor."/>
    <s v="A través del Colegio"/>
    <s v="Por la calidad académica."/>
    <s v="Vocación."/>
    <n v="1"/>
    <s v="0"/>
    <s v="SI"/>
    <s v="NO"/>
    <s v="Entre 4 y 5 millones"/>
    <s v="Si"/>
    <n v="0"/>
    <n v="0"/>
    <m/>
    <s v="SI"/>
    <s v="Beca"/>
    <s v="NO"/>
    <s v=""/>
    <s v=""/>
    <s v="Si"/>
    <s v="Luis Ariel Dueñas Herrera"/>
    <s v="Unión marital"/>
    <s v="UNIVERSITARIOS"/>
    <s v="53"/>
    <s v="Independiente"/>
    <s v="Trabajador informal"/>
    <s v="Dicta cursos en seguridad privada en academias de seguridad"/>
    <s v="Academia SWAT BODYGUARDS Caucasia"/>
    <n v="0"/>
    <s v="No"/>
    <s v="NO"/>
    <s v="NO"/>
    <s v="No vivo con mi padre y desconozco sus ingresos, desde hace muchos años dependo solo economicamente de mi mamá."/>
    <s v="Si"/>
    <s v="Luz Damaris Cataño Zapata"/>
    <s v="Soltero"/>
    <s v="ESPECIALIZACIÓN"/>
    <s v="47"/>
    <s v="Independiente"/>
    <s v="Emprendedor (inicia un proyecto productivo o negocio propio)"/>
    <s v="Tiene un emprendimiento enfocado en la iluminacion solar (comercialización de lamparas y reflectores solares)"/>
    <s v="Antojitosda"/>
    <n v="5200000"/>
    <s v="Si"/>
    <s v="SI"/>
    <s v="NO"/>
    <s v="Ella trabajo durante 20 años en el sector privado y actualmente se encuentra desarrollando su emprendimiento personal"/>
    <n v="5200000"/>
    <s v="No, solo vivo con mis padres"/>
    <s v=""/>
    <s v=""/>
    <s v=""/>
    <s v=""/>
    <s v=""/>
    <m/>
    <s v=""/>
    <s v=""/>
    <s v=""/>
    <s v=""/>
    <s v=""/>
    <s v=""/>
    <m/>
    <s v=""/>
    <s v=""/>
    <s v=""/>
    <s v=""/>
    <s v=""/>
    <s v=""/>
    <m/>
    <s v=""/>
    <s v=""/>
    <n v="0"/>
    <n v="300000000"/>
    <n v="0"/>
    <n v="0"/>
    <n v="0"/>
    <s v="Si"/>
    <s v="Vitara Suzuki"/>
    <s v="2019"/>
    <n v="50000000"/>
    <s v="No"/>
    <s v=""/>
    <s v=""/>
    <n v="0"/>
    <s v="No"/>
    <s v=""/>
    <s v=""/>
    <s v=""/>
    <n v="0"/>
    <s v="disponemos de un solo vehiculo familiar"/>
    <n v="4"/>
    <n v="4"/>
    <n v="3"/>
    <n v="4"/>
    <n v="4"/>
    <n v="3"/>
    <n v="4"/>
    <n v="4"/>
    <n v="4"/>
    <n v="4"/>
    <n v="38"/>
    <s v="SI"/>
    <m/>
    <s v="SI, SON PRI"/>
    <s v="ok tienen todos los datos"/>
    <e v="#N/A"/>
    <e v="#N/A"/>
    <m/>
    <n v="2"/>
    <n v="4"/>
    <n v="4"/>
    <n v="10"/>
    <n v="15"/>
    <n v="15"/>
    <n v="20"/>
    <n v="11.5"/>
    <n v="8.5"/>
    <n v="72.5"/>
    <n v="0.4"/>
    <m/>
    <n v="2"/>
    <n v="2.5"/>
    <n v="3"/>
    <n v="1"/>
    <n v="2"/>
    <n v="2.5"/>
    <n v="6"/>
    <n v="1"/>
    <n v="75.5"/>
    <n v="0.4"/>
    <n v="0.4"/>
    <e v="#N/A"/>
    <m/>
    <m/>
    <n v="0"/>
    <m/>
    <m/>
    <s v="Derecho"/>
    <e v="#N/A"/>
    <s v="084"/>
    <e v="#N/A"/>
  </r>
  <r>
    <s v="TI"/>
    <n v="1034992585"/>
    <s v="1000399147"/>
    <s v="MARIA CAMILA ARROYAVE MARTINEZ"/>
    <s v="Estudios por primera vez"/>
    <x v="6"/>
    <s v="No cumple, estrato 4"/>
    <m/>
    <s v="En publico objetivo"/>
    <s v="3ra Cohorte"/>
    <s v="Admitido"/>
    <s v="mcarroyam1@eafit.edu.co"/>
    <s v="mcarroyam1@eafit.edu.co"/>
    <s v="cami.arroyavemartinez@gmail.com"/>
    <s v="573006432635"/>
    <d v="2025-05-30T00:00:00"/>
    <s v="Activo en Programa"/>
    <s v="168-Psicología"/>
    <s v="Escuela de Artes y Humanidades"/>
    <d v="2008-03-11T00:00:00"/>
    <n v="17"/>
    <s v="Antioquia"/>
    <s v="Medellín"/>
    <s v="Mujer"/>
    <s v="Otro"/>
    <s v="NO"/>
    <s v="NO"/>
    <n v="0"/>
    <s v="NO"/>
    <s v="NA"/>
    <s v="NO"/>
    <s v="NA"/>
    <s v="NO"/>
    <s v="NA"/>
    <s v="No"/>
    <s v="300/643-2635"/>
    <s v="573006432635"/>
    <s v="Estrato 4"/>
    <s v="CL 63 B SUR #32 550 LA BAHIA LAS LOMITAS SABANETA"/>
    <s v="Antioquia"/>
    <s v="Sabaneta"/>
    <s v="No aplica, no soy foráneo"/>
    <s v="Familiar"/>
    <s v="SI"/>
    <s v="2024"/>
    <s v="AC202434169678"/>
    <n v="300"/>
    <n v="53"/>
    <n v="69"/>
    <s v="Privada"/>
    <s v="COLEGIO TERESIANO"/>
    <n v="2024"/>
    <m/>
    <s v="Envigado"/>
    <s v="Bachillerato"/>
    <s v="BACHILLER"/>
    <s v="TIPO: Privada, INSTITUCION: COLEGIO TERESIANO, AÑO: 2024, CIUDAD: Envigado, TITULO: BACHILLER"/>
    <s v="11"/>
    <s v="Escala Desempeño"/>
    <s v="Escala de 0 - 5"/>
    <s v="4,5"/>
    <s v="3,4"/>
    <m/>
    <s v="4,5"/>
    <s v="3,4"/>
    <m/>
    <n v="4"/>
    <n v="4"/>
    <m/>
    <n v="4.5"/>
    <n v="4"/>
    <m/>
    <s v="4,5"/>
    <s v="4"/>
    <m/>
    <s v="4,5"/>
    <s v="4"/>
    <m/>
    <s v="4"/>
    <s v="3,4"/>
    <m/>
    <s v="De 9 y 10"/>
    <n v="4.125"/>
    <s v="NO"/>
    <s v="NA"/>
    <n v="0"/>
    <n v="0"/>
    <s v="No"/>
    <n v="45"/>
    <m/>
    <n v="45"/>
    <m/>
    <n v="45"/>
    <m/>
    <s v="Admitida al programa que se inscribió"/>
    <n v="45"/>
    <s v="Con detalle por componente"/>
    <s v="Artísticas o culturales"/>
    <s v="Elegí la carrera de psicología por como me apasiona entender el comportamiento humano, siento una profunda curiosidad por como piensan, sienten y actúan las personas y creo firmemente en el valor del acompañamiento emocional y en la posibilidad de crear cambios en las personas desde el conocimiento y la empatía. Al rededor de todo el mundo las personas presentan dificultades emocionales, sociales y muchas veces no tienen las herramientas para lidiar con estas y mi formación como psicóloga me permitirá no solo brindar apoyo individual, sino también mediante proyectos comunitarios promover la salud mental y el bienestar. _x000a__x000a_Obtener esta beca no solo representaría para mí una gran oportunidad académica y de formación personal, sino también es una posibilidad de formarme para retribuir a la comunidad. Aspiró apoyar a las poblaciones vulnerables y crear espacios seguros de escucha y ayuda para quienes lo necesitan. Quiero promover una cultura del cuidado emocional, donde se pueda hablar con libertad y se valore el acompañamiento psicológico como parte del bienestar propio y social. _x000a__x000a_Estoy comprometida con devolver mi aprendizaje en aportes a mi región y a la sociedad con responsabilidad y empatía, derribar tabúes y generar conciencia sobre la importancia de la salud mental. Esta beca me ayudaría a dar los primeros pasos para el sueño que tengo de contribuir en la vida de los otros promoviendo la escucha y el acompañamiento sin prejuicios."/>
    <s v="A través del Colegio"/>
    <s v="Internacionalización."/>
    <s v="Vocación."/>
    <n v="1"/>
    <s v="0"/>
    <s v="SI"/>
    <s v="NO"/>
    <s v="Entre 8 y 9 millones"/>
    <s v="No"/>
    <s v="Y"/>
    <s v="Y"/>
    <m/>
    <s v="N"/>
    <m/>
    <s v="NO"/>
    <s v="NA"/>
    <s v="NA"/>
    <s v="Si"/>
    <s v="Luis Felipe Arroyave Gómez"/>
    <s v="Otro"/>
    <s v="ESPECIALIZACIÓN"/>
    <s v="51"/>
    <s v="Odontólogo"/>
    <s v="Independiente (trabaja por cuenta propia)"/>
    <s v="Odontólogo"/>
    <s v="Independiente"/>
    <n v="5000000"/>
    <s v="No"/>
    <s v="NO"/>
    <s v="NO"/>
    <s v=""/>
    <s v="Si"/>
    <s v="Sindy Melissa Martínez"/>
    <s v="Otro"/>
    <s v="UNIVERSITARIOS"/>
    <s v="41"/>
    <s v="Diseño Gráfico"/>
    <s v="Empleado (con contrato laboral)"/>
    <s v="Diseñadora Grafica (Profesional Universitario)"/>
    <s v="Lotería de Medellín"/>
    <n v="7286562"/>
    <s v="Si"/>
    <s v="NO"/>
    <s v="NO"/>
    <m/>
    <n v="12286562"/>
    <s v="No, solo vivo con mis padres"/>
    <s v=""/>
    <s v=""/>
    <s v=""/>
    <s v=""/>
    <s v=""/>
    <m/>
    <s v=""/>
    <s v=""/>
    <s v=""/>
    <s v=""/>
    <s v=""/>
    <s v=""/>
    <m/>
    <s v=""/>
    <s v=""/>
    <s v=""/>
    <s v=""/>
    <s v=""/>
    <s v=""/>
    <m/>
    <s v=""/>
    <s v=""/>
    <n v="0"/>
    <n v="104489000"/>
    <n v="0"/>
    <n v="0"/>
    <n v="0"/>
    <s v="Si"/>
    <s v="Chevrolet"/>
    <s v="2023"/>
    <n v="50000000"/>
    <s v="No"/>
    <s v=""/>
    <s v=""/>
    <n v="0"/>
    <s v="No"/>
    <s v=""/>
    <s v=""/>
    <s v=""/>
    <n v="0"/>
    <m/>
    <n v="4"/>
    <n v="4"/>
    <n v="4"/>
    <n v="3"/>
    <n v="3"/>
    <n v="4"/>
    <n v="4"/>
    <n v="3"/>
    <n v="4"/>
    <n v="4"/>
    <n v="37"/>
    <s v="SI"/>
    <m/>
    <s v="SI, SON PRI"/>
    <s v="ok tienen todos los datos"/>
    <e v="#N/A"/>
    <e v="#N/A"/>
    <m/>
    <n v="3"/>
    <n v="4"/>
    <n v="4"/>
    <n v="5"/>
    <n v="15"/>
    <n v="15"/>
    <n v="15"/>
    <n v="7.5"/>
    <n v="7.5"/>
    <n v="61.5"/>
    <n v="0.4"/>
    <m/>
    <n v="2"/>
    <n v="3.5"/>
    <n v="0"/>
    <n v="2"/>
    <n v="2"/>
    <n v="3.5"/>
    <n v="0"/>
    <n v="2"/>
    <n v="61.5"/>
    <n v="0.4"/>
    <s v="Negado"/>
    <e v="#N/A"/>
    <m/>
    <m/>
    <n v="0"/>
    <m/>
    <m/>
    <s v="Psicología"/>
    <e v="#N/A"/>
    <m/>
    <e v="#N/A"/>
  </r>
  <r>
    <s v="TI"/>
    <n v="1034992756"/>
    <s v="1000395811"/>
    <s v="MARIA ANTONIA HERRERA DIAZ"/>
    <s v="Estudios por primera vez"/>
    <x v="7"/>
    <s v="Descartado por ingresos altos"/>
    <m/>
    <s v="En publico objetivo"/>
    <s v="3ra Cohorte"/>
    <s v="Admitido"/>
    <s v="maherrerad@eafit.edu.co"/>
    <s v="maherrerad@eafit.edu.co"/>
    <s v="maherrerad@eafit.edu.co"/>
    <s v="573155078822"/>
    <d v="2025-05-30T00:00:00"/>
    <s v="Activo en Programa"/>
    <s v="169-Mercadeo"/>
    <s v="Escuela de Administración"/>
    <d v="2008-04-29T00:00:00"/>
    <n v="17"/>
    <s v="Antioquia"/>
    <s v="Medellín"/>
    <s v="Mujer"/>
    <s v="Soltero"/>
    <s v="NO"/>
    <s v="NO"/>
    <n v="0"/>
    <s v="NO"/>
    <s v="NA"/>
    <s v="NO"/>
    <s v="NA"/>
    <s v="NO"/>
    <s v="NA"/>
    <s v="No"/>
    <s v="604/573-9359"/>
    <s v="573155078822"/>
    <s v="Estrato 2"/>
    <s v="CR 32 77 SUR 371 TO 1 AP 2407 SABANETA"/>
    <s v="Antioquia"/>
    <s v="Sabaneta"/>
    <s v="No aplica, no soy foráneo"/>
    <s v="Arriendo"/>
    <s v="SI"/>
    <s v="2024"/>
    <s v="AC202435177340"/>
    <n v="373"/>
    <n v="76"/>
    <n v="79"/>
    <s v="Privada"/>
    <s v="Colegio Gimnasio Cantabria"/>
    <n v="2024"/>
    <m/>
    <s v="La Estrella"/>
    <s v="Bachillerato"/>
    <s v="Académico"/>
    <m/>
    <s v="11"/>
    <s v="Escala de 0 - 5"/>
    <s v="Escala de 0 - 5"/>
    <s v="4,5"/>
    <s v="3,6"/>
    <m/>
    <s v="4,6"/>
    <s v="4,8"/>
    <m/>
    <n v="4.4000000000000004"/>
    <n v="3.6"/>
    <m/>
    <n v="4.9000000000000004"/>
    <n v="4.5999999999999996"/>
    <m/>
    <s v="4,7"/>
    <s v="4,6"/>
    <m/>
    <s v="4,9"/>
    <s v="5"/>
    <m/>
    <s v="5"/>
    <s v="5"/>
    <m/>
    <s v="De 9 y 10"/>
    <n v="4.375"/>
    <s v="NO"/>
    <s v="NA"/>
    <n v="0"/>
    <n v="0"/>
    <s v="No"/>
    <n v="50"/>
    <m/>
    <n v="50"/>
    <m/>
    <n v="50"/>
    <m/>
    <s v="Excelente candidata.  Claridad en la elección, acompañamiento de la universidad EAFIT en orientación vocacional y psicóloga particular.  Personera del colegio Gimnasio Cantabria.  Marca de accesorios.  Estudiante de Francés en EAFIT."/>
    <n v="50"/>
    <s v="Con detalle por componente"/>
    <s v="Artísticas o culturales,Espacios de liderazgo o representación social,Trabajo social o comunitario"/>
    <s v="Al estudiar Mercadeo, me visualizo como una profesional capaz de entender a profundidad el comportamiento del consumidor y de diseñar estrategias efectivas que generen valor tanto para las marcas como para las comunidades. Me apasiona la idea de trabajar en proyectos, y creo firmemente en el poder de las ideas para transformar realidades. Me visualizo trabajando en campañas que no solo promuevan productos, sino que cuenten historias, inspiren cambios y den visibilidad a talentos y proyectos locales. Quiero ser una profesional capaz de entender el entorno, de conectar con las personas y de crear estrategias auténticas que generen impacto._x000a__x000a_Me interesa especialmente el marketing digital, por lo que me veo trabajando en el diseño de contenidos y estrategias que usen la tecnología para acercar a las marcas con sus audiencias de manera más auténtica._x000a__x000a_La obtención de esta beca representa una oportunidad muy grande no solo para mi formación, sino para contribuir a la transformación de mi región. De esta manera, no solo estoy invirtiendo en mi educación, sino también en el futuro de mi comunidad. En mi lugar de origen hay muchos emprendedores con grandes ideas, pero sin el conocimiento necesario para darles forma y hacerlas crecer. Mi sueño es ayudarlos a estructurar sus marcas, a posicionarse en el mercado y a utilizar herramientas digitales que les permitan competir y, sobre todo, destacarse._x000a__x000a_Esta beca representa para mí la oportunidad de prepararme para regresar con más herramientas, más visión y más compromiso por transformar lo que me rodea."/>
    <s v="A través del Colegio"/>
    <s v="Por la calidad académica."/>
    <s v="Alta empleabilidad."/>
    <n v="1"/>
    <s v="0"/>
    <s v="SI"/>
    <s v="NO"/>
    <s v="Entre 1 y 2 millones"/>
    <s v="No"/>
    <s v="NO"/>
    <s v="SI"/>
    <m/>
    <s v="NO"/>
    <m/>
    <s v="NO"/>
    <s v=""/>
    <s v=""/>
    <s v="Si"/>
    <s v="Nelson Herrera"/>
    <s v="Soltero"/>
    <s v="UNIVERSITARIOS"/>
    <s v="58"/>
    <s v="Independiente"/>
    <s v="Independiente (trabaja por cuenta propia)"/>
    <s v="Asesor de seguros"/>
    <s v="Independiente"/>
    <n v="9372978"/>
    <s v="Si"/>
    <s v="SI"/>
    <s v="NO"/>
    <s v="Es una persona responsable y trabajadora, siempre busca salir adelante"/>
    <s v="Si"/>
    <s v="Paula Andrea Díaz"/>
    <s v="Otro"/>
    <s v="UNIVERSITARIOS"/>
    <s v="50"/>
    <s v="Gerente"/>
    <s v="Empleado (con contrato laboral)"/>
    <s v="Gerente"/>
    <s v="Banco Itaú"/>
    <n v="6000000"/>
    <s v="No"/>
    <s v="NO"/>
    <s v="NO"/>
    <s v="Es una persona organizada, controladora y estricta"/>
    <n v="15372978"/>
    <s v="No, solo vivo con mis padres"/>
    <s v=""/>
    <s v=""/>
    <s v=""/>
    <s v=""/>
    <s v=""/>
    <m/>
    <s v=""/>
    <s v=""/>
    <s v=""/>
    <s v=""/>
    <s v=""/>
    <s v=""/>
    <m/>
    <s v=""/>
    <s v=""/>
    <s v=""/>
    <s v=""/>
    <s v=""/>
    <s v=""/>
    <m/>
    <s v=""/>
    <s v=""/>
    <n v="0"/>
    <n v="250000000"/>
    <n v="0"/>
    <n v="0"/>
    <n v="0"/>
    <s v="Si"/>
    <s v="Mitsubishi"/>
    <s v="2012"/>
    <n v="38000000"/>
    <s v="No"/>
    <s v=""/>
    <s v=""/>
    <n v="0"/>
    <s v="No"/>
    <s v=""/>
    <s v=""/>
    <s v=""/>
    <n v="0"/>
    <s v="Únicamente mi padre cuenta con vehículo"/>
    <n v="4"/>
    <n v="4"/>
    <n v="3"/>
    <n v="4"/>
    <n v="3"/>
    <n v="4"/>
    <n v="4"/>
    <n v="4"/>
    <n v="3"/>
    <n v="4"/>
    <n v="37"/>
    <s v="SI"/>
    <s v="SI, TIPO IE"/>
    <s v="PRI SIN TIPO IE"/>
    <s v="ok se subsana datos contra doc"/>
    <e v="#N/A"/>
    <e v="#N/A"/>
    <m/>
    <n v="3"/>
    <n v="10"/>
    <n v="10"/>
    <n v="15"/>
    <n v="15"/>
    <n v="15"/>
    <n v="20"/>
    <n v="6"/>
    <n v="6.5"/>
    <n v="81.5"/>
    <n v="0.4"/>
    <m/>
    <n v="2"/>
    <n v="3.5"/>
    <n v="0"/>
    <n v="1"/>
    <n v="2"/>
    <n v="3"/>
    <n v="0"/>
    <n v="1"/>
    <n v="81"/>
    <n v="0.4"/>
    <s v="Negado"/>
    <e v="#N/A"/>
    <m/>
    <m/>
    <s v="SI, TIPO IE"/>
    <m/>
    <m/>
    <s v="Mercadeo"/>
    <e v="#N/A"/>
    <m/>
    <e v="#N/A"/>
  </r>
  <r>
    <s v="TI"/>
    <n v="1034994126"/>
    <s v="1000407855"/>
    <s v="ANA SOFIA OSPINA MONSALVE"/>
    <s v="Estudios por primera vez"/>
    <x v="1"/>
    <s v="Descartado por ingresos altos"/>
    <m/>
    <s v="En publico objetivo"/>
    <s v="2da Cohorte"/>
    <s v="Admitido"/>
    <s v="asospinam@eafit.edu.co"/>
    <e v="#N/A"/>
    <s v="sofiospi0902@gmail.com"/>
    <s v="573224646907"/>
    <d v="2025-05-16T00:00:00"/>
    <s v="Activo en Programa"/>
    <s v="199-Finanzas"/>
    <s v="E.Finanzas, Economía, Gobierno"/>
    <d v="2009-02-09T00:00:00"/>
    <n v="16"/>
    <s v="Antioquia"/>
    <s v="Medellín"/>
    <s v="Mujer"/>
    <s v="Soltero"/>
    <s v="SI"/>
    <s v="SI"/>
    <s v="SAN RAFAEL¿"/>
    <s v="NO"/>
    <s v="NA"/>
    <s v="NO"/>
    <s v="NA"/>
    <s v="NO"/>
    <s v="NA"/>
    <s v="No"/>
    <s v="573224646907"/>
    <s v="573224646907"/>
    <s v="Estrato 2"/>
    <s v="FINCA LA LORENA BRR PORVENIR"/>
    <s v="Antioquia"/>
    <s v="Cañas Gordas"/>
    <s v="Si"/>
    <s v="Familiar"/>
    <s v="SI"/>
    <s v="2024"/>
    <s v="AC202435177506"/>
    <n v="387"/>
    <n v="79"/>
    <n v="77"/>
    <s v="Privada"/>
    <s v="COLEGIO GIMNASIO CANTABRIA"/>
    <n v="2024"/>
    <m/>
    <s v="La Estrella"/>
    <s v="Bachillerato"/>
    <s v="BACHILLER"/>
    <s v="TIPO: Privada, INSTITUCION: COLEGIO GIMNASIO CANTABRIA, AÑO: 2024, CIUDAD: La Estrella, TITULO: BACHILLER"/>
    <s v="11"/>
    <s v="Escala de 0 - 5"/>
    <s v="Escala de 0 - 5"/>
    <s v="4,5"/>
    <s v="5"/>
    <m/>
    <s v="5"/>
    <s v="5"/>
    <m/>
    <n v="5"/>
    <n v="4.5"/>
    <m/>
    <n v="4.8"/>
    <n v="4.5999999999999996"/>
    <m/>
    <s v="5"/>
    <s v="5"/>
    <m/>
    <s v="5"/>
    <s v="4,8"/>
    <m/>
    <s v="5"/>
    <s v="5"/>
    <m/>
    <s v="De 9 y 10"/>
    <n v="4.7249999999999996"/>
    <s v="NO"/>
    <s v="NA"/>
    <n v="0"/>
    <n v="0"/>
    <s v="No"/>
    <n v="40"/>
    <s v="Deportes- gimnasia"/>
    <n v="45"/>
    <m/>
    <n v="45"/>
    <m/>
    <s v="Se graduó en el 2024_x000a_Vive con su padre_x000a_Le interesan los mercados y las inversiones_x000a_Puntaje saber 387"/>
    <n v="43.333333333333336"/>
    <s v="Con detalle por componente"/>
    <s v="Espacios de liderazgo o representación social"/>
    <s v="Me visualizo ejerciendo la profesión de Finanzas como una profesional integral, capaz de tomar decisiones estratégicas que generen valor tanto en el sector empresarial como en proyectos de impacto social. Aspiro a crecer profesionalmente, expandir mis horizontes, además de mis conocimientos, y participar en escenarios donde se tomen decisiones relevantes para el desarrollo económico del país._x000a__x000a_Haber crecido en Medellín, una ciudad resiliente y transformadora, y vivir ahora en Cañasgordas, un municipio con gran potencial pero con limitadas oportunidades, me ha brindado una perspectiva única sobre las desigualdades que existen en Colombia. Esto me motiva a usar el conocimiento financiero no solo para generar rentabilidad, sino también para impactar positivamente en mi entorno. _x000a__x000a_La beca TALENTO representa para mí una oportunidad invaluable. No solo me permitiría acceder a una formación de calidad en una universidad de alto nivel como EAFIT, sino que también aliviaría la carga económica que representa para mi familia. Esta beca me permitirá concentrarme plenamente mi formación, participar en proyectos sociales y de investigación, y prepararme integralmente para liderar transformaciones desde el sector financiero._x000a__x000a_Con el respaldo de esta beca, podré sembrar conocimiento y generar oportunidades en las comunidades que lo necesitan, llevando la educación y la estrategia financiera como herramientas de desarrollo local."/>
    <s v="Otro"/>
    <s v="Por la calidad académica."/>
    <s v="Vocación."/>
    <n v="1"/>
    <s v="4"/>
    <s v="NO"/>
    <s v="NO"/>
    <s v="Entre 4 y 5 millones"/>
    <s v="Si"/>
    <n v="0"/>
    <n v="0"/>
    <m/>
    <s v="Y"/>
    <m/>
    <s v="NO"/>
    <s v="NA"/>
    <s v="NA"/>
    <s v="Si"/>
    <s v="Juan Diego Ospina Rojo"/>
    <s v="Soltero"/>
    <s v="BACHILLERATO"/>
    <s v="57"/>
    <s v="Ganadero y cafetero"/>
    <s v="Independiente (trabaja por cuenta propia)"/>
    <s v="Gerente"/>
    <s v="LA LORENA 5 S.A.S"/>
    <n v="5000000"/>
    <s v="Si"/>
    <s v="SI"/>
    <s v="NO"/>
    <s v="Es el encargado de responder económicamente por la aspirante a la beca Ana Sofia Ospina"/>
    <s v="Si"/>
    <s v="Pamela Maria Monsalve Arboleda"/>
    <s v="Soltero"/>
    <s v="BACHILLERATO"/>
    <s v="40"/>
    <s v="ama de casa"/>
    <s v="Labores del hogar y cuidado"/>
    <s v="Ama de casa"/>
    <s v="NO APLICA"/>
    <n v="4000000"/>
    <s v="No"/>
    <s v="NO"/>
    <s v="NO"/>
    <s v="Sus ingresos mensuales no son fijos"/>
    <n v="9000000"/>
    <s v="No, solo vivo con mis padres"/>
    <s v=""/>
    <s v=""/>
    <s v=""/>
    <s v=""/>
    <s v=""/>
    <m/>
    <s v=""/>
    <s v=""/>
    <s v=""/>
    <s v=""/>
    <s v=""/>
    <s v=""/>
    <m/>
    <s v=""/>
    <s v=""/>
    <s v=""/>
    <s v=""/>
    <s v=""/>
    <s v=""/>
    <m/>
    <s v=""/>
    <s v=""/>
    <n v="100000000"/>
    <n v="190000000"/>
    <n v="267387000"/>
    <n v="100000000"/>
    <n v="0"/>
    <s v="Si"/>
    <s v="Toyota TXL"/>
    <s v="2017"/>
    <n v="150000000"/>
    <s v="No"/>
    <s v=""/>
    <s v=""/>
    <n v="0"/>
    <s v="Si"/>
    <s v="Carro"/>
    <s v="Hyundai"/>
    <s v="2012"/>
    <n v="25000000"/>
    <s v="Casa(s)&amp;#58; Afectación familiar por porcentajes Apartamento(s)&amp;#58; Afectación familiar por porcentajesFinca(s)&amp;#58; Se expone el valor total ratificados en el impuesto predialLocal(es)&amp;#58; Afectación familiar por porcentajes"/>
    <n v="4"/>
    <n v="4"/>
    <n v="3"/>
    <n v="4"/>
    <n v="4"/>
    <n v="4"/>
    <n v="4"/>
    <n v="4"/>
    <n v="3"/>
    <n v="4"/>
    <n v="38"/>
    <s v="SI"/>
    <m/>
    <s v="SI, SON PRI"/>
    <s v="ok tienen todos los datos"/>
    <e v="#N/A"/>
    <e v="#N/A"/>
    <m/>
    <n v="2"/>
    <n v="10"/>
    <n v="10"/>
    <n v="15"/>
    <n v="20"/>
    <n v="15"/>
    <n v="15"/>
    <n v="6.5"/>
    <n v="6.5"/>
    <n v="81.5"/>
    <n v="0.4"/>
    <n v="0.4"/>
    <n v="2"/>
    <n v="3.5"/>
    <n v="1"/>
    <n v="0"/>
    <n v="2"/>
    <n v="3.5"/>
    <n v="1"/>
    <n v="0"/>
    <n v="81.5"/>
    <n v="0.4"/>
    <n v="0.4"/>
    <e v="#N/A"/>
    <s v="se baja por propiedades"/>
    <m/>
    <n v="0"/>
    <m/>
    <m/>
    <s v="Finanzas"/>
    <e v="#N/A"/>
    <s v="199"/>
    <e v="#N/A"/>
  </r>
  <r>
    <s v="CC"/>
    <n v="1035066603"/>
    <s v="1000408626"/>
    <s v="ELIZABETH CABADIAS MURIEL"/>
    <s v="Estudios por primera vez"/>
    <x v="1"/>
    <s v="Duda, cursando o graduado de tecnica o tecnologia"/>
    <s v="Rescatado"/>
    <s v="En publico objetivo"/>
    <s v="3ra Cohorte"/>
    <s v="Admitido"/>
    <s v="ecabadiasm@eafit.edu.co"/>
    <e v="#N/A"/>
    <s v="elizabethcabadias@gmail.com"/>
    <s v="573107274956, 310 7274956"/>
    <d v="2025-05-30T00:00:00"/>
    <s v="Matrícula"/>
    <s v="014-Ingeniería Mecánica"/>
    <s v="E Ciencias Aplic e Ingeniería"/>
    <s v="28/12/2006"/>
    <n v="19"/>
    <s v="Antioquia"/>
    <s v="Amagá"/>
    <s v="Mujer"/>
    <s v="Soltero"/>
    <s v="NO"/>
    <s v="NO"/>
    <s v="NA"/>
    <s v="NO"/>
    <s v="NA"/>
    <s v="NO"/>
    <s v="NA"/>
    <s v="NO"/>
    <s v="NA"/>
    <s v="No"/>
    <s v="NA"/>
    <s v="NA"/>
    <s v="Estrato 2"/>
    <s v="AMAGA ANTIOQUIA"/>
    <s v="Antioquia"/>
    <s v="Amagá"/>
    <s v="No"/>
    <s v="Propio"/>
    <s v="SI"/>
    <s v="2024"/>
    <s v="AC202434338521"/>
    <n v="331"/>
    <n v="63"/>
    <n v="67"/>
    <s v="Pública"/>
    <s v="Institución Educativa Escuela Normal Superior de Amagá"/>
    <n v="2024"/>
    <m/>
    <s v="Amagá"/>
    <s v="Bachillerato"/>
    <s v="Normalista"/>
    <m/>
    <s v="Once"/>
    <s v="0-5"/>
    <s v="Escala de 0 - 5"/>
    <m/>
    <m/>
    <m/>
    <m/>
    <m/>
    <m/>
    <n v="4.3"/>
    <n v="4.2"/>
    <m/>
    <n v="4.4000000000000004"/>
    <n v="4"/>
    <m/>
    <m/>
    <m/>
    <m/>
    <m/>
    <m/>
    <m/>
    <m/>
    <m/>
    <m/>
    <s v="De 9 y 10"/>
    <n v="4.2249999999999996"/>
    <s v="SI"/>
    <s v="Tecnologia Costo y Aauditoria-  Politecnico Colombiano - Cursando, Diplomado A1 Ingles -  Universidad Nacional, Diplomado Emprendimiento Vocacional EAFIT"/>
    <s v="TECNOLOGIA"/>
    <s v="Tecnologia Costo y Aauditoria"/>
    <s v="No"/>
    <s v="Sin informacion"/>
    <s v="Sin informacion"/>
    <s v="Sin informacion"/>
    <s v="Sin informacion"/>
    <s v="Sin informacion"/>
    <s v="Sin informacion"/>
    <s v="Sin informacion"/>
    <n v="48.332999999999998"/>
    <s v="Sin detalle por componente"/>
    <s v="Artísticas o culturales,Espacios de liderazgo o representación social,Trabajo social o comunitario"/>
    <s v="Me visualizo trabajando por una innovación sostenible y amigable por el medio ambiente, aportando en la creación de nuevas tecnologías propias de Colombia que le apuesten al desarrollo de mi territorio desde mi rol como ingeniera mecánica me gustaría trabajar para que mi municipio Amagá pueda progresar, considero que mi futuro rol será esencial en el avance significativo de mi comunidad"/>
    <s v="Empleados o profesores EAFIT"/>
    <s v="Internacionalización."/>
    <s v="Vocación."/>
    <n v="5"/>
    <s v="2"/>
    <s v="SI"/>
    <s v="NO"/>
    <s v="Entre 1 y 2 millones"/>
    <s v="Si"/>
    <n v="0"/>
    <n v="0"/>
    <m/>
    <s v="Y"/>
    <m/>
    <n v="0"/>
    <n v="0"/>
    <n v="0"/>
    <s v="Sin información"/>
    <n v="0"/>
    <m/>
    <m/>
    <m/>
    <s v=""/>
    <s v=""/>
    <m/>
    <s v=""/>
    <m/>
    <s v=""/>
    <m/>
    <m/>
    <s v="No poseo información respecto a el."/>
    <s v="Si"/>
    <s v="Beatriz Amparo Muriel Zapata"/>
    <m/>
    <m/>
    <m/>
    <s v="Vigilante"/>
    <s v="Empleado (con contrato laboral)"/>
    <s v="Vigilante"/>
    <s v="Empresa de Vigilancia Dorchester LTDA"/>
    <n v="1423500"/>
    <s v="Si"/>
    <m/>
    <m/>
    <s v="Mi madre es una mujer trabajadora y amable, siempre se esfuerza por ayudarnos a mi hermano y a mi persona."/>
    <n v="1423500"/>
    <s v="Si"/>
    <s v="Luis Horacio Velez Cano"/>
    <s v="abuelo politico"/>
    <s v="72"/>
    <s v="independiente"/>
    <s v="vende loteria de medellin"/>
    <n v="1423500"/>
    <s v="Si"/>
    <s v="Jefferson Cabadias Muriel"/>
    <s v="Hermano / Hermana"/>
    <s v="16"/>
    <s v="Estudiante"/>
    <s v="institución educativa Urbano Ruiz"/>
    <n v="0"/>
    <s v="No"/>
    <s v=""/>
    <s v=""/>
    <s v=""/>
    <s v=""/>
    <s v=""/>
    <m/>
    <s v=""/>
    <s v="Mi grupo Familiar es bonito, humilde y educado, todos con muchos ánimos de salir adelante"/>
    <n v="34956000"/>
    <n v="0"/>
    <n v="0"/>
    <n v="0"/>
    <n v="0"/>
    <s v="No"/>
    <s v=""/>
    <s v=""/>
    <n v="0"/>
    <s v="No"/>
    <s v=""/>
    <s v=""/>
    <n v="0"/>
    <s v="No"/>
    <s v=""/>
    <s v=""/>
    <s v=""/>
    <n v="0"/>
    <s v="mis padres, en el caso de mi madre no posee vehículo alguno"/>
    <n v="2"/>
    <n v="4"/>
    <n v="3"/>
    <n v="4"/>
    <n v="4"/>
    <n v="3"/>
    <n v="2"/>
    <n v="4"/>
    <n v="3"/>
    <n v="2"/>
    <n v="31"/>
    <s v="SI"/>
    <s v="SI, ICFES"/>
    <s v="PRI SIN PUNTAJE ICFES, TIPO IES, DETALLE OTROS ESTUDIOS Y DETALLE ENTREVISTA"/>
    <s v="pendiente tipo ie"/>
    <e v="#N/A"/>
    <e v="#N/A"/>
    <m/>
    <n v="3"/>
    <n v="10"/>
    <n v="10"/>
    <n v="10"/>
    <n v="15"/>
    <n v="10"/>
    <n v="20"/>
    <n v="17"/>
    <n v="17"/>
    <n v="82"/>
    <n v="0.5"/>
    <m/>
    <n v="3.5"/>
    <n v="2.5"/>
    <n v="8"/>
    <n v="3"/>
    <n v="3.5"/>
    <n v="2.5"/>
    <n v="8"/>
    <n v="3"/>
    <n v="82"/>
    <n v="0.6"/>
    <n v="0.6"/>
    <e v="#N/A"/>
    <m/>
    <m/>
    <s v="SI, ICFES"/>
    <m/>
    <m/>
    <s v="Ingeniería Mecánica"/>
    <e v="#N/A"/>
    <s v="014"/>
    <e v="#N/A"/>
  </r>
  <r>
    <s v="TI"/>
    <n v="1035066774"/>
    <s v="1000409692"/>
    <s v="VALERIN VELASQUEZ VALENCIA"/>
    <s v="Estudios por primera vez"/>
    <x v="5"/>
    <s v="Cumple Nutresa"/>
    <s v="Vehículo"/>
    <s v="En publico objetivo"/>
    <s v="3ra Cohorte"/>
    <s v="Admitido"/>
    <s v="vvelasquv1@eafit.edu.co"/>
    <e v="#N/A"/>
    <s v="velasquezvalerin23@gmail.com"/>
    <s v="573127400740"/>
    <d v="2025-06-06T00:00:00"/>
    <s v="Activo en Programa"/>
    <s v="014-Ingeniería Mecánica"/>
    <s v="E Ciencias Aplic e Ingeniería"/>
    <d v="2007-11-25T00:00:00"/>
    <n v="18"/>
    <s v="Antioquia"/>
    <s v="Amagá"/>
    <s v="Mujer"/>
    <s v="Soltero"/>
    <s v="NO"/>
    <s v="NO"/>
    <n v="0"/>
    <s v="NO"/>
    <s v="NA"/>
    <s v="NO"/>
    <s v="NA"/>
    <s v="NO"/>
    <s v="NA"/>
    <s v="No"/>
    <s v="314/739-7372"/>
    <s v="573127400740"/>
    <s v="Estrato 2"/>
    <s v="AMAGA ANTIOQUIA"/>
    <s v="Antioquia"/>
    <s v="Amagá"/>
    <s v="No"/>
    <s v="Propio"/>
    <s v="SI"/>
    <s v="2024"/>
    <s v="AC202433642477"/>
    <n v="372"/>
    <n v="80"/>
    <n v="76"/>
    <s v="Pública"/>
    <s v="Institucion Educativa San Fernando"/>
    <n v="2024"/>
    <m/>
    <s v="Amagá"/>
    <s v="Bachillerato"/>
    <s v="Comercial"/>
    <m/>
    <s v="11"/>
    <s v="Escala de 0 - 5"/>
    <s v="Escala de 0 - 5"/>
    <s v="4,8"/>
    <s v="4,6"/>
    <m/>
    <s v="4,8"/>
    <s v="4,8"/>
    <m/>
    <n v="4.4000000000000004"/>
    <n v="4.7"/>
    <m/>
    <n v="4.8"/>
    <n v="4.3"/>
    <m/>
    <s v="4,5"/>
    <s v="4,6"/>
    <m/>
    <s v="4,5"/>
    <s v="4,3"/>
    <m/>
    <s v="4,4"/>
    <s v="4,5"/>
    <m/>
    <s v="De 9 y 10"/>
    <n v="4.5500000000000007"/>
    <s v="NO"/>
    <s v="NA"/>
    <n v="0"/>
    <n v="0"/>
    <s v="No"/>
    <s v="Sin informacion"/>
    <s v="Sin informacion"/>
    <s v="Sin informacion"/>
    <s v="Sin informacion"/>
    <s v="Sin informacion"/>
    <s v="Sin informacion"/>
    <s v="Sin informacion"/>
    <n v="41.667000000000002"/>
    <s v="Sin detalle por componente"/>
    <s v="Otras (por ejemplo, un talento extraordinario),Artísticas o culturales"/>
    <s v="Me visualizo en la industria automotriz, haciendo y/o participando de proyectos de cuidado ambiental, de manera que mi trabajo en esta industria pueda aportar al desarrollo de nuevas tecnologías automotrices más favorables al medio ambiente, y más convenientes para las personas que puedan adquirirlos, y de esta manera poder ayudar con el desarrollo tecnológico y social de mi región."/>
    <s v="Anuncio periódico WEB"/>
    <s v="Internacionalización."/>
    <s v="Vocación."/>
    <n v="4"/>
    <s v="1"/>
    <s v="NO"/>
    <s v="NO"/>
    <s v="Entre 1 y 2 millones"/>
    <s v="No"/>
    <n v="0"/>
    <n v="0"/>
    <m/>
    <s v="Y"/>
    <m/>
    <s v="NO"/>
    <s v="NA"/>
    <s v="NA"/>
    <s v="Si"/>
    <s v="Jhon Jairo Velásquez Gonzalez"/>
    <m/>
    <s v="BACHILLERATO"/>
    <m/>
    <s v="Conductor"/>
    <s v="Empleado (con contrato laboral)"/>
    <s v="conductor"/>
    <s v="Coomutran"/>
    <n v="2200000"/>
    <s v="Si"/>
    <s v="SI"/>
    <s v="NO"/>
    <s v=""/>
    <s v="Si"/>
    <s v="Maria Lucina Valencia Betancur"/>
    <m/>
    <s v="BACHILLERATO"/>
    <m/>
    <s v="ama de casa"/>
    <s v="Labores del hogar y cuidado"/>
    <s v="Ama de casa"/>
    <s v="NINGUNA"/>
    <n v="0"/>
    <s v="Si"/>
    <s v="NO"/>
    <s v="NO"/>
    <m/>
    <n v="2200000"/>
    <s v="Si"/>
    <s v="Maria Camila Velasquez Valencia"/>
    <s v="Hermano / Hermana"/>
    <s v="23"/>
    <s v="Desempleada"/>
    <s v="Ninguna"/>
    <n v="0"/>
    <s v="No"/>
    <s v=""/>
    <s v=""/>
    <s v=""/>
    <s v=""/>
    <s v=""/>
    <m/>
    <s v=""/>
    <s v=""/>
    <s v=""/>
    <s v=""/>
    <s v=""/>
    <s v=""/>
    <m/>
    <s v=""/>
    <s v=""/>
    <n v="70749000"/>
    <n v="65716000"/>
    <n v="0"/>
    <n v="0"/>
    <n v="0"/>
    <s v="No"/>
    <s v=""/>
    <s v=""/>
    <n v="0"/>
    <s v="No"/>
    <s v=""/>
    <s v=""/>
    <n v="0"/>
    <s v="Si"/>
    <s v="microbus"/>
    <s v="Agrale"/>
    <s v="2002"/>
    <n v="35000000"/>
    <m/>
    <n v="4"/>
    <n v="4"/>
    <n v="3"/>
    <n v="4"/>
    <n v="4"/>
    <n v="4"/>
    <n v="4"/>
    <n v="3"/>
    <n v="4"/>
    <n v="4"/>
    <n v="38"/>
    <s v="SI"/>
    <s v="SI, TIPO IE"/>
    <s v="PRI SIN TIPO IE"/>
    <s v="pendiente tipo ie"/>
    <e v="#N/A"/>
    <e v="#N/A"/>
    <m/>
    <n v="3"/>
    <n v="10"/>
    <n v="10"/>
    <n v="15"/>
    <n v="20"/>
    <n v="15"/>
    <n v="10"/>
    <n v="14"/>
    <n v="14"/>
    <n v="84"/>
    <n v="0.4"/>
    <m/>
    <n v="3.5"/>
    <n v="2.5"/>
    <n v="8"/>
    <n v="0"/>
    <n v="3.5"/>
    <n v="2.5"/>
    <n v="8"/>
    <n v="0"/>
    <n v="84"/>
    <n v="0.5"/>
    <n v="0.5"/>
    <s v="VALERIN VELASQUEZ VALENCIA"/>
    <m/>
    <m/>
    <s v="SI, TIPO IE"/>
    <s v="EN ORDEN"/>
    <n v="0"/>
    <s v="Ingeniería Mecánica"/>
    <s v="Pres. para revision docs nutresa"/>
    <m/>
    <s v="NUTRESA"/>
  </r>
  <r>
    <s v="TI"/>
    <n v="1035225292"/>
    <s v="1000404770"/>
    <s v="ANA SOFIA MORALES GARCIA"/>
    <s v="Estudios por primera vez"/>
    <x v="1"/>
    <s v="Descartado por baja prioridad pregrado"/>
    <m/>
    <s v="En publico objetivo"/>
    <s v="1er Cohorte"/>
    <s v="Admitido"/>
    <s v="asmoralesg@eafit.edu.co"/>
    <e v="#N/A"/>
    <s v="anasofiamg364@gmail.com"/>
    <s v="314/791-4616"/>
    <d v="2025-04-25T00:00:00"/>
    <s v="Activo en Programa"/>
    <s v="011-Contaduría Pública"/>
    <s v="Escuela de Administración"/>
    <d v="2007-06-26T00:00:00"/>
    <n v="18"/>
    <s v="Antioquia"/>
    <s v="Barbosa"/>
    <s v="Mujer"/>
    <s v="Soltero"/>
    <s v="NO"/>
    <s v="NO"/>
    <n v="0"/>
    <s v="NO"/>
    <s v="NA"/>
    <s v="NO"/>
    <s v="NA"/>
    <s v="NO"/>
    <s v="NA"/>
    <s v="No"/>
    <s v="302/849-3212"/>
    <s v="314/791-4616"/>
    <s v="Estrato 2"/>
    <s v="AUT NORTE KM 27 VÍA BARBOSA"/>
    <s v="Antioquia"/>
    <s v="Barbosa"/>
    <s v="No aplica, no soy foráneo"/>
    <s v="Arriendo"/>
    <s v="SI"/>
    <s v="2024"/>
    <s v="AC202435048830"/>
    <n v="328"/>
    <n v="75"/>
    <n v="65"/>
    <s v="Pública"/>
    <s v="Institución educativa rural El Tablazo"/>
    <n v="2024"/>
    <m/>
    <s v="Barbosa"/>
    <s v="Bachillerato"/>
    <s v="Académico"/>
    <m/>
    <s v="11"/>
    <s v="Escala de 0 - 5"/>
    <s v="Escala de 0 - 5"/>
    <s v="4"/>
    <s v="4"/>
    <m/>
    <s v="4,1"/>
    <s v="4,1"/>
    <m/>
    <n v="4.5999999999999996"/>
    <n v="4.8"/>
    <m/>
    <n v="3.8"/>
    <n v="4.3"/>
    <m/>
    <s v="3,9"/>
    <s v="4,8"/>
    <m/>
    <s v="3,9"/>
    <s v="3,9"/>
    <m/>
    <s v="4,7"/>
    <s v="3,9"/>
    <m/>
    <s v="De 9 y 10"/>
    <n v="4.375"/>
    <s v="NO"/>
    <s v="NA"/>
    <n v="0"/>
    <n v="0"/>
    <s v="No"/>
    <n v="50"/>
    <m/>
    <n v="50"/>
    <m/>
    <n v="50"/>
    <m/>
    <s v="Tiene 17 años, el año pasado se graduó de 11. Vive con los papás y el hermano, le gusta tocar piano, le gusta estar con la familia, se considera buena líder, fue presidenta del consejo estudiantil. Manejaba la plata del salón. Es cristiana y en la iglesia pertenece al grupo de alabanza. En el primer periodo quedó en el primer puesto. Fue la mejor icfes."/>
    <n v="50"/>
    <s v="Con detalle por componente"/>
    <s v="Artísticas o culturales,Espacios de liderazgo o representación social,Trabajo social o comunitario"/>
    <s v="Me visualizo trabajando en una empresa para ganar experiencia como contadora, luego creando mi propia empresa, la podría administrar yo misma con mis conocimientos adquiridos en la carrera._x000a__x000a_A través de la obtención de la beca puedo ayudar a mi comunidad a conocer más sobre cómo jóvenes pueden acceder a la educación superior, ya que en las zonas rurales no contamos con tanta información ya sea porque no todos cuentan con acceso a internet o porque los colegios no brindan tanto apoyo. Además puedo aplicar mis conocimientos para resolver problemas específicos de mi comunidad como combatir la poca información que tiene mi comunidad sobre el manejo de finanzas."/>
    <s v="A través del Colegio"/>
    <s v="Internacionalización."/>
    <s v="Alta empleabilidad."/>
    <n v="2"/>
    <s v="1"/>
    <s v="SI"/>
    <s v="NO"/>
    <s v="Entre 1 y 2 millones"/>
    <s v="No"/>
    <n v="0"/>
    <n v="0"/>
    <m/>
    <s v="SI"/>
    <s v="Beca"/>
    <s v="NO"/>
    <s v=""/>
    <s v=""/>
    <s v="No, fallecido"/>
    <n v="0"/>
    <m/>
    <m/>
    <m/>
    <s v=""/>
    <s v=""/>
    <m/>
    <s v=""/>
    <m/>
    <s v=""/>
    <m/>
    <m/>
    <s v="Mi padre murió en marzo de 2009 en Barbosa Antioquía junto con su mejor amigo debido a varios disparos por grupos al margen de la ley."/>
    <s v="Si"/>
    <s v="Jesica Paola García Marín"/>
    <s v="Soltero"/>
    <s v="BACHILLERATO"/>
    <s v="35"/>
    <s v="Bachiller"/>
    <s v="Empleado (con contrato laboral)"/>
    <s v="Cajera"/>
    <s v="Merkahorro"/>
    <n v="1700000"/>
    <s v="Si"/>
    <s v="SI"/>
    <s v="NO"/>
    <s v="Mi mamá es madre soltera cabeza de familia y fuimos beneficiarias de una pensión por la muerte de mi padre, la cual es un mínimo y se nos da a las dos por mitad"/>
    <n v="1700000"/>
    <s v="Si"/>
    <s v="Jerónimo Losada García"/>
    <s v="Hermano / Hermana"/>
    <s v="15"/>
    <s v="Estudiante"/>
    <s v="Institución Educativa Rural El Tablazo"/>
    <n v="0"/>
    <s v="No"/>
    <s v=""/>
    <s v=""/>
    <s v=""/>
    <s v=""/>
    <s v=""/>
    <m/>
    <s v=""/>
    <s v=""/>
    <s v=""/>
    <s v=""/>
    <s v=""/>
    <s v=""/>
    <m/>
    <s v=""/>
    <s v="Mi grupo familiar solo solo mi madre, mi hermano y yo, mi mamá es cabeza de familia y mi hermano es estudiante de grado 9, vivimos en una vereda llamada Filoverde en un apartamento arrendado"/>
    <n v="0"/>
    <n v="0"/>
    <n v="0"/>
    <n v="0"/>
    <n v="0"/>
    <s v="No"/>
    <s v=""/>
    <s v=""/>
    <n v="0"/>
    <s v="No"/>
    <s v=""/>
    <s v=""/>
    <n v="0"/>
    <s v="No"/>
    <s v=""/>
    <s v=""/>
    <s v=""/>
    <n v="0"/>
    <s v="No tenemos bienes a nombre de ninguno por el momento, ya que la casa es arrendada"/>
    <n v="4"/>
    <n v="3"/>
    <n v="3"/>
    <n v="4"/>
    <n v="4"/>
    <n v="4"/>
    <n v="3"/>
    <n v="3"/>
    <n v="2"/>
    <n v="4"/>
    <n v="34"/>
    <s v="SI"/>
    <s v="SI, TIPO IE"/>
    <s v="PRI SIN TIPO IE"/>
    <s v="pendiente tipo ie"/>
    <e v="#N/A"/>
    <e v="#N/A"/>
    <m/>
    <n v="1"/>
    <n v="10"/>
    <n v="10"/>
    <n v="5"/>
    <n v="15"/>
    <n v="10"/>
    <n v="20"/>
    <n v="20"/>
    <n v="20"/>
    <n v="80"/>
    <s v="80 - 100%"/>
    <m/>
    <n v="3.5"/>
    <n v="4.5"/>
    <n v="8"/>
    <n v="4"/>
    <n v="3.5"/>
    <n v="4"/>
    <n v="8"/>
    <n v="4.5"/>
    <n v="80"/>
    <s v="80 - 100%"/>
    <n v="1"/>
    <e v="#N/A"/>
    <m/>
    <m/>
    <s v="SI, TIPO IE"/>
    <m/>
    <m/>
    <s v="Contaduría Pública"/>
    <e v="#N/A"/>
    <s v="011"/>
    <e v="#N/A"/>
  </r>
  <r>
    <s v="TI"/>
    <n v="1035856597"/>
    <s v="1000380596"/>
    <s v="THOMAS MONTOYA AGUDELO"/>
    <s v="Estudios por primera vez"/>
    <x v="10"/>
    <s v="Descartado, pago matricula"/>
    <s v="Ya pago matricula"/>
    <s v="En publico objetivo"/>
    <s v="3ra Cohorte"/>
    <s v="Admitido"/>
    <s v="tmontoyaa3@eafit.edu.co"/>
    <s v="tmontoyaa3@eafit.edu.co"/>
    <s v="thomasmontoagu@gmail.com"/>
    <s v="573197571527"/>
    <d v="2025-05-30T00:00:00"/>
    <s v="Activo en Programa"/>
    <s v="010-Ingeniería de Sistemas"/>
    <s v="E Ciencias Aplic e Ingeniería"/>
    <d v="2008-03-29T00:00:00"/>
    <n v="17"/>
    <s v="Antioquia"/>
    <s v="Envigado"/>
    <s v="Hombre"/>
    <s v="Soltero"/>
    <s v="NO"/>
    <s v="NO"/>
    <n v="0"/>
    <s v="NO"/>
    <s v="NA"/>
    <s v="NO"/>
    <s v="NA"/>
    <s v="NO"/>
    <s v="NA"/>
    <s v="No"/>
    <s v="289-2084"/>
    <s v="573197571527"/>
    <s v="Estrato 3"/>
    <s v="CR 14 A #4 36"/>
    <s v="Antioquia"/>
    <s v="Girardota"/>
    <s v="No aplica, no soy foráneo"/>
    <s v="Propio"/>
    <s v="SI"/>
    <s v="2024"/>
    <s v="AC202430499132"/>
    <n v="363"/>
    <n v="81"/>
    <n v="72"/>
    <s v="Privada"/>
    <s v="C.E. NEOSISTEMAS"/>
    <n v="2024"/>
    <s v="Antioquia"/>
    <s v="Girardota"/>
    <s v="BACHILLER"/>
    <n v="0"/>
    <s v="TIPO: Privada, INSTITUCION: C.E. NEOSISTEMAS, AÑO: 2024, CIUDAD: Girardota, TITULO: BACHILLER"/>
    <s v="11"/>
    <s v="Escala de 0 - 5"/>
    <s v="Escala de 0 - 5"/>
    <s v="5"/>
    <s v="3,8"/>
    <s v="3"/>
    <s v="5"/>
    <s v="4,5"/>
    <s v="3"/>
    <n v="4"/>
    <n v="3.7"/>
    <n v="3"/>
    <n v="4"/>
    <n v="4"/>
    <n v="3"/>
    <s v="4"/>
    <s v="4"/>
    <s v="3"/>
    <s v="4"/>
    <s v="4"/>
    <s v="3"/>
    <s v="4,5"/>
    <s v="4,5"/>
    <s v="4"/>
    <s v="De 9, 10 y 11"/>
    <n v="3.6166666666666667"/>
    <s v="NO"/>
    <s v="NA"/>
    <n v="0"/>
    <n v="0"/>
    <s v="No"/>
    <n v="45"/>
    <m/>
    <n v="45"/>
    <m/>
    <n v="45"/>
    <m/>
    <s v="El aspirante ya había sido admitido para 2025-1"/>
    <n v="45"/>
    <s v="Con detalle por componente"/>
    <s v="Ninguna"/>
    <s v="Mi sueño al estudiar ingeniería de sistemas es poder transformar el mundo a la mayor escala que se me permita hacerlo, me gustaría explorar los diferentes enfoques a los que me puedo encaminar al estudiar esta carrera y escoger el más adecuado para mí, siendo este la herramienta que me permitirá impactar mi entorno positivamente. Una meta en un futuro es poder facilitar los procesos de las diversas cosas que nos encontramos a nuestro alrededor a través de sistemas o programas que automaticen y vuelvan mas eficiente cada uno de ellos, impactando así positivamente la vida de las personas. Esta es solo una idea poco detallada que logre imaginar con tan solo entrar en la superficie de los contenidos de la carrera, por lo que estoy totalmente seguro que con el pasar del tiempo y con la gran guía que la universidad me puede brindar se me van a ocurrir miles de ideas mas y voy a poder transformarlas en una realidad para el mundo. La beca me permitiría ingresar y mantenerme en la universidad que estoy seguro es la adecuada para en un futuro próximo transformarme en el profesional que sueño."/>
    <s v="A través del Colegio"/>
    <s v="Por la calidad académica."/>
    <s v="Vocación."/>
    <n v="3"/>
    <s v="1"/>
    <s v="SI"/>
    <s v="NO"/>
    <s v="Entre 8 y 9 millones"/>
    <s v="No"/>
    <s v="NO"/>
    <s v="SI"/>
    <s v="Crédito entidad externa"/>
    <s v="SI"/>
    <s v="Beca"/>
    <s v="NO"/>
    <s v=""/>
    <s v=""/>
    <s v="Si"/>
    <s v="León Dario Montoya Cortes"/>
    <s v="Casado"/>
    <s v="UNIVERSITARIOS"/>
    <s v="50"/>
    <s v="Ingeniero de producción"/>
    <s v="Empleado (con contrato laboral)"/>
    <s v="Supervisor de producción"/>
    <s v="H.B. Fuller Colombia"/>
    <n v="8000000"/>
    <s v="Si"/>
    <s v="SI"/>
    <s v="SI"/>
    <s v=""/>
    <s v="Si"/>
    <s v="Angela Maria Agudelo Torres"/>
    <s v="Casado"/>
    <s v="TECNOLOGÍA"/>
    <s v="49"/>
    <s v="ama de casa"/>
    <s v="Labores del hogar y cuidado"/>
    <s v="Ama de casa"/>
    <s v="casa"/>
    <n v="0"/>
    <s v="Si"/>
    <s v="NO"/>
    <s v="NO"/>
    <m/>
    <n v="8000000"/>
    <s v="Si"/>
    <s v="Laura Montoya Agudelo"/>
    <s v="Hermano / Hermana"/>
    <s v="10"/>
    <s v="Estudiante"/>
    <s v="Santa leoni aviat"/>
    <n v="0"/>
    <s v="No"/>
    <s v=""/>
    <s v=""/>
    <s v=""/>
    <s v=""/>
    <s v=""/>
    <m/>
    <s v=""/>
    <s v=""/>
    <s v=""/>
    <s v=""/>
    <s v=""/>
    <s v=""/>
    <m/>
    <s v=""/>
    <s v=""/>
    <n v="160000000"/>
    <n v="0"/>
    <n v="0"/>
    <n v="0"/>
    <n v="0"/>
    <s v="Si"/>
    <s v="MOW611"/>
    <s v="2011"/>
    <n v="19000000"/>
    <s v="No"/>
    <s v=""/>
    <s v=""/>
    <n v="0"/>
    <s v="No"/>
    <s v=""/>
    <s v=""/>
    <s v=""/>
    <n v="0"/>
    <m/>
    <n v="4"/>
    <n v="4"/>
    <n v="3"/>
    <n v="3"/>
    <n v="3"/>
    <n v="3"/>
    <n v="4"/>
    <n v="4"/>
    <n v="3"/>
    <n v="4"/>
    <n v="35"/>
    <s v="SI"/>
    <m/>
    <s v="SI, SON PRI"/>
    <s v="ok tienen todos los datos"/>
    <s v="Negada"/>
    <n v="20251"/>
    <m/>
    <n v="3"/>
    <n v="10"/>
    <n v="8"/>
    <n v="15"/>
    <n v="10"/>
    <n v="15"/>
    <n v="15"/>
    <n v="7.5"/>
    <n v="7.5"/>
    <n v="72.5"/>
    <n v="0.4"/>
    <m/>
    <n v="2"/>
    <n v="2.5"/>
    <n v="1"/>
    <n v="2"/>
    <n v="2"/>
    <n v="2.5"/>
    <n v="1"/>
    <n v="2"/>
    <n v="70.5"/>
    <n v="0.4"/>
    <s v="Negado"/>
    <e v="#N/A"/>
    <m/>
    <m/>
    <n v="0"/>
    <m/>
    <m/>
    <s v="Ingeniería de Sistemas"/>
    <e v="#N/A"/>
    <m/>
    <e v="#N/A"/>
  </r>
  <r>
    <s v="CC"/>
    <n v="1035971601"/>
    <s v="1000337605"/>
    <s v="MARIANA ALVAREZ OSPINA"/>
    <s v="Estudios por primera vez"/>
    <x v="1"/>
    <s v="Descartado por ingresos altos"/>
    <m/>
    <s v="En publico objetivo"/>
    <s v="3ra Cohorte"/>
    <s v="Admitido"/>
    <s v="malvarezo6@eafit.edu.co"/>
    <s v="malvarezo6@eafit.edu.co"/>
    <s v="marianaalvarezospina01@gmail.com"/>
    <s v="573053149635"/>
    <d v="2025-05-30T00:00:00"/>
    <s v="Activo en Programa"/>
    <s v="183-Biología"/>
    <s v="E Ciencias Aplic e Ingeniería"/>
    <d v="2004-12-10T00:00:00"/>
    <n v="20"/>
    <s v="Antioquia"/>
    <s v="Itagui"/>
    <s v="Mujer"/>
    <s v="Soltero"/>
    <s v="NO"/>
    <s v="NO"/>
    <n v="0"/>
    <s v="NO"/>
    <s v="NA"/>
    <s v="NO"/>
    <s v="NA"/>
    <s v="NO"/>
    <s v="NA"/>
    <s v="No"/>
    <s v="604/204-6940"/>
    <s v="573053149635"/>
    <s v="Estrato 2"/>
    <s v="CR 27 B #23 SUR 52"/>
    <s v="Antioquia"/>
    <s v="Envigado"/>
    <s v="No aplica, no soy foráneo"/>
    <s v="Arriendo"/>
    <s v="SI"/>
    <s v="2022"/>
    <s v="AC202243224540"/>
    <n v="312"/>
    <n v="56"/>
    <n v="66"/>
    <s v="Pública"/>
    <s v="INSTITUCION EDUCATIVA MANUEL U"/>
    <n v="2022"/>
    <s v="Antioquia"/>
    <s v="Envigado"/>
    <s v="BACHILLER"/>
    <n v="0"/>
    <s v="TIPO: Pública, INSTITUCION: INSTITUCION EDUCATIVA MANUEL U, AÑO: 2022, CIUDAD: Envigado, TITULO: BACHILLER"/>
    <s v="11"/>
    <s v="Escala Desempeño"/>
    <s v="Escala de 0 - 5"/>
    <s v="4,5"/>
    <s v="5"/>
    <s v="5"/>
    <s v="4,5"/>
    <s v="5"/>
    <s v="5"/>
    <n v="4"/>
    <n v="4.5"/>
    <n v="4"/>
    <n v="4"/>
    <n v="4.5"/>
    <n v="4"/>
    <s v="4,5"/>
    <s v="5"/>
    <s v="4"/>
    <s v="4"/>
    <s v="4,5"/>
    <s v="4"/>
    <s v="4"/>
    <s v="4,5"/>
    <s v="5"/>
    <s v="De 9, 10 y 11"/>
    <n v="4.166666666666667"/>
    <s v="NO"/>
    <s v="NA"/>
    <n v="0"/>
    <n v="0"/>
    <s v="No"/>
    <n v="50"/>
    <m/>
    <n v="50"/>
    <m/>
    <n v="50"/>
    <m/>
    <s v="Excelente desempeño en la entrevista, mostró alto interés, vocación y conocimiento"/>
    <n v="50"/>
    <s v="Con detalle por componente"/>
    <s v="Artísticas o culturales,Espacios de liderazgo o representación social"/>
    <s v="Desde que tengo memoria, he encontrado una gran fascinación en los hilos invisibles de la vida y el balance natural de los ecosistemas, me obsesioné con los antepasados de los seres vivos y sus fósiles, al descubrir que ocultan misterios del pasado biológico de lo que hoy conocemos._x000a_ _x000a_En la Universidad EAFIT donde la innovación y el impacto social son ejes fundamentales, encuentro el espacio ideal para dar un paso más hacia mis metas; ser una colombiana que realice investigaciones y divulgación científica accesible para todos, especialmente para las futuras nuevas generaciones de regiones como el Amazonas, el Chocó, o la Guajira. Siempre he pensado que Colombia tiene una riqueza histórica poco explorada, que para ser bien conocida, requiere de la pasión de varias generaciones de profesionales con amor por sus tierras._x000a_ _x000a_La Beca Talento es una oportunidad de acceso a una educación de alta calidad que me va a permitir tener las herramientas adecuadas para no solo enfrentar el mundo profesional, sino también para conocer mejor las necesidades de un territorio tan vasto y rico en biodiversidad como el colombiano._x000a_ _x000a_Los semilleros y grupos de investigación, junto a las salidas pedagógicas, me permitirán conectar con la parte social y el quehacer de la biología, los cuales con la guía de la planta docente de la universidad, me ayudarán a encaminar mi visión social, y a establecer estrategias de acuerdo a las condiciones específicas de los diferentes territorios colombianos, y a sus ciudadanos."/>
    <s v="Empleados o profesores EAFIT"/>
    <s v="Por la calidad académica."/>
    <s v="Vocación."/>
    <n v="4"/>
    <s v="2"/>
    <s v="NO"/>
    <s v="NO"/>
    <s v="Entre 1 y 2 millones"/>
    <s v="No"/>
    <s v="SI"/>
    <n v="0"/>
    <m/>
    <n v="0"/>
    <m/>
    <s v="SI"/>
    <s v="UNIVERSIDAD EAFIT"/>
    <s v="aprendiz"/>
    <s v="Si"/>
    <s v="Rafael Arcángel Álvarez Cardona"/>
    <s v="Unión marital"/>
    <s v="MAESTRÍA"/>
    <s v="53"/>
    <s v="Licenciado en Ciencias Sociales y Filosofía"/>
    <s v="Empleado (con contrato laboral)"/>
    <s v="Docente"/>
    <s v="Institución Educativa Manuel Uribe Ángel"/>
    <n v="9255205"/>
    <s v="Si"/>
    <s v="NO"/>
    <s v="NO"/>
    <s v="Padre que me incentiva a estudiar, pero sin capacidad de apoyo financiero."/>
    <s v="Si"/>
    <s v="Ruth Estela Ospina Ortega"/>
    <s v="Otro"/>
    <s v="ESPECIALIZACIÓN"/>
    <s v="47"/>
    <s v="ama de casa"/>
    <s v="Desempleado (Se encuentra en la búsqueda activa de empleo)"/>
    <s v="Ama de casa"/>
    <s v="Desempleada"/>
    <n v="0"/>
    <s v="Si"/>
    <s v="NO"/>
    <s v="NO"/>
    <m/>
    <n v="9255205"/>
    <s v="Si"/>
    <s v="Simón Álvarez Ospina"/>
    <s v="Hermano / Hermana"/>
    <s v="22"/>
    <s v="Ingeniero Matemático"/>
    <s v="Desempleado"/>
    <n v="0"/>
    <s v="No"/>
    <s v="Pedro Abelardo Álvarez Ospina"/>
    <s v="Hermano / Hermana"/>
    <s v="25"/>
    <s v="Estudiante"/>
    <s v="SENA"/>
    <n v="0"/>
    <s v="No"/>
    <s v=""/>
    <s v=""/>
    <s v=""/>
    <s v=""/>
    <s v=""/>
    <m/>
    <s v=""/>
    <s v=""/>
    <n v="0"/>
    <n v="0"/>
    <n v="0"/>
    <n v="0"/>
    <n v="0"/>
    <s v="No"/>
    <s v=""/>
    <s v=""/>
    <n v="0"/>
    <s v="No"/>
    <s v=""/>
    <s v=""/>
    <n v="0"/>
    <s v="No"/>
    <s v=""/>
    <s v=""/>
    <s v=""/>
    <n v="0"/>
    <m/>
    <n v="4"/>
    <n v="4"/>
    <n v="4"/>
    <n v="4"/>
    <n v="4"/>
    <n v="4"/>
    <n v="2"/>
    <n v="4"/>
    <n v="4"/>
    <n v="4"/>
    <n v="38"/>
    <s v="SI"/>
    <m/>
    <s v="SI, SON PRI"/>
    <s v="ok tienen todos los datos"/>
    <n v="0.6"/>
    <n v="20232"/>
    <m/>
    <n v="2"/>
    <n v="10"/>
    <n v="10"/>
    <n v="5"/>
    <n v="15"/>
    <n v="15"/>
    <n v="20"/>
    <n v="13"/>
    <n v="13"/>
    <n v="78"/>
    <n v="0.4"/>
    <n v="0.4"/>
    <n v="3.5"/>
    <n v="4.5"/>
    <n v="1"/>
    <n v="4"/>
    <n v="3.5"/>
    <n v="4"/>
    <n v="1"/>
    <n v="4.5"/>
    <n v="78"/>
    <n v="0.4"/>
    <n v="0.4"/>
    <e v="#N/A"/>
    <m/>
    <m/>
    <n v="0"/>
    <m/>
    <m/>
    <s v="Biología"/>
    <e v="#N/A"/>
    <s v="183"/>
    <e v="#N/A"/>
  </r>
  <r>
    <s v="TI"/>
    <n v="1035971799"/>
    <s v="1000325286"/>
    <s v="SANTIAGO GARCIA VASCO"/>
    <s v="Estudios por primera vez"/>
    <x v="2"/>
    <s v="No cumple, puntaje ICFES menor a 300"/>
    <m/>
    <s v="En publico objetivo"/>
    <s v="1er Cohorte"/>
    <s v="Admitido"/>
    <s v="sgarcia13@eafit.edu.co"/>
    <s v="sgarcia13@eafit.edu.co"/>
    <s v="sgarcia13@eafit.edu.co"/>
    <s v="300/686-9582"/>
    <d v="2025-04-25T00:00:00"/>
    <s v="Activo en Programa"/>
    <s v="237-Diseño Interactivo"/>
    <s v="Escuela de Artes y Humanidades"/>
    <d v="2005-01-20T00:00:00"/>
    <n v="20"/>
    <s v="Antioquia"/>
    <s v="Itagui"/>
    <s v="Hombre"/>
    <s v="Soltero"/>
    <s v="NO"/>
    <s v="NO"/>
    <n v="0"/>
    <s v="SI"/>
    <s v="Visión"/>
    <s v="NO"/>
    <s v="NA"/>
    <s v="NO"/>
    <s v="NA"/>
    <s v="No"/>
    <s v="300/686-9582"/>
    <s v="300/686-9582"/>
    <s v="Estrato 2"/>
    <s v="CL 83 #40 495"/>
    <s v="Antioquia"/>
    <s v="Itagui"/>
    <s v="No aplica, no soy foráneo"/>
    <s v="Propio"/>
    <s v="SI"/>
    <s v="2021"/>
    <s v="AC202142539765"/>
    <n v="225"/>
    <n v="56"/>
    <n v="46"/>
    <s v="Pública"/>
    <s v="I.E. ENRIQUE VELEZ ESCOBAR"/>
    <n v="2021"/>
    <s v="Antioquia"/>
    <s v="Itagui"/>
    <s v="BACHILLER"/>
    <s v="ACAD"/>
    <s v="TIPO: Pública, INSTITUCION: I.E. ENRIQUE VELEZ ESCOBAR, AÑO: 2021, CIUDAD: Itagui, TITULO: BACHILLER"/>
    <s v="11"/>
    <s v="Escala Desempeño"/>
    <s v="Escala de 0 - 5"/>
    <s v="4"/>
    <s v="4,5"/>
    <m/>
    <s v="4,5"/>
    <s v="4,5"/>
    <m/>
    <n v="4.5"/>
    <n v="4.5"/>
    <m/>
    <n v="4"/>
    <n v="4.5"/>
    <m/>
    <s v="4"/>
    <s v="4"/>
    <m/>
    <s v="4,5"/>
    <s v="4,5"/>
    <m/>
    <s v="4,5"/>
    <s v="4"/>
    <m/>
    <s v="De 9 y 10"/>
    <n v="4.375"/>
    <s v="NO"/>
    <s v="NA"/>
    <n v="0"/>
    <n v="0"/>
    <s v="No"/>
    <n v="40"/>
    <m/>
    <n v="45"/>
    <m/>
    <n v="45"/>
    <m/>
    <s v="Manifiesta su deseo de postularse a una beca."/>
    <n v="43.333333333333336"/>
    <s v="Con detalle por componente"/>
    <s v="Ninguna"/>
    <s v="Me visualizo siendo un gran diseñador de interfaces, aplicaciones, etc., donde pueda ayudar y facilitar la experiencia de las personas con grandes diseños que faciliten su interacción con su necesidad, también me visualizo creando mi propia empresa que revolucione e impacte en el mundo de la tecnología a través de apps y páginas web."/>
    <s v="Estudiantes de EAFIT"/>
    <s v="Por la calidad académica."/>
    <s v="Alta empleabilidad."/>
    <n v="3"/>
    <s v="1"/>
    <s v="SI"/>
    <s v="NO"/>
    <s v="Entre 2 y 3 millones"/>
    <s v="No"/>
    <n v="0"/>
    <n v="0"/>
    <m/>
    <s v="SI"/>
    <s v="Beca"/>
    <s v="SI"/>
    <s v="SODIMAC COLOMBIA SA"/>
    <s v="Vendedor con énfasis en operacion"/>
    <s v="Si"/>
    <s v="Edier Alexander García posada"/>
    <s v="Casado"/>
    <s v="PRIMARIA"/>
    <s v="40"/>
    <s v="Independiente"/>
    <s v="Independiente (trabaja por cuenta propia)"/>
    <s v="Oficial obra civil"/>
    <s v="Independiente"/>
    <n v="1600000"/>
    <s v="Si"/>
    <s v="NO"/>
    <s v="NO"/>
    <s v="Desempleado actualmente"/>
    <s v="Si"/>
    <s v="Érica Yesenia vasco deossa"/>
    <s v="Casado"/>
    <s v="PRIMARIA"/>
    <s v="40"/>
    <s v="ama de casa"/>
    <s v="Labores del hogar y cuidado"/>
    <s v="Ama de casa"/>
    <s v="Ama de casa"/>
    <n v="0"/>
    <s v="Si"/>
    <s v="NO"/>
    <s v="NO"/>
    <m/>
    <n v="1600000"/>
    <s v="Si"/>
    <s v="Danilo García vasco"/>
    <s v="Hermano / Hermana"/>
    <s v="14"/>
    <s v="Estudiante"/>
    <s v="Institución educativa Benedikta zur nieden"/>
    <n v="0"/>
    <s v="No"/>
    <s v=""/>
    <s v=""/>
    <s v=""/>
    <s v=""/>
    <s v=""/>
    <m/>
    <s v=""/>
    <s v=""/>
    <s v=""/>
    <s v=""/>
    <s v=""/>
    <s v=""/>
    <m/>
    <s v=""/>
    <m/>
    <n v="16205000"/>
    <n v="0"/>
    <n v="0"/>
    <n v="0"/>
    <n v="0"/>
    <s v="No"/>
    <s v=""/>
    <s v=""/>
    <n v="0"/>
    <s v="No"/>
    <s v=""/>
    <s v=""/>
    <n v="0"/>
    <s v="No"/>
    <s v=""/>
    <s v=""/>
    <s v=""/>
    <n v="0"/>
    <m/>
    <n v="4"/>
    <n v="4"/>
    <n v="4"/>
    <n v="4"/>
    <n v="4"/>
    <n v="4"/>
    <n v="4"/>
    <n v="4"/>
    <n v="4"/>
    <n v="4"/>
    <n v="40"/>
    <s v="SI"/>
    <m/>
    <s v="SI, SON PRI"/>
    <s v="ok tienen todos los datos"/>
    <e v="#N/A"/>
    <e v="#N/A"/>
    <m/>
    <n v="3"/>
    <n v="10"/>
    <n v="10"/>
    <n v="0"/>
    <n v="15"/>
    <n v="15"/>
    <n v="15"/>
    <n v="18.5"/>
    <n v="17"/>
    <n v="72"/>
    <n v="0.5"/>
    <m/>
    <n v="3.5"/>
    <n v="2.5"/>
    <n v="8"/>
    <n v="3"/>
    <n v="3.5"/>
    <n v="2.5"/>
    <n v="8"/>
    <n v="4.5"/>
    <n v="73.5"/>
    <n v="0.7"/>
    <s v="Negado"/>
    <e v="#N/A"/>
    <m/>
    <m/>
    <n v="0"/>
    <m/>
    <m/>
    <s v="Diseño Interactivo"/>
    <e v="#N/A"/>
    <m/>
    <e v="#N/A"/>
  </r>
  <r>
    <s v="CC"/>
    <n v="1035973334"/>
    <s v="1000403213"/>
    <s v="SEBASTIÁN CORREA LOPERA"/>
    <s v="Estudios por primera vez"/>
    <x v="1"/>
    <s v="Descartado por baja prioridad pregrado"/>
    <m/>
    <s v="En publico objetivo"/>
    <s v="2da Cohorte"/>
    <s v="Admitido"/>
    <s v="scorreal5@eafit.edu.co"/>
    <s v="scorreal5@eafit.edu.co"/>
    <s v="sebastuba4@gmail.com"/>
    <s v="573226183765"/>
    <d v="2025-05-16T00:00:00"/>
    <s v="Activo en Programa"/>
    <s v="083-Música"/>
    <s v="Escuela de Artes y Humanidades"/>
    <d v="2006-01-12T00:00:00"/>
    <n v="19"/>
    <s v="Antioquia"/>
    <s v="Itagui"/>
    <s v="Hombre"/>
    <s v="Soltero"/>
    <s v="NO"/>
    <s v="NO"/>
    <n v="0"/>
    <s v="NO"/>
    <s v="NA"/>
    <s v="NO"/>
    <s v="NA"/>
    <s v="NO"/>
    <s v="NA"/>
    <s v="No"/>
    <s v="000/000-0000"/>
    <s v="573226183765"/>
    <s v="Estrato 3"/>
    <s v="CL 9 #9 35"/>
    <s v="Antioquia"/>
    <s v="Entrerrios"/>
    <s v="No"/>
    <s v="Familiar"/>
    <s v="SI"/>
    <s v="2024"/>
    <s v="AC202426690911"/>
    <n v="343"/>
    <n v="64"/>
    <n v="66"/>
    <s v="Privada"/>
    <s v="COLEGIO SANTA INES"/>
    <n v="2024"/>
    <s v="Antioquia"/>
    <s v="Entrerrios"/>
    <s v="BACHILLER"/>
    <s v="ACAD"/>
    <s v="TIPO: Privada, INSTITUCION: COLEGIO SANTA INES, AÑO: 2024, CIUDAD: Entrerrios, TITULO: BACHILLER"/>
    <s v="11"/>
    <s v="Escala de 0 - 5"/>
    <s v="Escala de 0 - 5"/>
    <s v="3,5"/>
    <s v="3,5"/>
    <m/>
    <s v="3,2"/>
    <s v="3,2"/>
    <m/>
    <n v="3.1"/>
    <n v="3.5"/>
    <m/>
    <n v="3.6"/>
    <n v="4"/>
    <m/>
    <s v="3,3"/>
    <s v="3,4"/>
    <m/>
    <s v="3,6"/>
    <s v="3,6"/>
    <m/>
    <s v="3,4"/>
    <s v="4,1"/>
    <m/>
    <s v="De 9 y 10"/>
    <n v="3.55"/>
    <s v="NO"/>
    <s v="NA"/>
    <n v="0"/>
    <n v="0"/>
    <s v="No"/>
    <s v="Sin informacion"/>
    <s v="Sin informacion"/>
    <s v="Sin informacion"/>
    <s v="Sin informacion"/>
    <s v="Sin informacion"/>
    <s v="Sin informacion"/>
    <s v="Su ingreso ayudaría a fortalecer el énfasis de tuba donde solo hay un estudiante. Depende de esta beca para poder realizar sus estudios."/>
    <n v="9"/>
    <s v="Audicion musica"/>
    <s v="Artísticas o culturales"/>
    <s v="Me visualizo ejerciendo en varias etapas de mi vida musical profesional, ya que me podria enfocar en la creacion, divulgacion y enseñanza de la musica en diferentes espacios, ya sean nacionales como internacionales, ayudar a jovenes que quieran avanzar en su camino profesional, creando espacios para musicos y desarrollarme profesionalmente como un interprete de la tuba._x000a_La obtencion de la beca me ayudaria a abrir puertas y conocer nuevos caminos para mi y mi proyecto de vida al rededor de la musica, poder estudiar me daria varios conocimientos para compartir a comunidades de mi region ya que me gusta la divulgacion musical y ayudar en el crecimiento musical, tambien tendria la opcion de mejorar como instrumentista y poder liderar espacios para las personas que buscan espacios de creacion y conocimiento."/>
    <s v="Estudiantes de EAFIT"/>
    <s v="Por la calidad académica."/>
    <s v="Vocación."/>
    <n v="1"/>
    <s v="0"/>
    <s v="SI"/>
    <s v="NO"/>
    <s v="Entre 1 y 2 millones"/>
    <s v="Si"/>
    <n v="0"/>
    <s v="SI"/>
    <s v="Crédito entidad externa"/>
    <s v="SI"/>
    <s v="Beca"/>
    <s v="NO"/>
    <s v=""/>
    <s v=""/>
    <s v="Sin información"/>
    <n v="0"/>
    <m/>
    <m/>
    <m/>
    <s v=""/>
    <s v=""/>
    <m/>
    <s v=""/>
    <m/>
    <s v=""/>
    <m/>
    <m/>
    <s v=""/>
    <s v="Si"/>
    <s v="Diana Maria Lopera Perez"/>
    <s v="Soltero"/>
    <s v="BACHILLERATO"/>
    <s v="41"/>
    <s v="Venta de empanadas"/>
    <s v="Independiente (trabaja por cuenta propia)"/>
    <s v="Vendedora independiente de empanadas"/>
    <s v="Trabajo independiente como emprendedora en venta de alimentos"/>
    <n v="1250000"/>
    <s v="Si"/>
    <s v="NO"/>
    <s v="NO"/>
    <m/>
    <n v="1250000"/>
    <s v="No, solo vivo con mis padres"/>
    <s v=""/>
    <s v=""/>
    <s v=""/>
    <s v=""/>
    <s v=""/>
    <m/>
    <s v=""/>
    <s v=""/>
    <s v=""/>
    <s v=""/>
    <s v=""/>
    <s v=""/>
    <m/>
    <s v=""/>
    <s v=""/>
    <s v=""/>
    <s v=""/>
    <s v=""/>
    <s v=""/>
    <m/>
    <s v=""/>
    <s v=""/>
    <n v="0"/>
    <n v="0"/>
    <n v="0"/>
    <n v="0"/>
    <n v="0"/>
    <s v="No"/>
    <s v=""/>
    <s v=""/>
    <n v="0"/>
    <s v="No"/>
    <s v=""/>
    <s v=""/>
    <n v="0"/>
    <s v="No"/>
    <s v=""/>
    <s v=""/>
    <s v=""/>
    <n v="0"/>
    <m/>
    <n v="3"/>
    <n v="4"/>
    <n v="4"/>
    <n v="4"/>
    <n v="3"/>
    <n v="4"/>
    <n v="3"/>
    <n v="4"/>
    <n v="4"/>
    <n v="3"/>
    <n v="36"/>
    <s v="SI"/>
    <m/>
    <s v="PRI SIN PUNTAJE ENTREVISTA"/>
    <s v="ok es de musica, se deja puntaje del pregrado de 1 a 10 y comentario"/>
    <e v="#N/A"/>
    <e v="#N/A"/>
    <m/>
    <n v="1"/>
    <n v="10"/>
    <n v="8"/>
    <n v="10"/>
    <n v="10"/>
    <n v="15"/>
    <n v="15"/>
    <n v="18"/>
    <n v="17.5"/>
    <n v="77.5"/>
    <n v="0.5"/>
    <m/>
    <n v="2"/>
    <n v="3.5"/>
    <n v="8"/>
    <n v="4"/>
    <n v="2"/>
    <n v="3.5"/>
    <n v="8"/>
    <n v="4.5"/>
    <n v="76"/>
    <n v="0.6"/>
    <n v="0.6"/>
    <e v="#N/A"/>
    <s v="estaba descartado por bajos ingresos (muchas dificultades economicas) y foraneo, sin embargo esta muy bien recomendado por el pregrado. Aunque su parte academica no es excepcional, podria fortalecer la linea de ese instrumento"/>
    <m/>
    <n v="0"/>
    <m/>
    <m/>
    <s v="Música"/>
    <e v="#N/A"/>
    <s v="083"/>
    <e v="#N/A"/>
  </r>
  <r>
    <s v="CC"/>
    <n v="1035974251"/>
    <s v="1000407735"/>
    <s v="DAVID FERNEY MAZO LEON"/>
    <s v="Estudios por primera vez"/>
    <x v="1"/>
    <s v="Duda, cursando o graduado de tecnica o tecnologia"/>
    <m/>
    <s v="En publico objetivo"/>
    <s v="2da Cohorte"/>
    <s v="Admitido"/>
    <s v="dfmazol@eafit.edu.co"/>
    <e v="#N/A"/>
    <s v="davidfmazo11@gmail.com"/>
    <s v="302/343-5522"/>
    <d v="2025-05-16T00:00:00"/>
    <s v="Activo en Programa"/>
    <s v="010-Ingeniería de Sistemas"/>
    <s v="E Ciencias Aplic e Ingeniería"/>
    <d v="2006-08-29T00:00:00"/>
    <n v="19"/>
    <s v="Antioquia"/>
    <s v="Itagui"/>
    <s v="Hombre"/>
    <s v="Soltero"/>
    <s v="NO"/>
    <s v="NO"/>
    <n v="0"/>
    <s v="NO"/>
    <s v="NA"/>
    <s v="NO"/>
    <s v="NA"/>
    <s v="NO"/>
    <s v="NA"/>
    <s v="No"/>
    <s v="302/343-5522"/>
    <s v="302/343-5522"/>
    <s v="Estrato 2"/>
    <s v="CR 40 C SUR #28 39 IN 246"/>
    <s v="Antioquia"/>
    <s v="Envigado"/>
    <s v="No aplica, no soy foráneo"/>
    <s v="Familiar"/>
    <s v="SI"/>
    <s v="2024"/>
    <s v="AC202437031909"/>
    <n v="367"/>
    <n v="80"/>
    <n v="76"/>
    <s v="Pública"/>
    <s v="INSTITUCION EDUCATIVA COMERCIA"/>
    <n v="2024"/>
    <m/>
    <s v="Envigado"/>
    <s v="Bachillerato"/>
    <s v="BACHILLER"/>
    <s v="TIPO: Pública, INSTITUCION: INSTITUCION EDUCATIVA COMERCIA, AÑO: 2024, CIUDAD: Envigado, TITULO: BACHILLER"/>
    <s v="11"/>
    <s v="Escala de 0 - 5"/>
    <s v="Escala de 0 - 5"/>
    <s v="4,5"/>
    <s v="4,5"/>
    <m/>
    <s v="4,5"/>
    <s v="4,5"/>
    <m/>
    <n v="4.5"/>
    <n v="4"/>
    <m/>
    <n v="4.2"/>
    <n v="3.4"/>
    <m/>
    <s v="4,5"/>
    <s v="4,5"/>
    <m/>
    <s v="1,5"/>
    <s v="4,5"/>
    <m/>
    <s v="4"/>
    <s v="4"/>
    <m/>
    <s v="De 9 y 10"/>
    <n v="4.0249999999999995"/>
    <s v="SI"/>
    <s v="TIPO: Pública, INSTITUCION: SERVICIO NACIONAL DE APRENDIZA, AÑO: 2024, CIUDAD: Medellín, TITULO: TECNICO EN DESARROLLO DE SOFTWARE"/>
    <s v="TECNICA"/>
    <s v=" TITULO: TECNICO EN DESARROLLO DE SOFTWARE"/>
    <s v="No"/>
    <n v="40"/>
    <m/>
    <n v="45"/>
    <m/>
    <n v="45"/>
    <m/>
    <m/>
    <n v="43.333333333333336"/>
    <s v="Con detalle por componente"/>
    <s v="Espacios de liderazgo o representación social,Otras (por ejemplo, un talento extraordinario)"/>
    <s v="Me visualizo ejerciendo mi labor como ingeniero de software con devoción y respeto, siempre en busca de extender mis fronteras de conocimiento en el área de la ciencia y tecnología. Sueño con crear oportunidades para los demás, ser el empujón que inspire a mis vecinos, amigos y familiares a soñar sin miedo y mejorar cada dia como yo espero hacerlo con la obtención de la beca, pues es mi camino para estudiar en Eafit y emprender en el sueño de cambiar mi realidad y de quienes me rodean."/>
    <s v="A través del Colegio"/>
    <s v="Por la calidad académica."/>
    <s v="Alta proyección de ingresos."/>
    <n v="3"/>
    <s v="0"/>
    <s v="NO"/>
    <s v="NO"/>
    <s v="Entre 1 y 2 millones"/>
    <s v="No"/>
    <n v="0"/>
    <n v="0"/>
    <m/>
    <s v="SI"/>
    <s v="Beca"/>
    <s v="NO"/>
    <s v=""/>
    <s v=""/>
    <s v="Sin información"/>
    <n v="0"/>
    <m/>
    <m/>
    <m/>
    <s v=""/>
    <s v=""/>
    <m/>
    <s v=""/>
    <m/>
    <s v=""/>
    <m/>
    <m/>
    <s v="ausente"/>
    <s v="Si"/>
    <s v="Estephanie Leon Miranda"/>
    <s v="Soltero"/>
    <s v="TÉCNICA"/>
    <s v="37"/>
    <s v="operario"/>
    <s v="Empleado (con contrato laboral)"/>
    <s v="operario de termofusionado"/>
    <s v="Sintracontexa"/>
    <n v="1537400"/>
    <s v="Si"/>
    <s v="NO"/>
    <s v="NO"/>
    <m/>
    <n v="1537400"/>
    <s v="Si"/>
    <s v="Marta Ligia Miranda de Leon"/>
    <s v="Abuelo / Abuela"/>
    <s v="72"/>
    <s v="no aplica"/>
    <s v="No aplica"/>
    <n v="0"/>
    <s v="No"/>
    <s v="Melany San Martin Leon"/>
    <s v="Primos"/>
    <s v="16"/>
    <s v="bachiller"/>
    <s v=""/>
    <m/>
    <s v="No"/>
    <s v="Diana leon miranda"/>
    <s v="Tío / Tía"/>
    <s v="47"/>
    <s v="Desempleada"/>
    <s v=""/>
    <m/>
    <s v="No"/>
    <s v=""/>
    <n v="120000000"/>
    <n v="0"/>
    <n v="0"/>
    <n v="0"/>
    <n v="0"/>
    <s v="No"/>
    <s v=""/>
    <s v=""/>
    <n v="0"/>
    <s v="No"/>
    <s v=""/>
    <s v=""/>
    <n v="0"/>
    <s v="Si"/>
    <s v="Moto"/>
    <s v="yamaha"/>
    <s v="2012"/>
    <n v="3000000"/>
    <m/>
    <n v="3"/>
    <n v="4"/>
    <n v="3"/>
    <n v="4"/>
    <n v="4"/>
    <n v="4"/>
    <n v="3"/>
    <n v="3"/>
    <n v="4"/>
    <n v="3"/>
    <n v="35"/>
    <s v="SI"/>
    <m/>
    <s v="SI, SON PRI"/>
    <s v="ok tienen todos los datos"/>
    <s v="Negada"/>
    <n v="20251"/>
    <m/>
    <n v="3"/>
    <n v="10"/>
    <n v="10"/>
    <n v="15"/>
    <n v="15"/>
    <n v="15"/>
    <n v="15"/>
    <n v="17"/>
    <n v="17"/>
    <n v="87"/>
    <n v="0.5"/>
    <m/>
    <n v="3.5"/>
    <n v="3.5"/>
    <n v="8"/>
    <n v="2"/>
    <n v="3.5"/>
    <n v="3.5"/>
    <n v="8"/>
    <n v="2"/>
    <n v="87"/>
    <n v="0.6"/>
    <n v="0.6"/>
    <e v="#N/A"/>
    <m/>
    <m/>
    <n v="0"/>
    <m/>
    <m/>
    <s v="Ingeniería de Sistemas"/>
    <e v="#N/A"/>
    <s v="010"/>
    <e v="#N/A"/>
  </r>
  <r>
    <s v="CC"/>
    <n v="1035974530"/>
    <s v="1000407075"/>
    <s v="JOSE MANUEL ARISTIZABAL CORRALES"/>
    <s v="Estudios por primera vez"/>
    <x v="1"/>
    <s v="Descartado por ingresos altos"/>
    <m/>
    <s v="En publico objetivo"/>
    <s v="2da Cohorte"/>
    <s v="Admitido"/>
    <s v="jmaristizc@eafit.edu.co"/>
    <e v="#N/A"/>
    <s v="josemaar0511@gmail.com"/>
    <s v="573053489028"/>
    <d v="2025-05-16T00:00:00"/>
    <s v="Activo en Programa"/>
    <s v="010-Ingeniería de Sistemas"/>
    <s v="E Ciencias Aplic e Ingeniería"/>
    <d v="2006-11-05T00:00:00"/>
    <n v="19"/>
    <s v="Antioquia"/>
    <s v="Itagui"/>
    <s v="Hombre"/>
    <s v="Soltero"/>
    <s v="NO"/>
    <s v="NO"/>
    <n v="0"/>
    <s v="NO"/>
    <s v="NA"/>
    <s v="NO"/>
    <s v="NA"/>
    <s v="NO"/>
    <s v="NA"/>
    <s v="No"/>
    <s v="604/414-0844"/>
    <s v="573053489028"/>
    <s v="Estrato 3"/>
    <s v="CL 25 #59 36"/>
    <s v="Antioquia"/>
    <s v="Medellín"/>
    <s v="No aplica, no soy foráneo"/>
    <s v="Arriendo"/>
    <s v="SI"/>
    <s v="2023"/>
    <s v="AC202342705655"/>
    <n v="373"/>
    <n v="82"/>
    <n v="78"/>
    <s v="Privada"/>
    <s v="COL CORAZONISTA"/>
    <n v="2023"/>
    <s v="Antioquia"/>
    <s v="Medellín"/>
    <s v="BACHILLER"/>
    <s v="ACAD"/>
    <s v="TIPO: Privada, INSTITUCION: COL CORAZONISTA, AÑO: 2023, CIUDAD: Medellín, TITULO: BACHILLER"/>
    <s v="11"/>
    <s v="Escala de 0 - 10"/>
    <s v="Escala de 0 - 10"/>
    <s v="6,9"/>
    <s v="8"/>
    <m/>
    <s v="9"/>
    <s v="6,9"/>
    <m/>
    <n v="8"/>
    <n v="6.9"/>
    <m/>
    <n v="8"/>
    <n v="8"/>
    <m/>
    <s v="8"/>
    <s v="9"/>
    <m/>
    <s v="9"/>
    <s v="8"/>
    <m/>
    <s v="9"/>
    <s v="9"/>
    <m/>
    <s v="De 9 y 10"/>
    <n v="7.7249999999999996"/>
    <s v="NO"/>
    <s v="NA"/>
    <n v="0"/>
    <n v="0"/>
    <s v="No"/>
    <n v="40"/>
    <m/>
    <n v="45"/>
    <m/>
    <n v="50"/>
    <m/>
    <m/>
    <n v="45"/>
    <s v="Con detalle por componente"/>
    <s v="Ninguna"/>
    <s v="La ingeniería de sistemas es una carrera tomada a la ligera, con varios complejos y opiniones sin fundamento, que solo la escogen por la recompensa económica que hay, o por descarte al no saber qué hacer con su vida laboral. Por ese motivo elegí EAFIT, por los distintos enfoques que se dan en la universidad, la calidad de estudio, la pasión que transmite la universidad y los profesores que con un alto nivel demuestran y comparten sus conocimientos. _x000a_Voy a ejercer como un ingeniero de sistemas experto en varios campos, con unas bases muy sólidas, una conciencia desarrollada sobre lo que depara el futuro y cumpliendo mis objetivos. Estudiar en EAFIT me permitirá competir con el más alto nivel en un mercado exigente y prometedor, con una experiencia bien fundamentada y sobre todo generando conciencia sobre lo que nos espera en el futuro y siendo complemento para el avance como sociedad._x000a_Ser merecedor de la beca además de ser un honor, una ayuda muy grande tanto para mí como para mi familia desde un punto económico. Ya que se crearía la oportunidad de estudiar en una universidad de alto prestigio. EAFIT tiene el enfoque que busco como ingeniero de Sistemas, donde puedo explotar al máximo mis capacidades con los recursos que brinda la universidad, la oportunidad laboral que ofrece y el espíritu emprendedor que se vive en la mejor escuela de negocios en Medellín. Usare mi creatividad y pasión para el desarrollo de nuevas tecnologías que faciliten y solucionen distintos problemas propuestos por la sociedad; brindando apoyo a todo aquel que lo necesite e inspirando cada vez más a las futuras generaciones, transformado así la visión acerca de esta profesión._x000a__x000a_Les agradezco mucho la oportunidad que me brindan al formar parte de EAFIT_x000a__x000a_Atentamente, Jose Manuel Aristizabal Corrales"/>
    <s v="Amigos"/>
    <s v="Por la calidad académica."/>
    <s v="Vocación."/>
    <n v="5"/>
    <s v="2"/>
    <s v="NO"/>
    <s v="NO"/>
    <s v="Entre 2 y 3 millones"/>
    <s v="Si"/>
    <s v="SI"/>
    <s v="NO"/>
    <m/>
    <s v="SI"/>
    <s v="Beca"/>
    <s v="NO"/>
    <s v=""/>
    <s v=""/>
    <s v="Si"/>
    <s v="Carlos Emilio Aristizabal Corrales"/>
    <s v="Soltero"/>
    <s v="BACHILLERATO"/>
    <s v="56"/>
    <s v="Comerciante"/>
    <s v="Independiente (trabaja por cuenta propia)"/>
    <s v="Venta de insumos y textiles"/>
    <s v="NA"/>
    <n v="4000000"/>
    <s v="No"/>
    <s v="NO"/>
    <s v="NO"/>
    <s v=""/>
    <s v="Si"/>
    <s v="Alejandra Patricia Corrales Salazar"/>
    <s v="Soltero"/>
    <s v="BACHILLERATO"/>
    <s v="44"/>
    <s v="Comerciante"/>
    <s v="Independiente (trabaja por cuenta propia)"/>
    <s v="Estampados"/>
    <s v="NA"/>
    <n v="3500000"/>
    <s v="Si"/>
    <s v="NO"/>
    <s v="SI"/>
    <m/>
    <n v="7500000"/>
    <s v="Si"/>
    <s v="Maria Rosa Aristizabal Corrales"/>
    <s v="Hermano / Hermana"/>
    <s v="21"/>
    <s v="Estudiante"/>
    <s v="Universidad de Antioquia"/>
    <n v="0"/>
    <s v="No"/>
    <s v="Isabel Aristizabal Corrales"/>
    <s v="Hermano / Hermana"/>
    <s v="16"/>
    <s v=""/>
    <s v=""/>
    <n v="0"/>
    <s v="No"/>
    <s v="Maria Esperanza Salazar Montoya"/>
    <s v="Abuelo / Abuela"/>
    <s v="70"/>
    <s v=""/>
    <s v=""/>
    <m/>
    <s v="No"/>
    <s v=""/>
    <n v="0"/>
    <n v="0"/>
    <n v="0"/>
    <n v="0"/>
    <n v="0"/>
    <s v="No"/>
    <s v=""/>
    <s v=""/>
    <n v="0"/>
    <s v="No"/>
    <s v=""/>
    <s v=""/>
    <n v="0"/>
    <s v="No"/>
    <s v=""/>
    <s v=""/>
    <s v=""/>
    <n v="0"/>
    <m/>
    <n v="3"/>
    <n v="4"/>
    <n v="4"/>
    <n v="4"/>
    <n v="4"/>
    <n v="4"/>
    <n v="3"/>
    <n v="4"/>
    <n v="4"/>
    <n v="4"/>
    <n v="38"/>
    <s v="SI"/>
    <m/>
    <s v="SI, SON PRI"/>
    <s v="ok tienen todos los datos"/>
    <e v="#N/A"/>
    <e v="#N/A"/>
    <m/>
    <n v="3"/>
    <n v="10"/>
    <n v="8"/>
    <n v="15"/>
    <n v="10"/>
    <n v="15"/>
    <n v="15"/>
    <n v="11.5"/>
    <n v="11.5"/>
    <n v="76.5"/>
    <n v="0.4"/>
    <m/>
    <n v="2"/>
    <n v="4.5"/>
    <n v="1"/>
    <n v="4"/>
    <n v="2"/>
    <n v="4"/>
    <n v="1"/>
    <n v="4.5"/>
    <n v="74.5"/>
    <n v="0.4"/>
    <n v="0.4"/>
    <e v="#N/A"/>
    <m/>
    <m/>
    <n v="0"/>
    <m/>
    <m/>
    <s v="Ingeniería de Sistemas"/>
    <e v="#N/A"/>
    <s v="010"/>
    <e v="#N/A"/>
  </r>
  <r>
    <s v="TI"/>
    <n v="1035975020"/>
    <s v="1000035628"/>
    <s v="SOFIA RESTREPO GOMEZ"/>
    <s v="Estudios por primera vez"/>
    <x v="1"/>
    <s v="Descartados por año graduacion 2025"/>
    <s v="Año graduacion e icfes 2025 - ver colegio"/>
    <s v="En publico objetivo"/>
    <s v="2da Cohorte"/>
    <s v="Admitido"/>
    <s v="srestrep24@eafit.edu.co"/>
    <s v="srestrep24@eafit.edu.co"/>
    <s v="sofia.ress.gomez@gmail.com"/>
    <s v="323/815-0062"/>
    <d v="2025-05-16T00:00:00"/>
    <s v="Activo en Programa"/>
    <s v="085-Ingeniería Diseño de Producto"/>
    <s v="E Ciencias Aplic e Ingeniería"/>
    <d v="2007-02-22T00:00:00"/>
    <n v="18"/>
    <s v="Antioquia"/>
    <s v="Itagui"/>
    <s v="Mujer"/>
    <s v="Soltero"/>
    <s v="NO"/>
    <s v="NO"/>
    <n v="0"/>
    <s v="NO"/>
    <s v="NA"/>
    <s v="NO"/>
    <s v="NA"/>
    <s v="NO"/>
    <s v="NA"/>
    <s v="No"/>
    <s v="301/524-8549"/>
    <s v="323/815-0062"/>
    <s v="Estrato 3"/>
    <s v="CR 39 # 37 SUR 23"/>
    <s v="Antioquia"/>
    <s v="Envigado"/>
    <s v="No aplica, no soy foráneo"/>
    <s v="Familiar"/>
    <s v="SI"/>
    <n v="2025"/>
    <s v="AC202510422410"/>
    <n v="362"/>
    <n v="74"/>
    <n v="66"/>
    <s v="Privada"/>
    <s v="COL FONTAN"/>
    <n v="2025"/>
    <s v="Antioquia"/>
    <s v="Envigado"/>
    <s v="BACHILLER"/>
    <s v="ACAD"/>
    <s v="TIPO: Privada, INSTITUCION: COL FONTAN, AÑO: 2025, CIUDAD: Envigado, TITULO: BACHILLER"/>
    <s v="11"/>
    <s v="Escala Cualitativa"/>
    <s v="Escala de 0 - 5"/>
    <s v="4,5"/>
    <s v="5"/>
    <m/>
    <s v="4,5"/>
    <s v="5"/>
    <m/>
    <n v="4.5"/>
    <n v="5"/>
    <m/>
    <n v="4.5"/>
    <n v="5"/>
    <m/>
    <s v="4,5"/>
    <s v="5"/>
    <m/>
    <s v="4,5"/>
    <s v="5"/>
    <m/>
    <s v="4,5"/>
    <s v="5"/>
    <m/>
    <s v="De 9 y 10"/>
    <n v="4.75"/>
    <s v="NO"/>
    <s v="NA"/>
    <n v="0"/>
    <n v="0"/>
    <s v="No"/>
    <n v="45"/>
    <m/>
    <n v="45"/>
    <m/>
    <n v="45"/>
    <m/>
    <m/>
    <n v="45"/>
    <s v="Con detalle por componente"/>
    <s v="Artísticas o culturales,Trabajo social o comunitario"/>
    <s v="Desde pequeña, soñaba con recorrer el mundo y contribuir a mejorarlo. Hoy, ese sueño se ha transformado en una visión clara: emprender con propósito para resolver problemáticas sociales, ambientales o de salud, generando empleo local y destacando el talento colombiano._x000a__x000a_Mi objetivo es estudiar Ingeniería de Diseño de Producto, una carrera que combina creatividad, tecnología y funcionalidad para crear soluciones innovadoras que realmente impacten en la vida de las personas. Aspiro a desarrollar productos que respondan a necesidades y problemáticas  específicas de nuestras comunidades, mientras impulso el desarrollo económico a nivel regional. _x000a__x000a_La Universidad EAFIT representa el espacio ideal para materializar mi proyecto. Su enfoque en innovación, sostenibilidad y emprendimiento social se alinea perfectamente con mis valores y objetivos. Las becas ofrecidas por EAFIT serán fundamentales para acceder a una educación de calidad y convertir mi sueño en realidad._x000a__x000a_Estoy convencida de que, con el apoyo de EAFIT, me acercaré a mi propósito de vida: crear soluciones que generen bienestar social, cuiden el medio ambiente y demuestren que el diseño y la ingeniería pueden ser motores de cambio positivo."/>
    <s v="Estudiantes de EAFIT"/>
    <s v="Por la calidad académica."/>
    <s v="Vocación."/>
    <n v="2"/>
    <s v="0"/>
    <s v="SI"/>
    <s v="NO"/>
    <s v="Entre 14 y 15 millones"/>
    <s v="No"/>
    <s v="SI"/>
    <n v="0"/>
    <m/>
    <s v="SI"/>
    <s v="Beca"/>
    <s v="NO"/>
    <s v=""/>
    <s v=""/>
    <s v="Si"/>
    <s v="Hernán Darío Restrepo Mesa"/>
    <s v="Casado"/>
    <s v="TECNOLOGÍA"/>
    <s v="50"/>
    <s v="Tecnólogo agropecuario"/>
    <s v="Empleado (con contrato laboral)"/>
    <s v="Administrador"/>
    <s v="Droguería medica Envigado SAS"/>
    <n v="4900000"/>
    <s v="Si"/>
    <s v="NO"/>
    <s v="NO"/>
    <s v=""/>
    <s v="Si"/>
    <s v="María Catalina Gómez Hernández"/>
    <s v="Casado"/>
    <s v="TECNOLOGÍA"/>
    <s v="44"/>
    <s v="Tecnóloga en costos y auditoria"/>
    <s v="Independiente (trabaja por cuenta propia)"/>
    <s v="Prestación de servicio de apoyo a la gestión como unidad de apoyo normativo de un concejal del municipio de Envigado"/>
    <s v="Consejo de Envigado"/>
    <n v="6100000"/>
    <s v="Si"/>
    <s v="NO"/>
    <s v="NO"/>
    <m/>
    <n v="11000000"/>
    <s v="No, solo vivo con mis padres"/>
    <s v=""/>
    <s v=""/>
    <s v=""/>
    <s v=""/>
    <s v=""/>
    <m/>
    <s v=""/>
    <s v=""/>
    <s v=""/>
    <s v=""/>
    <s v=""/>
    <s v=""/>
    <m/>
    <s v=""/>
    <s v=""/>
    <s v=""/>
    <s v=""/>
    <s v=""/>
    <s v=""/>
    <m/>
    <s v=""/>
    <s v=""/>
    <n v="353440000"/>
    <n v="176564000"/>
    <n v="0"/>
    <n v="0"/>
    <n v="0"/>
    <s v="Si"/>
    <s v="Nissan"/>
    <s v="2021"/>
    <n v="80000000"/>
    <s v="No"/>
    <s v=""/>
    <s v=""/>
    <n v="0"/>
    <s v="No"/>
    <s v=""/>
    <s v=""/>
    <s v=""/>
    <n v="0"/>
    <m/>
    <n v="4"/>
    <n v="4"/>
    <n v="4"/>
    <n v="4"/>
    <n v="4"/>
    <n v="4"/>
    <n v="4"/>
    <n v="4"/>
    <n v="4"/>
    <n v="4"/>
    <n v="40"/>
    <s v="SI"/>
    <m/>
    <s v="SI, SON PRI"/>
    <s v="ok tienen todos los datos"/>
    <e v="#N/A"/>
    <e v="#N/A"/>
    <m/>
    <n v="3"/>
    <n v="10"/>
    <n v="8"/>
    <n v="15"/>
    <n v="20"/>
    <n v="15"/>
    <n v="15"/>
    <n v="5.5"/>
    <n v="5.5"/>
    <n v="80.5"/>
    <n v="0.4"/>
    <n v="0.4"/>
    <n v="2"/>
    <n v="3.5"/>
    <n v="0"/>
    <n v="0"/>
    <n v="2"/>
    <n v="3.5"/>
    <n v="0"/>
    <n v="0"/>
    <n v="78.5"/>
    <n v="0.4"/>
    <n v="0.4"/>
    <e v="#N/A"/>
    <m/>
    <m/>
    <n v="0"/>
    <m/>
    <m/>
    <s v="Ingeniería Diseño de Producto"/>
    <e v="#N/A"/>
    <s v="085"/>
    <e v="#N/A"/>
  </r>
  <r>
    <s v="TI"/>
    <n v="1035976206"/>
    <s v="1000405052"/>
    <s v="JOSE MIGUEL CUARTAS RESTREPO"/>
    <s v="Estudios por primera vez"/>
    <x v="1"/>
    <s v="Descartado por notas"/>
    <m/>
    <s v="En publico objetivo"/>
    <s v="1er Cohorte"/>
    <s v="Admitido"/>
    <s v="jmcuartasr@eafit.edu.co"/>
    <e v="#N/A"/>
    <s v="josemiguelcuartas2511@gmail.com"/>
    <s v="573196910378"/>
    <d v="2025-04-28T00:00:00"/>
    <s v="Activo en Programa"/>
    <s v="010-Ingeniería de Sistemas"/>
    <s v="E Ciencias Aplic e Ingeniería"/>
    <d v="2007-11-25T00:00:00"/>
    <n v="18"/>
    <s v="Antioquia"/>
    <s v="Itagui"/>
    <s v="Hombre"/>
    <s v="Soltero"/>
    <s v="NO"/>
    <s v="NO"/>
    <n v="0"/>
    <s v="NO"/>
    <s v="NA"/>
    <s v="NO"/>
    <s v="NA"/>
    <s v="NO"/>
    <s v="NA"/>
    <s v="No"/>
    <s v="57 3197946962"/>
    <s v="573196910378"/>
    <s v="Estrato 3"/>
    <s v="LA ESTRELLA"/>
    <s v="Antioquia"/>
    <s v="La Estrella"/>
    <s v="No aplica, no soy foráneo"/>
    <s v="Familiar"/>
    <s v="SI"/>
    <s v="2024"/>
    <s v="AC202430603365"/>
    <n v="359"/>
    <n v="73"/>
    <n v="71"/>
    <s v="Privada"/>
    <s v="COLEGIO SANTA TERESITA DEL NIN"/>
    <n v="2024"/>
    <s v="Antioquia"/>
    <s v="La Estrella"/>
    <s v="BACHILLER"/>
    <s v="ACAD"/>
    <s v="TIPO: Privada, INSTITUCION: COLEGIO SANTA TERESITA DEL NIN, AÑO: 2024, CIUDAD: La Estrella, TITULO: BACHILLER"/>
    <s v="11"/>
    <s v="Escala de 0 - 5"/>
    <s v="Escala de 0 - 5"/>
    <s v="3,9"/>
    <s v="3,4"/>
    <m/>
    <s v="3,7"/>
    <s v="3,7"/>
    <m/>
    <n v="3.6"/>
    <n v="3.4"/>
    <m/>
    <n v="3.9"/>
    <n v="3.8"/>
    <m/>
    <s v="4,2"/>
    <s v="3,7"/>
    <m/>
    <s v="3,4"/>
    <s v="3,8"/>
    <m/>
    <s v="3,8"/>
    <s v="3,7"/>
    <m/>
    <s v="De 9 y 10"/>
    <n v="3.6749999999999998"/>
    <s v="NO"/>
    <s v="NA"/>
    <n v="0"/>
    <n v="0"/>
    <s v="No"/>
    <n v="40"/>
    <m/>
    <n v="50"/>
    <m/>
    <n v="45"/>
    <m/>
    <m/>
    <n v="45"/>
    <s v="Con detalle por componente"/>
    <s v="Trabajo social o comunitario"/>
    <s v="me visualizo trabajando para una gran empresa nacional o internacional en la que pueda desarrollar todos los conocimientos adquiridos de manera eficiente, buscando aplicar lo aprendido para solucionar diversas problemáticas actuales; gracias a esta beca este sueño se podría materializar y así no solo transformar mi futuro, si no el de muchas personas de mi comunidad, generando oportunidades laborales y resolviendo los problemas que a ellos se les presenten basado en los conocimientos adquirido, asegurando de devolver los aprendido para el beneficio de ellos."/>
    <s v="Página WEB"/>
    <s v="Por la oferta académica."/>
    <s v="Vocación."/>
    <n v="4"/>
    <s v="1"/>
    <s v="NO"/>
    <s v="NO"/>
    <s v="Entre 3 y 4 millones"/>
    <s v="Si"/>
    <n v="0"/>
    <n v="0"/>
    <m/>
    <s v="SI"/>
    <s v="Beca"/>
    <s v="NO"/>
    <s v=""/>
    <s v=""/>
    <s v="Si"/>
    <s v="Joaquín Guillermo Cuartas Ospina"/>
    <s v="Casado"/>
    <s v="BACHILLERATO"/>
    <s v="59"/>
    <s v="Topógrafo"/>
    <s v="Independiente (trabaja por cuenta propia)"/>
    <s v="Topógrafo"/>
    <s v="Independiente"/>
    <n v="2500000"/>
    <s v="Si"/>
    <s v="SI"/>
    <s v="NO"/>
    <s v=""/>
    <s v="Si"/>
    <s v="Diana Restrepo Cuervo"/>
    <s v="Casado"/>
    <s v="BACHILLERATO"/>
    <s v="54"/>
    <s v="Comerciante"/>
    <s v="Independiente (trabaja por cuenta propia)"/>
    <s v="Comerciante"/>
    <s v="Independiente"/>
    <n v="1500000"/>
    <s v="Si"/>
    <s v="NO"/>
    <s v="NO"/>
    <m/>
    <n v="4000000"/>
    <s v="Si"/>
    <s v="Juan David Cuartas Restrepo"/>
    <s v="Hermano / Hermana"/>
    <s v="30"/>
    <s v="Ingeniero Industrial"/>
    <s v="bancolombia"/>
    <n v="3000000"/>
    <s v="No"/>
    <s v=""/>
    <s v=""/>
    <s v=""/>
    <s v=""/>
    <s v=""/>
    <m/>
    <s v=""/>
    <s v=""/>
    <s v=""/>
    <s v=""/>
    <s v=""/>
    <s v=""/>
    <m/>
    <s v=""/>
    <s v=""/>
    <n v="80000000"/>
    <n v="0"/>
    <n v="0"/>
    <n v="0"/>
    <n v="60000000"/>
    <s v="Si"/>
    <s v="Volkswagen"/>
    <s v="2004"/>
    <n v="16000000"/>
    <s v="No"/>
    <s v=""/>
    <s v=""/>
    <n v="0"/>
    <s v="No"/>
    <s v=""/>
    <s v=""/>
    <s v=""/>
    <n v="0"/>
    <m/>
    <n v="4"/>
    <n v="4"/>
    <n v="3"/>
    <n v="4"/>
    <n v="4"/>
    <n v="3"/>
    <n v="3"/>
    <n v="4"/>
    <n v="3"/>
    <n v="4"/>
    <n v="36"/>
    <s v="SI"/>
    <m/>
    <s v="SI, SON PRI"/>
    <s v="ok tienen todos los datos"/>
    <e v="#N/A"/>
    <e v="#N/A"/>
    <m/>
    <n v="3"/>
    <n v="10"/>
    <n v="8"/>
    <n v="10"/>
    <n v="10"/>
    <n v="15"/>
    <n v="15"/>
    <n v="15.5"/>
    <n v="14.5"/>
    <n v="74.5"/>
    <n v="0.4"/>
    <m/>
    <n v="2"/>
    <n v="3.5"/>
    <n v="6"/>
    <n v="3"/>
    <n v="2"/>
    <n v="3.5"/>
    <n v="7"/>
    <n v="3"/>
    <n v="73.5"/>
    <n v="0.5"/>
    <n v="0.4"/>
    <e v="#N/A"/>
    <s v="x notas"/>
    <m/>
    <n v="0"/>
    <m/>
    <m/>
    <s v="Ingeniería de Sistemas"/>
    <e v="#N/A"/>
    <s v="010"/>
    <e v="#N/A"/>
  </r>
  <r>
    <s v="TI"/>
    <n v="1035976384"/>
    <s v="1000404834"/>
    <s v="EMMANUEL RODRIGUEZ MORALES"/>
    <s v="Estudios por primera vez"/>
    <x v="1"/>
    <s v="Descartado por bajo icfes"/>
    <m/>
    <s v="En publico objetivo"/>
    <s v="1er Cohorte"/>
    <s v="Admitido"/>
    <s v="erodrigum1@eafit.edu.co"/>
    <e v="#N/A"/>
    <s v="emmanuelrodriguezmorales10@gmail.com"/>
    <s v="319/622-3995"/>
    <d v="2025-04-25T00:00:00"/>
    <s v="Activo en Programa"/>
    <s v="199-Finanzas"/>
    <s v="E.Finanzas, Economía, Gobierno"/>
    <d v="2008-01-27T00:00:00"/>
    <n v="17"/>
    <s v="Antioquia"/>
    <s v="Itagui"/>
    <s v="Hombre"/>
    <s v="Soltero"/>
    <s v="NO"/>
    <s v="NO"/>
    <n v="0"/>
    <s v="NO"/>
    <s v="NA"/>
    <s v="NO"/>
    <s v="NA"/>
    <s v="NO"/>
    <s v="NA"/>
    <s v="No"/>
    <s v="310/492-2239"/>
    <s v="319/622-3995"/>
    <s v="Estrato 3"/>
    <s v="CL 42 A SUR CR 63 B- 14"/>
    <s v="Antioquia"/>
    <s v="Medellín"/>
    <s v="No aplica, no soy foráneo"/>
    <s v="Propio"/>
    <s v="SI"/>
    <s v="2024"/>
    <s v="AC202433227915"/>
    <n v="311"/>
    <n v="63"/>
    <n v="62"/>
    <s v="Pública"/>
    <s v="INST EDUC COMPARTIR"/>
    <n v="2024"/>
    <s v="Antioquia"/>
    <s v="Medellín"/>
    <s v="BACHILLER"/>
    <s v="TECN"/>
    <s v="TIPO: Pública, INSTITUCION: INST EDUC COMPARTIR, AÑO: 2024, CIUDAD: Medellín, TITULO: BACHILLER"/>
    <s v="11"/>
    <s v="Escala de 0 - 100"/>
    <s v="Escala de 0 - 100"/>
    <s v="96"/>
    <s v="81"/>
    <m/>
    <s v="96"/>
    <s v="81"/>
    <m/>
    <n v="90"/>
    <n v="87"/>
    <m/>
    <n v="83"/>
    <n v="81"/>
    <m/>
    <s v="83"/>
    <s v="81"/>
    <m/>
    <s v="91"/>
    <s v="81"/>
    <m/>
    <s v="96"/>
    <s v="96"/>
    <m/>
    <s v="De 9 y 10"/>
    <n v="85.25"/>
    <s v="NO"/>
    <s v="NA"/>
    <n v="0"/>
    <n v="0"/>
    <s v="No"/>
    <n v="45"/>
    <s v="Futbol"/>
    <n v="40"/>
    <m/>
    <n v="45"/>
    <m/>
    <s v="Ya se graduó en el 2024_x000a_Institución educativa Compartir_x000a_Está estudiando inglés_x000a_Le encanta el mundo de los negocios"/>
    <n v="43.333333333333336"/>
    <s v="Con detalle por componente"/>
    <s v="Deportistas de alto rendimiento o representativo,Espacios de liderazgo o representación social"/>
    <s v="Yo Emmanuel Rodríguez Morales me visualizo ejerciendo mi carrera como un profesional en finanzas, aspiro convertirme en un financiero con la capacidad de ser un líder y tomar decisiones estratégicas en mi labor, logrando mis objetivos y metas propuestas, contribuyendo con mis conocimientos y habilidades adquiridas al desarrollo de mi comunidad, aportando a la construcción de una mejor sociedad, mediante el buen uso de los recursos financieros. Estoy convencido que puedo transformar mi entorno, ayudando a las comunidades más vulnerables para que puedan mejorar sus finanzas y el manejo del dinero, promoviendo y enseñando temas como el ahorro y la inversión. Con mi experiencia y con lo aprendido, puedo aportar a que las empresas tengan mejor rentabilidad, mejorando la administración de los recursos, aportar al crecimiento y generando más empleo y bienestar en la sociedad. Me proyecto creando mi propio negocio y transformar la vida de muchos más jóvenes, sirviendo de inspiración para las siguientes generaciones. _x000a__x000a_Mi principal anhelo es formarme como profesional, para construir un futuro próspero, convertirme en una persona exitosa y un ejemplo a seguir. En busca de mis metas, aspiraciones y sobre todo mi deseo de seguir con mi proyecto de vida, me postulo para esta beca, que me brinda la oportunidad de estudiar en una universidad de calidad y excelencia académica, que me aportará las herramientas para cumplir mis objetivos. Soy una persona muy apasionada por aprender y deseos de progresar, esta beca que da la universidad Eafit, me brinda la oportunidad para dar ese primer paso a mi futuro. Con la beca veo la oportunidad de seguir con mis estudios, ya que mi familia no cuenta con los recursos suficientes para pagar la totalidad del pregrado. Esta representa una gran motivación para mi vida y estoy dispuesto a hacer todo lo posible para lograrlo."/>
    <s v="Redes sociales"/>
    <s v="Por la calidad académica."/>
    <s v="Alta empleabilidad."/>
    <n v="2"/>
    <s v="0"/>
    <s v="SI"/>
    <s v="NO"/>
    <s v="Entre 2 y 3 millones"/>
    <s v="No"/>
    <n v="0"/>
    <s v="NO"/>
    <m/>
    <s v="SI"/>
    <s v="Beca"/>
    <s v="NO"/>
    <s v=""/>
    <s v=""/>
    <s v="Si"/>
    <s v="Nelson Darley Rodriguez Pabon"/>
    <s v="Casado"/>
    <s v="BACHILLERATO"/>
    <s v="44"/>
    <s v="Trabajador"/>
    <s v="Empleado (con contrato laboral)"/>
    <s v="Instructor"/>
    <s v="Corona"/>
    <n v="2630000"/>
    <s v="Si"/>
    <s v="SI"/>
    <s v="NO"/>
    <s v=""/>
    <s v="Si"/>
    <s v="Sandra Catalina Morales Hernandez"/>
    <s v="Casado"/>
    <s v="BACHILLERATO"/>
    <s v="36"/>
    <s v="ama de casa"/>
    <s v="Labores del hogar y cuidado"/>
    <s v="Ama de casa"/>
    <s v="Hogar"/>
    <n v="0"/>
    <s v="Si"/>
    <s v="NO"/>
    <s v="NO"/>
    <m/>
    <n v="2630000"/>
    <s v="No, solo vivo con mis padres"/>
    <s v=""/>
    <s v=""/>
    <s v=""/>
    <s v=""/>
    <s v=""/>
    <m/>
    <s v=""/>
    <s v=""/>
    <s v=""/>
    <s v=""/>
    <s v=""/>
    <s v=""/>
    <m/>
    <s v=""/>
    <s v=""/>
    <s v=""/>
    <s v=""/>
    <s v=""/>
    <s v=""/>
    <m/>
    <s v=""/>
    <s v=""/>
    <n v="0"/>
    <n v="200000000"/>
    <n v="0"/>
    <n v="0"/>
    <n v="0"/>
    <s v="No"/>
    <s v=""/>
    <s v=""/>
    <n v="0"/>
    <s v="No"/>
    <s v=""/>
    <s v=""/>
    <n v="0"/>
    <s v="No"/>
    <s v=""/>
    <s v=""/>
    <s v=""/>
    <n v="0"/>
    <m/>
    <n v="4"/>
    <n v="4"/>
    <n v="4"/>
    <n v="4"/>
    <n v="4"/>
    <n v="4"/>
    <n v="4"/>
    <n v="4"/>
    <n v="4"/>
    <n v="4"/>
    <n v="40"/>
    <s v="SI"/>
    <m/>
    <s v="SI, SON PRI"/>
    <s v="ok tienen todos los datos"/>
    <s v="Negada"/>
    <n v="20251"/>
    <m/>
    <n v="2"/>
    <n v="10"/>
    <n v="8"/>
    <n v="5"/>
    <n v="15"/>
    <n v="15"/>
    <n v="15"/>
    <n v="16"/>
    <n v="16"/>
    <n v="76"/>
    <n v="0.5"/>
    <m/>
    <n v="3.5"/>
    <n v="2.5"/>
    <n v="8"/>
    <n v="2"/>
    <n v="3.5"/>
    <n v="2.5"/>
    <n v="8"/>
    <n v="2"/>
    <n v="74"/>
    <n v="0.5"/>
    <n v="0.5"/>
    <e v="#N/A"/>
    <m/>
    <m/>
    <n v="0"/>
    <m/>
    <m/>
    <s v="Finanzas"/>
    <e v="#N/A"/>
    <s v="199"/>
    <e v="#N/A"/>
  </r>
  <r>
    <s v="TI"/>
    <n v="1035976902"/>
    <s v="1000406972"/>
    <s v="JUAN JOSE CASTRILLON ESTRADA"/>
    <s v="Estudios por primera vez"/>
    <x v="1"/>
    <s v="Descartado por ingresos altos"/>
    <m/>
    <s v="En publico objetivo"/>
    <s v="2da Cohorte"/>
    <s v="Admitido"/>
    <s v="jjcastrile@eafit.edu.co"/>
    <e v="#N/A"/>
    <s v="juanjosecastrillon.e@gmail.com"/>
    <s v="573008313939"/>
    <d v="2025-05-16T00:00:00"/>
    <s v="Activo en Programa"/>
    <s v="001-Administración de Negocios"/>
    <s v="Escuela de Administración"/>
    <d v="2008-06-12T00:00:00"/>
    <n v="17"/>
    <s v="Antioquia"/>
    <s v="Itagui"/>
    <s v="Hombre"/>
    <s v="Soltero"/>
    <s v="NO"/>
    <s v="NO"/>
    <n v="0"/>
    <s v="NO"/>
    <s v="NA"/>
    <s v="NO"/>
    <s v="NA"/>
    <s v="NO"/>
    <s v="NA"/>
    <s v="No"/>
    <s v="300/831-3939"/>
    <s v="573008313939"/>
    <s v="Estrato 3"/>
    <s v="CR 44 43 57"/>
    <s v="Antioquia"/>
    <s v="Itagui"/>
    <s v="No aplica, no soy foráneo"/>
    <s v="Arriendo"/>
    <s v="SI"/>
    <s v="2024"/>
    <s v="AC202431092089"/>
    <n v="349"/>
    <n v="72"/>
    <n v="65"/>
    <s v="Pública"/>
    <s v="I.E. ANTONIO JOSE DE SUCRE"/>
    <n v="2024"/>
    <s v="Antioquia"/>
    <s v="Itagui"/>
    <s v="BACHILLER"/>
    <s v="ACAD"/>
    <s v="TIPO: Pública, INSTITUCION: I.E. ANTONIO JOSE DE SUCRE, AÑO: 2024, CIUDAD: Itagui, TITULO: BACHILLER"/>
    <s v="11"/>
    <s v="Escala de 0 - 5"/>
    <s v="Escala de 0 - 5"/>
    <s v="3,4"/>
    <s v="3,7"/>
    <m/>
    <s v="3,4"/>
    <s v="3,7"/>
    <m/>
    <n v="3.9"/>
    <n v="3.7"/>
    <m/>
    <n v="4.0999999999999996"/>
    <n v="3.5"/>
    <m/>
    <s v="3,9"/>
    <s v="3,7"/>
    <m/>
    <s v="3,4"/>
    <s v="3,4"/>
    <m/>
    <s v="4,4"/>
    <s v="3,5"/>
    <m/>
    <s v="De 9 y 10"/>
    <n v="3.8"/>
    <s v="NO"/>
    <s v="NA"/>
    <n v="0"/>
    <n v="0"/>
    <s v="No"/>
    <n v="45"/>
    <m/>
    <n v="45"/>
    <m/>
    <n v="50"/>
    <m/>
    <s v="tiene 16 años, le gusta ir al gimnasio, pasar tiempo con amigos, le gustan los animales, es una persona le gusta hacer las cosas bien, solo deporte, estudió en el Sucre Itaguí, le gusta la U por el campus, los grupos estudiantiles y referencias y quiere evolucionar."/>
    <n v="46.666666666666664"/>
    <s v="Con detalle por componente"/>
    <s v="Ninguna"/>
    <s v="A través de la obtención de una beca, busco la oportunidad de acceder a una universidad con gran calidad educativa que me lleve a destacar y mejorar mis habilidades para enfrentarme al mundo laboral, profesional y lleno de retos que, a su vez, vayan de la mano de mantener un excelente nivel personal y humano que vaya ligado a la responsabilidad social. Además, reconozco que mis capacidades son buenos elementos los cuales necesitan transformarse y mejorar paso a paso para cumplir con el perfil de un líder y persona capaz de superar obstáculos de la forma más óptima posible y decisiones afines a los valores de un gran guía. A su vez, aspiro a que mis conocimientos en conjunto con habilidades desarrolladas mediante una educación exigente y de calidad, sean aprovechados de la mejor manera. Una manera que me permita crear y transformar entornos que ofrezcan un propósito para los demás y haciendo que mediante valores sociales, los límites de cada persona trasciendan debido a su sentido de pertenencia frente a su rol tanto dentro como fuera de la creación de determinados productos o servicios, permitiendo que cada persona se sienta importante dentro del desarrollo y pueda destacar su habilidad con el fin de sentirse parte de algo grande que tiene un valor más allá de lo económico. Considero que EAFIT, como universidad, puede ayudarme a cumplir mi visión con ayuda de los semilleros de estudiantes y junto a un campus que constantemente ofrece oportunidades de conocer nuevas personas con aspiraciones similares."/>
    <s v="Amigos"/>
    <s v="Por la calidad académica."/>
    <s v="Alta proyección de ingresos."/>
    <n v="2"/>
    <s v="1"/>
    <s v="SI"/>
    <s v="NO"/>
    <s v="Entre 5 y 6 millones"/>
    <s v="No"/>
    <n v="0"/>
    <n v="0"/>
    <m/>
    <s v="SI"/>
    <s v="Beca"/>
    <s v="NO"/>
    <s v=""/>
    <s v=""/>
    <s v="Si"/>
    <s v="Wbeimar Albeiro Castrillon Loaiza"/>
    <s v="Casado"/>
    <s v="TECNOLOGÍA"/>
    <s v="47"/>
    <s v="Coordinador administrativo"/>
    <s v="Empleado (con contrato laboral)"/>
    <s v="Coordinador administrativo"/>
    <s v="COMERCIALIZADORA INDUSTRIAL  DE COMBUSTIBLES RIO VIVO S.A.S"/>
    <n v="6360000"/>
    <s v="No"/>
    <s v="SI"/>
    <s v="NO"/>
    <s v=""/>
    <s v="Si"/>
    <s v="Sor Angela Estrada Pabon"/>
    <s v="Casado"/>
    <s v="TÉCNICA"/>
    <s v="46"/>
    <s v="ama de casa"/>
    <s v="Labores del hogar y cuidado"/>
    <s v="Ama de casa"/>
    <s v="NINGUNA"/>
    <n v="0"/>
    <s v="Si"/>
    <s v="NO"/>
    <s v="NO"/>
    <m/>
    <n v="6360000"/>
    <s v="Si"/>
    <s v="Santiago Castrillon Estrada"/>
    <s v="Hermano / Hermana"/>
    <s v="23"/>
    <s v="Desarrollador de Software"/>
    <s v="Geotalent"/>
    <n v="2906000"/>
    <s v="No"/>
    <s v=""/>
    <s v=""/>
    <s v=""/>
    <s v=""/>
    <s v=""/>
    <m/>
    <s v=""/>
    <s v=""/>
    <s v=""/>
    <s v=""/>
    <s v=""/>
    <s v=""/>
    <m/>
    <s v=""/>
    <s v=""/>
    <n v="0"/>
    <n v="0"/>
    <n v="0"/>
    <n v="0"/>
    <n v="0"/>
    <s v="No"/>
    <s v=""/>
    <s v=""/>
    <n v="0"/>
    <s v="No"/>
    <s v=""/>
    <s v=""/>
    <n v="0"/>
    <s v="Si"/>
    <s v="Moto"/>
    <s v="yamaha"/>
    <s v="2019"/>
    <n v="6000000"/>
    <s v="La moto es de mi papá pero aún no se ha hecho el traspaso. El precio comercial no lo sabemos exactamente, entonces se pone un aproximado."/>
    <n v="4"/>
    <n v="3"/>
    <n v="3"/>
    <n v="4"/>
    <n v="4"/>
    <n v="2"/>
    <n v="4"/>
    <n v="3"/>
    <n v="4"/>
    <n v="4"/>
    <n v="35"/>
    <s v="SI"/>
    <m/>
    <s v="SI, SON PRI"/>
    <s v="ok tienen todos los datos"/>
    <e v="#N/A"/>
    <e v="#N/A"/>
    <m/>
    <n v="3"/>
    <n v="10"/>
    <n v="8"/>
    <n v="10"/>
    <n v="10"/>
    <n v="15"/>
    <n v="20"/>
    <n v="15"/>
    <n v="15"/>
    <n v="80"/>
    <n v="0.4"/>
    <m/>
    <n v="3.5"/>
    <n v="4.5"/>
    <n v="3"/>
    <n v="4"/>
    <n v="3.5"/>
    <n v="4"/>
    <n v="3"/>
    <n v="4.5"/>
    <n v="78"/>
    <n v="0.5"/>
    <n v="0.5"/>
    <e v="#N/A"/>
    <m/>
    <m/>
    <n v="0"/>
    <m/>
    <m/>
    <s v="Administración de Negocios"/>
    <e v="#N/A"/>
    <s v="001"/>
    <e v="#N/A"/>
  </r>
  <r>
    <s v="TI"/>
    <n v="1036131680"/>
    <s v="1000407276"/>
    <s v="JHEILER SMIT ORTEGA AGUDELO"/>
    <s v="Estudios por primera vez"/>
    <x v="1"/>
    <s v="Duda, cursando o graduado de tecnica o tecnologia"/>
    <m/>
    <s v="En publico objetivo"/>
    <s v="2da Cohorte"/>
    <s v="Admitido"/>
    <s v="jsortegaa1@eafit.edu.co"/>
    <e v="#N/A"/>
    <s v="jhesmith500@gmail.com"/>
    <s v="573112705351, 3127261541"/>
    <d v="2025-05-16T00:00:00"/>
    <s v="Matrícula"/>
    <s v="014-Ingeniería Mecánica"/>
    <s v="E Ciencias Aplic e Ingeniería"/>
    <s v="16/06/2007"/>
    <n v="18"/>
    <s v="Antioquia"/>
    <s v="Puerto Nare"/>
    <s v="Hombre"/>
    <s v="Soltero"/>
    <s v="NO"/>
    <s v="NO"/>
    <s v="NA"/>
    <s v="NO"/>
    <s v="NA"/>
    <s v="NO"/>
    <s v="NA"/>
    <s v="NO"/>
    <s v="NA"/>
    <s v="No"/>
    <s v="NA"/>
    <s v="NA"/>
    <s v="Estrato 2"/>
    <s v="PUERTO NARE"/>
    <s v="Antioquia"/>
    <s v="Puerto Nare"/>
    <s v="Si"/>
    <s v="Propio"/>
    <s v="SI"/>
    <s v="2024"/>
    <s v="AC202433619517"/>
    <n v="338"/>
    <n v="66"/>
    <n v="65"/>
    <s v="Pública"/>
    <s v="I. E. R. LA SIERRA"/>
    <n v="2024"/>
    <m/>
    <s v="Puerto Nare"/>
    <s v="Bachillerato"/>
    <s v="Académico"/>
    <m/>
    <s v="Once"/>
    <s v="0-5"/>
    <s v="Escala de 0 - 5"/>
    <m/>
    <m/>
    <m/>
    <m/>
    <m/>
    <m/>
    <n v="4.9000000000000004"/>
    <n v="4.9000000000000004"/>
    <m/>
    <n v="5"/>
    <n v="4.9000000000000004"/>
    <m/>
    <m/>
    <m/>
    <m/>
    <m/>
    <m/>
    <m/>
    <m/>
    <m/>
    <m/>
    <s v="De 9 y 10"/>
    <n v="4.9250000000000007"/>
    <s v="SI"/>
    <s v="tecnico en recursos humanos- IE Rural la Sierra- Finalizado "/>
    <s v="TECNICA"/>
    <s v="tecnico en recursos humanos"/>
    <s v="No"/>
    <s v="Sin informacion"/>
    <s v="Sin informacion"/>
    <s v="Sin informacion"/>
    <s v="Sin informacion"/>
    <s v="Sin informacion"/>
    <s v="Sin informacion"/>
    <s v="Sin informacion"/>
    <n v="50"/>
    <s v="Sin detalle por componente"/>
    <s v="Espacios de liderazgo o representación social,Trabajo social o comunitario,Artísticas o culturales"/>
    <s v="Puerto Nare es la comunidad en la que he desarrollado gran parte de mi vida, específicamente en un corregimiento llamado La Sierra, donde se encuentra una de las termoeléctricas más importantes para el desarrollo del país. A finales de mi último año escolar, mi salón fue invitado a conocerla. De cierto modo, esa invitación despertó en mí un interés que podría asociar con una pasión que me ha acompañado durante mucho tiempo, pasión que descubrí finalmente en aquella visita a la termoeléctrica._x000a__x000a_Esta convocatoria ofrece la posibilidad de estudiar la ingeniería mecánica a la cual aspiro, una carrera que me genera la capacidad de aprender con curiosidad y satisfacción. De lograr formar parte de este programa, a futuro sueño con crear, junto a otros jóvenes de mi comunidad, iniciativas que aprovechen el conocimiento adquirido en la carrera para resolver necesidades reales, pues desde la ingeniería mecánica, existen múltiples caminos para emprender y transformar mi entorno, como lo son el diseño y fabricación de maquinaria agrícola adaptada a las condiciones de mi municipio. Desde muy joven he sido testigo de las diversas necesidades que enfrenta mi municipio; sin embargo, gracias a conocimientos aplicados a la vida, como lo es la termoeléctrica, se ha logrado impulsar el progreso de la región. _x000a__x000a_Soy una persona constante que trabaja con disciplina en función de mis aspiraciones. Me visualizo como un profesional íntegro, con gran disposición para aprender y aportar. Soy consciente de mis capacidades y lo que supone para mí estudiar este pregrado, pero veo la necesidad de hacer parte de este proceso, puesto que sería un catalizador para mi aspiración de poner mis conocimientos al servicio de la realidad de mi gente, ayudando a que más personas puedan creer en sus ideas, emprender y construir un mejor futuro desde lo que somos."/>
    <s v="Amigos"/>
    <s v="Por la calidad académica."/>
    <s v="Vocación."/>
    <n v="2"/>
    <s v="3"/>
    <s v="SI"/>
    <s v="NO"/>
    <s v="Entre 1 y 2 millones"/>
    <s v="No"/>
    <n v="0"/>
    <s v="N"/>
    <m/>
    <s v="Y"/>
    <m/>
    <s v="NO"/>
    <s v="NA"/>
    <s v="NA"/>
    <s v="Si"/>
    <s v="Luis Eduardo Ortega Vanegas"/>
    <m/>
    <m/>
    <m/>
    <s v="Ayudante de obras varias"/>
    <s v="Empleado (con contrato laboral)"/>
    <s v="Ayudante de obras varias"/>
    <s v="Técnicos Industriales Asociados y Cía. Ltda."/>
    <n v="1423500"/>
    <s v="Si"/>
    <m/>
    <m/>
    <s v=""/>
    <s v="Si"/>
    <s v="Maria Maryeli Agudelo Garcia"/>
    <m/>
    <m/>
    <m/>
    <s v="Cajera"/>
    <s v="Empleado (con contrato laboral)"/>
    <s v="Cajera"/>
    <s v="Autoservicio JR"/>
    <n v="1423500"/>
    <s v="Si"/>
    <m/>
    <m/>
    <m/>
    <n v="2847000"/>
    <s v="No, solo vivo con mis padres"/>
    <s v=""/>
    <s v=""/>
    <s v=""/>
    <s v=""/>
    <s v=""/>
    <m/>
    <s v=""/>
    <s v=""/>
    <s v=""/>
    <s v=""/>
    <s v=""/>
    <s v=""/>
    <m/>
    <s v=""/>
    <s v=""/>
    <s v=""/>
    <s v=""/>
    <s v=""/>
    <s v=""/>
    <m/>
    <s v=""/>
    <s v=""/>
    <n v="10610000"/>
    <n v="0"/>
    <n v="0"/>
    <n v="0"/>
    <n v="0"/>
    <s v="No"/>
    <s v=""/>
    <s v=""/>
    <n v="0"/>
    <s v="No"/>
    <s v=""/>
    <s v=""/>
    <n v="0"/>
    <s v="Si"/>
    <s v="Moto"/>
    <s v="Yamaha YCZ"/>
    <s v="2022"/>
    <n v="6400000"/>
    <m/>
    <n v="4"/>
    <n v="4"/>
    <n v="4"/>
    <n v="4"/>
    <n v="4"/>
    <n v="4"/>
    <n v="4"/>
    <n v="4"/>
    <n v="4"/>
    <n v="4"/>
    <n v="40"/>
    <s v="SI"/>
    <s v="SI, ICFES"/>
    <s v="PRI SIN PUNTAJE ICFES, TIPO IES, DETALLE OTROS ESTUDIOS Y DETALLE ENTREVISTA"/>
    <s v="ok se subsana datos contra doc y llamada"/>
    <e v="#N/A"/>
    <e v="#N/A"/>
    <m/>
    <n v="3"/>
    <n v="10"/>
    <n v="10"/>
    <n v="10"/>
    <n v="20"/>
    <n v="15"/>
    <n v="20"/>
    <n v="18.5"/>
    <n v="17"/>
    <n v="92"/>
    <n v="0.5"/>
    <m/>
    <n v="3.5"/>
    <n v="2.5"/>
    <n v="8"/>
    <n v="3"/>
    <n v="3.5"/>
    <n v="2.5"/>
    <n v="8"/>
    <n v="4.5"/>
    <n v="93.5"/>
    <n v="0.7"/>
    <n v="1"/>
    <e v="#N/A"/>
    <m/>
    <m/>
    <s v="SI, ICFES"/>
    <m/>
    <m/>
    <s v="Ingeniería Mecánica"/>
    <e v="#N/A"/>
    <s v="014"/>
    <e v="#N/A"/>
  </r>
  <r>
    <s v="CC"/>
    <n v="1036250867"/>
    <s v="1000396324"/>
    <s v="ESTEBAN OROZCO OSORIO"/>
    <s v="Cupo Reservado"/>
    <x v="1"/>
    <s v="No cumple, puntaje ICFES menor a 300"/>
    <m/>
    <s v="En publico objetivo"/>
    <s v="3ra Cohorte"/>
    <s v="Admitido"/>
    <s v="eorozcoo2@eafit.edu.co"/>
    <s v="eorozcoo2@eafit.edu.co"/>
    <s v="eorozcoo2@eafit.edu.co"/>
    <s v="573126251938"/>
    <d v="2025-05-30T00:00:00"/>
    <s v="Activo en Programa"/>
    <s v="010-Ingeniería de Sistemas"/>
    <s v="E Ciencias Aplic e Ingeniería"/>
    <d v="2004-08-13T00:00:00"/>
    <n v="21"/>
    <s v="Antioquia"/>
    <s v="Rionegro"/>
    <s v="Hombre"/>
    <s v="Soltero"/>
    <s v="NO"/>
    <s v="NO"/>
    <n v="0"/>
    <s v="NO"/>
    <s v="NA"/>
    <s v="NO"/>
    <s v="NA"/>
    <s v="NO"/>
    <s v="NA"/>
    <s v="No"/>
    <s v="324/494-0297"/>
    <s v="573126251938"/>
    <s v="Estrato 3"/>
    <s v="CR 84 A #48 BB 75 AP 502"/>
    <s v="Antioquia"/>
    <s v="Medellín"/>
    <s v="Si"/>
    <s v="Arriendo"/>
    <s v="SI"/>
    <n v="2023"/>
    <s v="AC202341408574"/>
    <n v="278"/>
    <n v="63"/>
    <n v="53"/>
    <s v="Pública"/>
    <s v="IE TECNICO INDUSTRIAL ANTONIO ALVAREZ RESTREPO"/>
    <n v="2023"/>
    <s v="Antioquia"/>
    <s v="Sonson"/>
    <n v="0"/>
    <n v="0"/>
    <m/>
    <n v="0"/>
    <n v="0"/>
    <s v="Escala de 0 - 5"/>
    <s v="4,1"/>
    <s v="3,4"/>
    <s v="3"/>
    <s v="4,1"/>
    <s v="3,4"/>
    <s v="3"/>
    <n v="4.0999999999999996"/>
    <n v="3.5"/>
    <m/>
    <n v="4.0999999999999996"/>
    <n v="3.7"/>
    <m/>
    <s v="3,8"/>
    <s v="4,1"/>
    <s v="3"/>
    <s v="3,7"/>
    <s v="3,7"/>
    <s v="4"/>
    <s v="4,4"/>
    <s v="3,1"/>
    <s v="3"/>
    <s v="De 9 y 10"/>
    <n v="3.8499999999999996"/>
    <s v="NA"/>
    <s v="NA"/>
    <n v="0"/>
    <n v="0"/>
    <s v="No"/>
    <s v="Sin informacion"/>
    <s v="Sin informacion"/>
    <s v="Sin informacion"/>
    <s v="Sin informacion"/>
    <s v="Sin informacion"/>
    <s v="Sin informacion"/>
    <s v="No se había postulado anteriormente a la convocatoria de becas"/>
    <n v="35"/>
    <s v="Cupo reservado"/>
    <s v="Artísticas o culturales,Espacios de liderazgo o representación social"/>
    <s v="¿Cómo me visualizo ejerciendo mi profesión y cómo la beca puede transformar mi región?_x000a__x000a_Desde muy pequeño, he sentido una profunda fascinación por la tecnología. Recuerdo cómo me deslumbraban los carritos con luces de mis amigos, porque para mí, que crecí en el campo del municipio de Sonsón, Antioquia, eso era algo nuevo, casi mágico. A medida que fui creciendo, descubrí que mi amor por la tecnología iba mucho más allá del asombro: era una verdadera pasión. Las pocas horas de clase de informática en mi colegio se convirtieron en el momento más esperado de la semana. Gracias a una profesora que creyó en mí, pude pasar más tiempo en la sala de sistemas, aprendiendo, explorando y ampliando mis conocimientos. Esa media hora adicional cada tarde cambió mi vida para siempre._x000a__x000a_Hoy, miro atrás y veo compañeros que por diferentes razones no lograron terminar sus estudios. Yo pude continuar, y eso fue gracias al apoyo de mis padres, quienes, a pesar de sus propias limitaciones educativas, siempre nos enseñaron que la educación es la herencia más valiosa que podían dejarnos. Mi papá, agricultor, con educación hasta quinto de primaria, y mi mamá, ama de casa, con secundaria completa, han sido el ejemplo de esfuerzo y dignidad. Vivimos las consecuencias del conflicto armado, pero nunca permitimos que eso definiera nuestro futuro. Cada paso que doy en mi camino académico lo hago con el orgullo de representar su lucha y sus sueños._x000a__x000a_Ser admitido al pregrado en Ingeniería en Sistemas es la materialización de años de esfuerzo, disciplina y sueños. Me visualizo en el futuro como un ingeniero comprometido con la transformación social a través de la tecnología. Sé que puedo desarrollar soluciones que ayuden a reducir la brecha de desigualdad en la educación, especialmente en zonas rurales como la mía. Quiero crear herramientas que les permitan a más niños y jóvenes, como el que fui yo, acceder al conocimiento y ampliar sus horizontes. Quiero que otros también tengan esa &quot;media hora en las tardes&quot; que a mí me cambió la vida._x000a__x000a_Obtener esta beca significa mucho más que una ayuda económica. Para mí, representa la posibilidad real de transformar mi vida, la de mi familia y la de mi comunidad. Significa tener los medios para continuar formándome, y desde ese conocimiento, retribuir a mi región, desarrollar proyectos con impacto social y, algún día, abrir las puertas de la tecnología a otros jóvenes campesinos que sueñan con un futuro mejor._x000a__x000a_Mi compromiso es firme, mi pasión es genuina y mi historia es prueba de que con oportunidades, los sueños se pueden alcanzar. Esta beca es ese puente que necesito para lograrlo."/>
    <s v="Redes sociales"/>
    <s v="Por la calidad académica."/>
    <s v="Vocación."/>
    <n v="5"/>
    <s v="Sin informacion"/>
    <s v="Sin informacion"/>
    <s v="Sin informacion"/>
    <s v="Sin informacion"/>
    <s v="No"/>
    <n v="0"/>
    <n v="0"/>
    <m/>
    <s v="SI"/>
    <s v="Beca"/>
    <s v="NO"/>
    <s v=""/>
    <s v=""/>
    <s v="Si"/>
    <s v="Otoniel de Jesús Orozco Henao"/>
    <s v="Casado"/>
    <s v="PRIMARIA"/>
    <s v="66"/>
    <s v="Agricultor"/>
    <s v="Emprendedor (inicia un proyecto productivo o negocio propio)"/>
    <s v="Agricultor"/>
    <s v="En lel campo"/>
    <n v="1800000"/>
    <s v="No"/>
    <s v="NO"/>
    <s v="NO"/>
    <s v=""/>
    <s v="Si"/>
    <s v="Lucelia Osorio Restrepo"/>
    <s v="Casado"/>
    <s v="BACHILLERATO"/>
    <s v="53"/>
    <s v="ama de casa"/>
    <s v="Labores del hogar y cuidado"/>
    <s v="No tiene ningun cargo"/>
    <s v="No desempeña ningun trabajo"/>
    <n v="0"/>
    <s v="No"/>
    <s v="NO"/>
    <s v="NO"/>
    <m/>
    <n v="1800000"/>
    <s v="Si"/>
    <s v="Monica María Orozco Osorio"/>
    <s v="Hermano / Hermana"/>
    <s v="28"/>
    <s v="Ingeniería Industrial"/>
    <s v="NTTDATA"/>
    <n v="1423500"/>
    <s v="No"/>
    <s v="Santiago Orozco Osorio"/>
    <s v="Hermano / Hermana"/>
    <s v="27"/>
    <s v="Asesor Comercial"/>
    <s v="Navitrans"/>
    <n v="1423500"/>
    <s v="No"/>
    <s v="Sergio Orozco Osorio"/>
    <s v="Hermano / Hermana"/>
    <s v="21"/>
    <s v=""/>
    <s v="Estudiante"/>
    <n v="0"/>
    <s v="No"/>
    <s v=""/>
    <n v="0"/>
    <n v="0"/>
    <n v="25000000"/>
    <n v="0"/>
    <n v="0"/>
    <s v="No"/>
    <s v=""/>
    <s v=""/>
    <n v="0"/>
    <s v="No"/>
    <s v=""/>
    <s v=""/>
    <n v="0"/>
    <s v="No"/>
    <s v=""/>
    <s v=""/>
    <s v=""/>
    <n v="0"/>
    <m/>
    <n v="4"/>
    <n v="4"/>
    <n v="3"/>
    <n v="4"/>
    <n v="4"/>
    <n v="3"/>
    <n v="4"/>
    <n v="4"/>
    <n v="3"/>
    <n v="4"/>
    <n v="37"/>
    <s v="SI"/>
    <s v="SI, CRE"/>
    <s v="Son CRE, sin tipo de vivienda, nada del ICFES, sin nada de entrevista, sin informacion del colegio y con solo 1 nota del colegio"/>
    <s v="se reviso docs, sin tipo de vivienda ni entrevista"/>
    <e v="#N/A"/>
    <e v="#N/A"/>
    <m/>
    <n v="3"/>
    <n v="10"/>
    <n v="8"/>
    <n v="0"/>
    <n v="10"/>
    <n v="15"/>
    <n v="5"/>
    <n v="20"/>
    <n v="19"/>
    <n v="59"/>
    <n v="0.7"/>
    <m/>
    <n v="3.5"/>
    <n v="4.5"/>
    <n v="8"/>
    <n v="3"/>
    <n v="3.5"/>
    <n v="4"/>
    <n v="8"/>
    <n v="4.5"/>
    <n v="58"/>
    <s v="80 - 100%"/>
    <n v="0.4"/>
    <e v="#N/A"/>
    <s v="x icfes"/>
    <m/>
    <s v="SI, CRE"/>
    <m/>
    <m/>
    <s v="Ingeniería de Sistemas"/>
    <e v="#N/A"/>
    <s v="010"/>
    <e v="#N/A"/>
  </r>
  <r>
    <s v="TI"/>
    <n v="1036362662"/>
    <s v="1000406114"/>
    <s v="JUAN MANUEL GONZALEZ RIOS"/>
    <s v="Estudios por primera vez"/>
    <x v="1"/>
    <s v="Descartado por ingresos altos"/>
    <s v="Revisar, casa+finca"/>
    <s v="En publico objetivo"/>
    <s v="2da Cohorte"/>
    <s v="Admitido"/>
    <s v="jmgonzalr2@eafit.edu.co"/>
    <e v="#N/A"/>
    <s v="juanmgonzalezz26@gmail.com"/>
    <s v="573135331073"/>
    <d v="2025-05-16T00:00:00"/>
    <s v="Activo en Programa"/>
    <s v="260-Ingeniería Industrial"/>
    <s v="E Ciencias Aplic e Ingeniería"/>
    <d v="2007-09-04T00:00:00"/>
    <n v="18"/>
    <s v="Antioquia"/>
    <s v="San Rafael"/>
    <s v="Hombre"/>
    <s v="Soltero"/>
    <s v="SI"/>
    <s v="NO"/>
    <n v="0"/>
    <s v="NO"/>
    <s v="NA"/>
    <s v="NO"/>
    <s v="NA"/>
    <s v="NO"/>
    <s v="NA"/>
    <s v="No"/>
    <s v="321/837-2113"/>
    <s v="573135331073"/>
    <s v="Estrato 2"/>
    <s v="SAN RAFAEL"/>
    <s v="Antioquia"/>
    <s v="San Rafael"/>
    <s v="Si"/>
    <s v="Familiar"/>
    <s v="SI"/>
    <s v="2024"/>
    <s v="AC202432073286"/>
    <n v="355"/>
    <n v="73"/>
    <n v="73"/>
    <s v="Pública"/>
    <s v="Institución Educativa San Rafael"/>
    <n v="2024"/>
    <m/>
    <s v="San Rafael"/>
    <s v="Bachillerato"/>
    <s v="Técnico"/>
    <m/>
    <s v="11"/>
    <s v="Escala de 0 - 5"/>
    <s v="Escala de 0 - 5"/>
    <s v="4,3"/>
    <s v="4,3"/>
    <m/>
    <s v="4,3"/>
    <s v="4,3"/>
    <m/>
    <n v="4.0999999999999996"/>
    <n v="4.9000000000000004"/>
    <m/>
    <n v="4.5999999999999996"/>
    <n v="4.9000000000000004"/>
    <m/>
    <s v="4,9"/>
    <s v="4,9"/>
    <m/>
    <s v="4,5"/>
    <s v="4,5"/>
    <m/>
    <s v="4,7"/>
    <s v="4,3"/>
    <m/>
    <s v="De 9 y 10"/>
    <n v="4.625"/>
    <s v="NO"/>
    <s v="NA"/>
    <n v="0"/>
    <n v="0"/>
    <s v="No"/>
    <n v="50"/>
    <m/>
    <n v="50"/>
    <m/>
    <n v="50"/>
    <m/>
    <s v="Excelente candidato. Se cautivo con el programa en las clases abiertas. Tiene mucha claridad de porque seleccionó el programa y esta totalmente convencido de que es su profesión."/>
    <n v="50"/>
    <s v="Con detalle por componente"/>
    <s v="Espacios de liderazgo o representación social,Deportistas de alto rendimiento o representativo,Otras (por ejemplo, un talento extraordinario)"/>
    <s v="Me visualizo como un profesional exitoso, comprometido con su carrera y capaz de superar cualquier reto. Realmente soy alguien que ama lo que hace y considero que el campo de acción dentro del pregrado en que estoy admitido, me permitiría desempeñarme en infinidad de campos labores, claramente, siempre contribuyendo al desarrollo social y económico del país. Aspiro ser un Ingeniero Industrial apasionado por el aprendizaje continuo, con una formación íntegra, en áreas como: Cálculo, Administración, Análisis de Mercado, Finanzas, entre una infinita variedad de materias que considero muy afines con mi perfil. _x000a_Obtener esta Beca, significa mucho más que un auxilio económico o un apoyo financiero: Esta es una Oportunidad de Oro para enseñar que, con esfuerzo, disciplina y pasión, es posible alcanzar mis metas más altas, enalteciendo mi lugar de origen. Quiero demostrar e inspirar a otros jóvenes que, como yo, están llenos de sueños. Llevar un proceso académico en EAFIT, representa acceder a una educación de calidad, además, de contar con un entorno que fomenta el equilibrio entre el estudio, las actividades extracurriculares y las relaciones interpersonales. Estoy completamente decidido en aprovechar esta oportunidad para desarrollarme profesional y socialmente, aportando, desde mi formación a la construcción de un País más equitativo e innovador."/>
    <s v="Estudiantes de EAFIT"/>
    <s v="Universidad reconocida."/>
    <s v="Vocación."/>
    <n v="2"/>
    <s v="1"/>
    <s v="SI"/>
    <s v="NO"/>
    <s v="Entre 3 y 4 millones"/>
    <s v="Si"/>
    <n v="0"/>
    <n v="0"/>
    <m/>
    <s v="SI"/>
    <s v="Beca"/>
    <s v="NO"/>
    <s v=""/>
    <s v=""/>
    <s v="Si"/>
    <s v="Nelson González Montoya"/>
    <s v="Casado"/>
    <s v="TECNOLOGÍA"/>
    <s v="44"/>
    <s v="Comerciante Agrícola"/>
    <s v="Independiente (trabaja por cuenta propia)"/>
    <s v="Comerciante Agrícola"/>
    <s v="NA"/>
    <n v="1500000"/>
    <s v="No"/>
    <s v="SI"/>
    <s v="NO"/>
    <s v="Siempre cuento con el apoyo de mi Padre. Por temas económicos después de la pandemia (además de verse comprometida su salud), tuvo que desplazarse a otro departamento en búsqueda de oportunidades laborales para continuar haciendo realidad nuestros sueños. Es un hombre muy soñador y ama a su familia."/>
    <s v="Si"/>
    <s v="Mónica María Ríos Jaramillo"/>
    <s v="Casado"/>
    <s v="BACHILLERATO"/>
    <s v="40"/>
    <s v="Comerciante"/>
    <s v="Independiente (trabaja por cuenta propia)"/>
    <s v="Comerciante"/>
    <s v="Ventas de alimentos."/>
    <n v="3000000"/>
    <s v="Si"/>
    <s v="NO"/>
    <s v="NO"/>
    <s v="Mi Madre siempre me apoya en todo lo que yo requiera. Es la encargada de mi formación y sustento en casa, debido a la distancia que por el momento nos separa de mi Padre. Cuento con ella para lo que sea, porque ama muchísimo su hogar, a mi hermana y a mí."/>
    <n v="4500000"/>
    <s v="Si"/>
    <s v="Susana González Ríos"/>
    <s v="Hermano / Hermana"/>
    <s v="19"/>
    <s v="Estudiante"/>
    <s v="Escuela de Repostería"/>
    <n v="0"/>
    <s v="No"/>
    <s v=""/>
    <s v=""/>
    <s v=""/>
    <s v=""/>
    <s v=""/>
    <m/>
    <s v=""/>
    <s v=""/>
    <s v=""/>
    <s v=""/>
    <s v=""/>
    <s v=""/>
    <m/>
    <s v=""/>
    <s v="Somos una familia muy unida, con una gran capacidad de resiliencia y amor entre todos. Nos apoyamos entre todos, para que cada uno pueda cumplir sus sueños y metas. Me siento muy afortunado y feliz de tener a mi familia."/>
    <n v="100000000"/>
    <n v="0"/>
    <n v="50000000"/>
    <n v="0"/>
    <n v="0"/>
    <s v="No"/>
    <s v=""/>
    <s v=""/>
    <n v="0"/>
    <s v="No"/>
    <s v=""/>
    <s v=""/>
    <n v="0"/>
    <s v="No"/>
    <s v=""/>
    <s v=""/>
    <s v=""/>
    <n v="0"/>
    <s v="Por el tema de la pandemia mis padres debieron hipotecar sus activos para poder solventarse, aún están en el proceso financiero con las entidades bancarias."/>
    <n v="4"/>
    <n v="4"/>
    <n v="4"/>
    <n v="4"/>
    <n v="4"/>
    <n v="4"/>
    <n v="4"/>
    <n v="4"/>
    <n v="3"/>
    <n v="4"/>
    <n v="39"/>
    <s v="SI"/>
    <s v="SI, TIPO IE"/>
    <s v="PRI SIN TIPO IE"/>
    <s v="pendiente tipo ie"/>
    <e v="#N/A"/>
    <e v="#N/A"/>
    <m/>
    <n v="3"/>
    <n v="10"/>
    <n v="10"/>
    <n v="10"/>
    <n v="20"/>
    <n v="15"/>
    <n v="20"/>
    <n v="17"/>
    <n v="16"/>
    <n v="91"/>
    <n v="0.5"/>
    <m/>
    <n v="3.5"/>
    <n v="3.5"/>
    <n v="6"/>
    <n v="3"/>
    <n v="3.5"/>
    <n v="3.5"/>
    <n v="7"/>
    <n v="3"/>
    <n v="92"/>
    <n v="0.6"/>
    <n v="1"/>
    <e v="#N/A"/>
    <s v="se sube por pregrado, podria ser beca del 100%"/>
    <m/>
    <s v="SI, TIPO IE"/>
    <s v="EN ORDEN"/>
    <n v="0"/>
    <s v="Ingeniería Industrial"/>
    <s v="Pres. para revision docs nutresa"/>
    <m/>
    <e v="#N/A"/>
  </r>
  <r>
    <s v="TI"/>
    <n v="1036451454"/>
    <s v="1000406474"/>
    <s v="SALOME GUTIERREZ SERNA"/>
    <s v="Estudios por primera vez"/>
    <x v="1"/>
    <s v="Descartado por ingresos altos"/>
    <m/>
    <s v="En publico objetivo"/>
    <s v="2da Cohorte"/>
    <s v="Admitido"/>
    <s v="sgutierrs3@eafit.edu.co"/>
    <e v="#N/A"/>
    <s v="saloross07@gmail.com"/>
    <s v="604/450-3599"/>
    <d v="2025-05-16T00:00:00"/>
    <s v="Activo en Programa"/>
    <s v="237-Diseño Interactivo"/>
    <s v="Escuela de Artes y Humanidades"/>
    <d v="2007-07-22T00:00:00"/>
    <n v="18"/>
    <s v="Antioquia"/>
    <s v="Envigado"/>
    <s v="Mujer"/>
    <s v="Soltero"/>
    <s v="NO"/>
    <s v="NO"/>
    <n v="0"/>
    <s v="NO"/>
    <s v="NA"/>
    <s v="NO"/>
    <s v="NA"/>
    <s v="NO"/>
    <s v="NA"/>
    <s v="No"/>
    <s v="604/450-3599"/>
    <s v="NA"/>
    <s v="Estrato 3"/>
    <s v="CL 39 SUR #44 35"/>
    <s v="Antioquia"/>
    <s v="Envigado"/>
    <s v="No aplica, no soy foráneo"/>
    <s v="Familiar"/>
    <s v="SI"/>
    <s v="2024"/>
    <s v="AC202433040581"/>
    <n v="345"/>
    <n v="65"/>
    <n v="71"/>
    <s v="Privada"/>
    <s v="COL DE LA PRESENTACION ENVIGAD"/>
    <n v="2024"/>
    <s v="Antioquia"/>
    <s v="Envigado"/>
    <s v="BACHILLER"/>
    <s v="ACAD"/>
    <s v="TIPO: Privada, INSTITUCION: COL DE LA PRESENTACION ENVIGAD, AÑO: 2024, CIUDAD: Envigado, TITULO: BACHILLER"/>
    <s v="11"/>
    <s v="Escala de 0 - 5"/>
    <s v="Escala de 0 - 5"/>
    <s v="3,6"/>
    <s v="3,8"/>
    <m/>
    <s v="3,9"/>
    <s v="3,8"/>
    <m/>
    <n v="3.7"/>
    <n v="3.5"/>
    <m/>
    <n v="3.8"/>
    <n v="3.9"/>
    <m/>
    <s v="4,4"/>
    <s v="4,2"/>
    <m/>
    <s v="4,6"/>
    <s v="4,5"/>
    <m/>
    <s v="4,2"/>
    <s v="4,2"/>
    <m/>
    <s v="De 9 y 10"/>
    <n v="3.7250000000000001"/>
    <s v="NO"/>
    <s v="NA"/>
    <n v="0"/>
    <n v="0"/>
    <s v="No"/>
    <n v="35"/>
    <m/>
    <n v="35"/>
    <m/>
    <n v="35"/>
    <m/>
    <s v="Puede tener mucha más afinidad con un programa como Comunicación Social."/>
    <n v="35"/>
    <s v="Con detalle por componente"/>
    <s v="Ninguna"/>
    <s v="Desde pequeña me ha apasionado imaginar mundos, personajes y emociones. Ahora entiendo que el diseño interactivo es el puente entre mis sueños, creatividad, pasión y el impacto que busco generar en los demás._x000a__x000a_Por esto, me  visualizo creando experiencias digitales que cuenten historias que conecten profundamente con las personas. _x000a__x000a_A través de esta carrera, quiero aprender a combinar la tecnología con la sensibilidad humana, usando el storytelling como herramienta para inspirar y transformar._x000a_ Mi sueño es desarrollar plataformas, juegos, apps o espacios virtuales que no solo se vean bien, sino que cuenten historias poderosas, que dejen huella._x000a__x000a_Gracias a esta beca, tendria la oportunidad de prepararme con excelencia y traer todo ese conocimiento de vuelta a mi región. Quiero impulsar proyectos donde jóvenes como yo descubran su voz, su talento, y encuentren en la tecnología una forma de expresarse y crecer. Me encantaría demostrar a través de mi carrera que desde cualquier rincón del país se pueden crear historias que lleguen al mundo entero._x000a__x000a_Estoy segura de que el diseño interactivo es más que una carrera, es una forma de transformar realidades a través de la imaginación, la empatía y la innovación. Y esta beca es el primer paso para lograrlo."/>
    <s v="Página WEB"/>
    <s v="Internacionalización."/>
    <s v="Vocación."/>
    <n v="2"/>
    <s v="0"/>
    <s v="SI"/>
    <s v="NO"/>
    <s v="Entre 3 y 4 millones"/>
    <s v="No"/>
    <n v="0"/>
    <n v="0"/>
    <m/>
    <s v="SI"/>
    <s v="Beca"/>
    <s v="NO"/>
    <s v=""/>
    <s v=""/>
    <s v="Si"/>
    <s v="Julian Ignacio Gutierrez Bustamante"/>
    <s v="Soltero"/>
    <s v="TÉCNICA"/>
    <s v="47"/>
    <s v="coordinador de ventas"/>
    <s v="Empleado (con contrato laboral)"/>
    <s v="coordinador de ventas"/>
    <s v="colanta"/>
    <n v="4000000"/>
    <s v="No"/>
    <s v="NO"/>
    <s v="NO"/>
    <s v="No se tienen claro sus ingresos, no vivo con el."/>
    <s v="Si"/>
    <s v="Ana Maria Serna Posada"/>
    <s v="Soltero"/>
    <s v="TECNOLOGÍA"/>
    <s v="48"/>
    <s v="Tecnologa agropecuaria"/>
    <s v="Independiente (trabaja por cuenta propia)"/>
    <s v="procesamiento de datos"/>
    <s v="HC ingenieria, otras"/>
    <n v="2600000"/>
    <s v="Si"/>
    <s v="SI"/>
    <s v="NO"/>
    <m/>
    <n v="6600000"/>
    <s v="Si"/>
    <s v="Sonia del Socorro Posada Posada"/>
    <s v="Abuelo / Abuela"/>
    <s v="74"/>
    <s v="Ama de casa"/>
    <s v="No aplica"/>
    <n v="2900000"/>
    <s v="Si"/>
    <s v=""/>
    <s v=""/>
    <s v=""/>
    <s v=""/>
    <s v=""/>
    <m/>
    <s v=""/>
    <s v=""/>
    <s v=""/>
    <s v=""/>
    <s v=""/>
    <s v=""/>
    <m/>
    <s v=""/>
    <s v=""/>
    <n v="500000000"/>
    <n v="0"/>
    <n v="0"/>
    <n v="0"/>
    <n v="0"/>
    <s v="No"/>
    <s v=""/>
    <s v=""/>
    <n v="0"/>
    <s v="No"/>
    <s v=""/>
    <s v=""/>
    <n v="0"/>
    <s v="No"/>
    <s v=""/>
    <s v=""/>
    <s v=""/>
    <n v="0"/>
    <m/>
    <n v="4"/>
    <n v="3"/>
    <n v="3"/>
    <n v="3"/>
    <n v="3"/>
    <n v="3"/>
    <n v="3"/>
    <n v="3"/>
    <n v="3"/>
    <n v="3"/>
    <n v="31"/>
    <s v="SI"/>
    <m/>
    <s v="SI, SON PRI"/>
    <s v="ok tienen todos los datos"/>
    <e v="#N/A"/>
    <e v="#N/A"/>
    <m/>
    <n v="3"/>
    <n v="10"/>
    <n v="8"/>
    <n v="10"/>
    <n v="10"/>
    <n v="10"/>
    <n v="5"/>
    <n v="8.5"/>
    <n v="8.5"/>
    <n v="53.5"/>
    <n v="0.4"/>
    <m/>
    <n v="2"/>
    <n v="3.5"/>
    <n v="3"/>
    <n v="0"/>
    <n v="2"/>
    <n v="3.5"/>
    <n v="3"/>
    <n v="0"/>
    <n v="51.5"/>
    <n v="0.4"/>
    <n v="0.4"/>
    <e v="#N/A"/>
    <m/>
    <m/>
    <n v="0"/>
    <m/>
    <m/>
    <s v="Diseño Interactivo"/>
    <e v="#N/A"/>
    <s v="237"/>
    <e v="#N/A"/>
  </r>
  <r>
    <s v="TI"/>
    <n v="1036451799"/>
    <s v="1000126495"/>
    <s v="JULIAN GRAJALES RESTREPO"/>
    <s v="Estudios por primera vez"/>
    <x v="1"/>
    <s v="Descartado por ingresos altos"/>
    <m/>
    <s v="En publico objetivo"/>
    <s v="1er Cohorte"/>
    <s v="Admitido"/>
    <s v="jgrajalesr@eafit.edu.co"/>
    <s v="jgrajalesr@eafit.edu.co"/>
    <s v="juliangrajales0813@gmail.com"/>
    <s v="573003792760"/>
    <d v="2025-04-25T00:00:00"/>
    <s v="Activo en Programa"/>
    <s v="084-Derecho"/>
    <s v="Escuela de Derecho"/>
    <d v="2007-11-28T00:00:00"/>
    <n v="18"/>
    <s v="Antioquia"/>
    <s v="Envigado"/>
    <s v="Hombre"/>
    <s v="Soltero"/>
    <s v="NO"/>
    <s v="NO"/>
    <n v="0"/>
    <s v="NO"/>
    <s v="NA"/>
    <s v="NO"/>
    <s v="NA"/>
    <s v="NO"/>
    <s v="NA"/>
    <s v="No"/>
    <s v="573003792760"/>
    <s v="NA"/>
    <s v="Estrato 3"/>
    <s v="SAN ANTONIO DE PRADO"/>
    <s v="Antioquia"/>
    <s v="San Antonio De Prado"/>
    <s v="No aplica, no soy foráneo"/>
    <s v="Arriendo"/>
    <s v="SI"/>
    <s v="2024"/>
    <s v="AC202433391646"/>
    <n v="302"/>
    <n v="58"/>
    <n v="60"/>
    <s v="Privada"/>
    <s v="I.E. COLEGIO EL CARPINELO"/>
    <n v="2024"/>
    <s v="Antioquia"/>
    <s v="Itagui"/>
    <s v="BACHILLER"/>
    <s v="TECN"/>
    <s v="TIPO: Privada, INSTITUCION: I.E. COLEGIO EL CARPINELO, AÑO: 2024, CIUDAD: Itagui, TITULO: BACHILLER"/>
    <s v="11"/>
    <s v="Escala de 0 - 5"/>
    <s v="Escala de 0 - 5"/>
    <s v="3,7"/>
    <s v="3,7"/>
    <m/>
    <s v="3,7"/>
    <s v="3,7"/>
    <m/>
    <n v="3.5"/>
    <n v="3.5"/>
    <m/>
    <n v="3.8"/>
    <n v="3.8"/>
    <m/>
    <s v="3,8"/>
    <s v="3,8"/>
    <m/>
    <s v="3,7"/>
    <s v="3,7"/>
    <m/>
    <s v="3,7"/>
    <s v="3,5"/>
    <m/>
    <s v="De 9 y 10"/>
    <n v="3.6500000000000004"/>
    <s v="NO"/>
    <s v="NA"/>
    <n v="0"/>
    <n v="0"/>
    <s v="No"/>
    <n v="45"/>
    <m/>
    <n v="50"/>
    <m/>
    <n v="45"/>
    <m/>
    <s v="Conoce muy bien las habilidades que se requieren para el ejercicio de la profesión"/>
    <n v="46.666666666666664"/>
    <s v="Con detalle por componente"/>
    <s v="Ninguna"/>
    <s v="Me visualizo como un abogado enfocado en el sector empresarial, puesto que me interesan los temas relacionados con los negocios, y creo que el objetivo principal de un negocio es resolver problemas comunes de las personas. De esta manera, podría contribuir de un modo positivo en la sociedad. Con la obtención de esta beca, tendría la posibilidad de cumplir un sueño, que es estudiar y transformar las vidas de las personas que me rodean ( mis padres), proporcionándoles una mejor calidad de vida, ya que ellos no contaron con las mismas oportunidades que yo, y de alguna manera, deseo recompensarlos por tanto esfuerzo y sacrificio._x000a_Ofreciendo mis conocimientos jurídicos  puedo fomentar el desarrollo económico, apoyando legalmente a negocios locales o creando una empresa que aporte valor al mercado, de esta manera generaría empleos a las personas, ya que el país tiene grandes dificultades con el desempleo y sé que podría marcar la diferencia. A su vez, muchas personas desconocen sus derechos, y por este desconocimiento pueden ser engañadas o pueden tener graves consecuencias. Mi meta es empoderarlas mediante la educación legal y el acceso a la justicia, contribuyendo así al bienestar colectivo."/>
    <s v="Página WEB"/>
    <s v="Universidad reconocida."/>
    <s v="Vocación."/>
    <n v="2"/>
    <s v="0"/>
    <s v="SI"/>
    <s v="NO"/>
    <s v="Entre 4 y 5 millones"/>
    <s v="No"/>
    <s v="SI"/>
    <s v="SI"/>
    <s v="Crédito entidad externa"/>
    <s v="SI"/>
    <s v="Beca"/>
    <s v="NO"/>
    <s v=""/>
    <s v=""/>
    <s v="Si"/>
    <s v="Jhon James Grajales Posada"/>
    <s v="Casado"/>
    <s v="TECNOLOGÍA"/>
    <s v="50"/>
    <s v="Emplado-operario"/>
    <s v="Empleado (con contrato laboral)"/>
    <s v="Operario"/>
    <s v="PETPACK"/>
    <n v="2041000"/>
    <s v="Si"/>
    <s v="NO"/>
    <s v="NO"/>
    <s v="Mi padre es tecnologo en construcciones civiles actualmente no ejerce, labora como operario en una empresa de preformas plasticas, siempre he contado con su apoyo, no solamente en lo economico si no el lo emocional ya que siempre me ha acompañado."/>
    <s v="Si"/>
    <s v="Claudia Maria Restrepo Restrepo"/>
    <s v="Casado"/>
    <m/>
    <s v="43"/>
    <s v="Analista de planeacion"/>
    <s v="Empleado (con contrato laboral)"/>
    <s v="Analista de planeacion y compras"/>
    <s v="Mareiwo"/>
    <n v="3100000"/>
    <s v="Si"/>
    <s v="SI"/>
    <s v="SI"/>
    <s v="Al igual que con mi padre, mi madre siempre a estado pendiente de mi, acompañandome en todos los procesos de mi vida pedo decir mi madre que es  amorosa conprometida que siempre a estado con migo, que ha trabajado al igual que mi padre para poder brindarme las oportunidades que ella no pudo tener."/>
    <n v="5141000"/>
    <s v="No, solo vivo con mis padres"/>
    <s v=""/>
    <s v=""/>
    <s v=""/>
    <s v=""/>
    <s v=""/>
    <m/>
    <s v=""/>
    <s v=""/>
    <s v=""/>
    <s v=""/>
    <s v=""/>
    <s v=""/>
    <m/>
    <s v=""/>
    <s v=""/>
    <s v=""/>
    <s v=""/>
    <s v=""/>
    <s v=""/>
    <m/>
    <s v=""/>
    <s v=""/>
    <n v="98304000"/>
    <n v="0"/>
    <n v="0"/>
    <n v="0"/>
    <n v="0"/>
    <s v="No"/>
    <s v=""/>
    <s v=""/>
    <n v="0"/>
    <s v="No"/>
    <s v=""/>
    <s v=""/>
    <n v="0"/>
    <s v="Si"/>
    <s v="Moto"/>
    <s v="Honda"/>
    <s v="2011"/>
    <n v="2000000"/>
    <s v="Estos son los unicos bienes con los que cuenta la familia."/>
    <n v="4"/>
    <n v="4"/>
    <n v="4"/>
    <n v="4"/>
    <n v="4"/>
    <n v="4"/>
    <n v="4"/>
    <n v="4"/>
    <n v="3"/>
    <n v="4"/>
    <n v="39"/>
    <s v="SI"/>
    <m/>
    <s v="SI, SON PRI"/>
    <s v="ok tienen todos los datos"/>
    <e v="#N/A"/>
    <e v="#N/A"/>
    <m/>
    <n v="2"/>
    <n v="10"/>
    <n v="8"/>
    <n v="5"/>
    <n v="10"/>
    <n v="15"/>
    <n v="20"/>
    <n v="14"/>
    <n v="11.5"/>
    <n v="71.5"/>
    <n v="0.4"/>
    <m/>
    <n v="2"/>
    <n v="3.5"/>
    <n v="3"/>
    <n v="3"/>
    <n v="2"/>
    <n v="3"/>
    <n v="6"/>
    <n v="3"/>
    <n v="72"/>
    <n v="0.5"/>
    <n v="0.5"/>
    <e v="#N/A"/>
    <m/>
    <m/>
    <n v="0"/>
    <m/>
    <m/>
    <s v="Derecho"/>
    <e v="#N/A"/>
    <s v="084"/>
    <e v="#N/A"/>
  </r>
  <r>
    <s v="TI"/>
    <n v="1036452009"/>
    <s v="1000293804"/>
    <s v="JUAN MANUEL CUERVO VELASQUEZ"/>
    <s v="Estudios por primera vez"/>
    <x v="1"/>
    <s v="Descartado por ingresos altos"/>
    <m/>
    <s v="En publico objetivo"/>
    <s v="2da Cohorte"/>
    <s v="Admitido"/>
    <s v="jmcuervov@eafit.edu.co"/>
    <s v="jmcuervov@eafit.edu.co"/>
    <s v="juanmanuelcuervov@gmail.com"/>
    <s v="301/749-2819"/>
    <d v="2025-05-16T00:00:00"/>
    <s v="Activo en Programa"/>
    <s v="010-Ingeniería de Sistemas"/>
    <s v="E Ciencias Aplic e Ingeniería"/>
    <d v="2008-02-09T00:00:00"/>
    <n v="17"/>
    <s v="Antioquia"/>
    <s v="Envigado"/>
    <s v="Hombre"/>
    <s v="Soltero"/>
    <s v="NO"/>
    <s v="NO"/>
    <n v="0"/>
    <s v="NO"/>
    <s v="NA"/>
    <s v="NO"/>
    <s v="NA"/>
    <s v="NO"/>
    <s v="NA"/>
    <s v="No"/>
    <s v="598-3309"/>
    <s v="301/749-2819"/>
    <s v="Estrato 3"/>
    <s v="CL 76 #52 B 26"/>
    <s v="Antioquia"/>
    <s v="Itagui"/>
    <s v="No aplica, no soy foráneo"/>
    <s v="Arriendo"/>
    <s v="SI"/>
    <s v="2024"/>
    <s v="AC202410455998"/>
    <n v="332"/>
    <n v="63"/>
    <n v="64"/>
    <s v="Pública"/>
    <s v="Unad bachillerato a distancia para jovenes y adultos"/>
    <n v="2024"/>
    <m/>
    <s v="Bogotá D.C."/>
    <s v="Bachillerato"/>
    <s v="Académico"/>
    <m/>
    <s v="11"/>
    <s v="Escala de 0 - 5"/>
    <s v="Escala de 0 - 5"/>
    <s v="4,4"/>
    <s v="4,4"/>
    <m/>
    <s v="4,4"/>
    <s v="4,4"/>
    <m/>
    <n v="3.9"/>
    <n v="3.7"/>
    <m/>
    <n v="4.5"/>
    <n v="3.7"/>
    <m/>
    <s v="4,1"/>
    <s v="3,2"/>
    <m/>
    <s v="4,4"/>
    <s v="4,4"/>
    <m/>
    <s v="4,4"/>
    <s v="3,8"/>
    <m/>
    <s v="De 9 y 10"/>
    <n v="3.95"/>
    <s v="NO"/>
    <s v="NA"/>
    <n v="0"/>
    <n v="0"/>
    <s v="No"/>
    <n v="50"/>
    <m/>
    <n v="50"/>
    <m/>
    <n v="45"/>
    <m/>
    <m/>
    <n v="48.333333333333336"/>
    <s v="Con detalle por componente"/>
    <s v="Deportistas de alto rendimiento o representativo"/>
    <s v="En el ejercicio de mi profesión me visualizo como un líder formado en excelencia, no solo en la parte técnica, sino en la dimensión humana y cívica. De este modo, sería un profesional facultado para encabezar equipos TI y contribuir en la construcción de diferentes soluciones en el marco de la transformación y modernización tecnológica de las organizaciones, no solo en el sector privado, sino en el sector público por medio del liderazgo y la adopción de sistemas informáticos que permitan la automatización de procesos.  _x000a__x000a_Me visualizo liderando proyectos en los cuales sean implementados diferentes programas informáticos enfocados en la auditoría pública, para mejorar la eficiencia y controlar la transparencia en la ejecución presupuestal del gobierno. Me planteo elaborar soluciones de software y manejo masivo de datos que reemplacen procesos análogos, ineficientes y poco confiables, que faciliten el análisis, actualización y gestión eficiente de la información. De esta manera, el ejecutivo colombiano tendría a su disposición las herramientas necesarias para ejercer un control más amplio, por medio de información fiable, acerca de los procesos administrativos del gobierno e identificar irregularidades en el gasto público._x000a__x000a_Mi objetivo es ser un profesional capacitado para liderar equipos en función de desarrollar soluciones orientadas a la mejora en la administración pública del país, que mejoren la eficiencia y transparencia en la administración de los recursos públicos. De este modo, se mejoraría  significativamente el desarrollo social de mi país por medio de iniciativas gubernamentales que realmente impacten en la sociedad colombiana, utilizando las TIC como componente transversal para el progreso social e implementando múltiples métodos innovadores de desarrollo, automatización de procesos adoptando inteligencia artificial y soluciones de software que permitan potenciar exponencialmente el crecimiento económico nacional, teniendo en cuenta el desarrollo sostenible como componente fundamental para la construcción equitativa y social de nuestro país."/>
    <s v="Página WEB"/>
    <s v="Internacionalización."/>
    <s v="Alta empleabilidad."/>
    <n v="4"/>
    <s v="1"/>
    <s v="SI"/>
    <s v="NO"/>
    <s v="Entre 6 y 7 millones"/>
    <s v="No"/>
    <s v="SI"/>
    <n v="0"/>
    <m/>
    <s v="SI"/>
    <s v="Beca"/>
    <s v="NO"/>
    <s v=""/>
    <s v=""/>
    <s v="Si"/>
    <s v="John Fredy Cuervo López"/>
    <s v="Casado"/>
    <s v="MAESTRÍA"/>
    <s v="48"/>
    <s v="Administrador de empresas"/>
    <s v="Empleado (con contrato laboral)"/>
    <s v="JEFE DE OFICINA DE CONTROL INTERNO"/>
    <s v="FONDO DE VIVIENDA DE INTERÉS SOCIAL Y REFORMA URBANA DEL MUNICIPIO DE SABANETA – FOVIS"/>
    <n v="8000000"/>
    <s v="Si"/>
    <s v="SI"/>
    <s v="SI"/>
    <s v=""/>
    <s v="Si"/>
    <s v="Luz Marina Velásquez González"/>
    <s v="Casado"/>
    <s v="TÉCNICA"/>
    <s v="40"/>
    <s v="Técnica en comunicación social"/>
    <s v="Independiente (trabaja por cuenta propia)"/>
    <s v="Decoración de eventos y ventas por catálogo"/>
    <s v="NA"/>
    <n v="1200000"/>
    <s v="Si"/>
    <s v="NO"/>
    <s v="NO"/>
    <m/>
    <n v="9200000"/>
    <s v="Si"/>
    <s v="Yoel Cuervo Velásquez"/>
    <s v="Hermano / Hermana"/>
    <s v="7"/>
    <s v="Estudiante"/>
    <s v="Centro Educativo Albert Einstein"/>
    <n v="0"/>
    <s v="No"/>
    <s v="Luz Estella González Bedoya"/>
    <s v="Abuelo / Abuela"/>
    <s v="77"/>
    <s v="Pensionada"/>
    <s v="NA"/>
    <n v="1423500"/>
    <s v="Si"/>
    <s v=""/>
    <s v=""/>
    <s v=""/>
    <s v=""/>
    <s v=""/>
    <m/>
    <s v=""/>
    <s v="Vivo con papá, mamá, mi hermano menor y mi abuela en Vivienda familiar."/>
    <n v="249568000"/>
    <n v="0"/>
    <n v="0"/>
    <n v="0"/>
    <n v="0"/>
    <s v="No"/>
    <s v=""/>
    <s v=""/>
    <n v="0"/>
    <s v="No"/>
    <s v=""/>
    <s v=""/>
    <n v="0"/>
    <s v="No"/>
    <s v=""/>
    <s v=""/>
    <s v=""/>
    <n v="0"/>
    <s v="La vivienda familiar en la que vivimos pertenece a mi abuela materna."/>
    <n v="4"/>
    <n v="4"/>
    <n v="3"/>
    <n v="4"/>
    <n v="4"/>
    <n v="4"/>
    <n v="4"/>
    <n v="4"/>
    <n v="3"/>
    <n v="4"/>
    <n v="38"/>
    <s v="SI"/>
    <s v="SI, TIPO IE"/>
    <s v="PRI SIN TIPO IE"/>
    <s v="ok se completa con info conv anterior"/>
    <s v="Negada"/>
    <n v="20251"/>
    <m/>
    <n v="3"/>
    <n v="10"/>
    <n v="8"/>
    <n v="10"/>
    <n v="10"/>
    <n v="15"/>
    <n v="20"/>
    <n v="8.5"/>
    <n v="9"/>
    <n v="74"/>
    <n v="0.4"/>
    <m/>
    <n v="3.5"/>
    <n v="3.5"/>
    <n v="1"/>
    <n v="1"/>
    <n v="3.5"/>
    <n v="3"/>
    <n v="1"/>
    <n v="1"/>
    <n v="71.5"/>
    <n v="0.4"/>
    <n v="0.4"/>
    <e v="#N/A"/>
    <m/>
    <m/>
    <s v="SI, TIPO IE"/>
    <m/>
    <m/>
    <s v="Ingeniería de Sistemas"/>
    <e v="#N/A"/>
    <s v="010"/>
    <e v="#N/A"/>
  </r>
  <r>
    <s v="CC"/>
    <n v="1036518679"/>
    <s v="1000403827"/>
    <s v="SALOMÉ CATAÑO GALEANO"/>
    <s v="Transferencia Externa"/>
    <x v="1"/>
    <s v="Duda, cursando o graduado de tecnica o tecnologia"/>
    <m/>
    <s v="En publico objetivo"/>
    <s v="1er Cohorte"/>
    <s v="Admitido"/>
    <s v="scatanog@eafit.edu.co"/>
    <e v="#N/A"/>
    <s v="salocatagale@gmail.com"/>
    <s v="301/594-5837"/>
    <d v="2025-04-25T00:00:00"/>
    <s v="Activo en Programa"/>
    <s v="112-Comunicación Social"/>
    <s v="Escuela de Artes y Humanidades"/>
    <d v="2006-07-02T00:00:00"/>
    <n v="19"/>
    <s v="Antioquia"/>
    <s v="Medellín"/>
    <s v="Mujer"/>
    <s v="Soltero"/>
    <s v="NO"/>
    <s v="NO"/>
    <n v="0"/>
    <s v="NO"/>
    <s v="NA"/>
    <s v="NO"/>
    <s v="NA"/>
    <s v="NO"/>
    <s v="NA"/>
    <s v="No"/>
    <s v="289-5844"/>
    <s v="301/594-5837"/>
    <s v="Estrato 2"/>
    <s v="GIRARDOTA VEREDA EL TOTUMO PARTE ALTA"/>
    <s v="Antioquia"/>
    <s v="Girardota"/>
    <s v="No aplica, no soy foráneo"/>
    <s v="Propio"/>
    <s v="SI"/>
    <s v="2023"/>
    <s v="AC202341792084"/>
    <n v="313"/>
    <n v="66"/>
    <n v="63"/>
    <s v="Pública"/>
    <s v="I. E. EMILIANO GARCIA"/>
    <n v="2023"/>
    <s v="Antioquia"/>
    <s v="Girardota"/>
    <s v="BACHILLER"/>
    <s v="ACAD"/>
    <s v="TIPO: Pública, INSTITUCION: I. E. EMILIANO GARCIA, AÑO: 2023, CIUDAD: Girardota, TITULO: BACHILLER"/>
    <n v="0"/>
    <n v="0"/>
    <s v="PCA TEX"/>
    <m/>
    <m/>
    <m/>
    <m/>
    <m/>
    <m/>
    <m/>
    <m/>
    <m/>
    <m/>
    <m/>
    <m/>
    <m/>
    <m/>
    <m/>
    <m/>
    <m/>
    <m/>
    <m/>
    <m/>
    <m/>
    <s v="Ver PCA TEX"/>
    <n v="4.5"/>
    <s v="SI"/>
    <s v="Tecnica Laboral Asistencia en Produccion Audiovisual- CESDE- Cursando"/>
    <s v="TECNICA"/>
    <s v="Tecnica Laboral Asistencia en Produccion Audiovisual"/>
    <s v="No"/>
    <n v="35"/>
    <m/>
    <n v="50"/>
    <m/>
    <n v="45"/>
    <m/>
    <m/>
    <n v="43.333333333333336"/>
    <s v="Con detalle por componente"/>
    <s v="Ninguna"/>
    <s v="Yo me visualizo tras recibir mi título profesional como comunicadora social, trabajando en una agencia editorial o siendo pionera de una de estas, enfocada más que todo al diseño gráfico, la literatura, el periodismo y la fotografía. Diseñando, ideando y desarrollando como se verán sus productos y su aspecto publicitario, para así llegar a la comunidad de una manera más creativa, disruptiva y subjetiva. A través de esta beca podría empezar mi camino profesional con una carrera que me permita mejorar mis habilidades comunicativas, sociales y actitudinales, donde aprenderé a como analizar mi entorno para así lograr una comunicación y más que todo una conexión certera con la sociedad y mi entorno, añadiendo que podré dominar técnicas tradicionales y digitales para lograr mi función dentro de la comunidad: transmitir mensajes oportunos e ideales a la gente que me rodea, en pocas palabras: comunicar, algo tan básico, pero que mantiene unidas a las personas, grupos y entidades. Yo quiero darme a la tarea de establecer ese enlace entre entorno social e individuo y así mejorar  la relación entre estos dos elementos. No solamente por medio de textos, palabras y análisis,  si no también apoyándome del arte y métodos digitales, para así cumplir con mi meta de fortalecer y cuidar el vínculo entre las personas y su contexto social."/>
    <s v="Estudiantes de EAFIT"/>
    <s v="Por la oferta académica."/>
    <s v="Vocación."/>
    <n v="3"/>
    <s v="0"/>
    <s v="SI"/>
    <s v="NO"/>
    <s v="Entre 1 y 2 millones"/>
    <s v="No"/>
    <n v="0"/>
    <n v="0"/>
    <m/>
    <s v="SI"/>
    <s v="Beca"/>
    <s v="SI"/>
    <s v="WEST QUIMICA"/>
    <s v="Aprendiz desarrolladora audiovisual"/>
    <s v="Si"/>
    <s v="Jesús Antonio Cataño Lonodño"/>
    <s v="Unión marital"/>
    <s v="PRIMARIA"/>
    <s v="56"/>
    <s v="Operario"/>
    <s v="Empleado (con contrato laboral)"/>
    <s v="Operario de maquina"/>
    <s v="Balalaika"/>
    <n v="1627100"/>
    <s v="Si"/>
    <s v="NO"/>
    <s v="NO"/>
    <s v="Mi papá tiene 55 años, trabaja doce horas, no posee un título de bachiller y saca a flote a mi familia trabajando duro."/>
    <s v="Si"/>
    <s v="Martha Ledis Galeano Hernández"/>
    <s v="Unión marital"/>
    <s v="BACHILLERATO"/>
    <s v="49"/>
    <s v="ama de casa"/>
    <s v="Desempleado (Se encuentra en la búsqueda activa de empleo)"/>
    <s v="Ama de casa"/>
    <s v="NO APLICA"/>
    <n v="0"/>
    <s v="Si"/>
    <s v="NO"/>
    <s v="NO"/>
    <s v="Mi mamá tiene 48 años, ella se encarga de la casa y de cuidar a mi abuelo."/>
    <n v="1627100"/>
    <s v="Si"/>
    <s v="Jesús Antonio Cataño Villa"/>
    <s v="Abuelo / Abuela"/>
    <s v="98"/>
    <s v="no aplica"/>
    <s v="No aplica"/>
    <n v="0"/>
    <s v="No"/>
    <s v=""/>
    <s v=""/>
    <s v=""/>
    <s v=""/>
    <s v=""/>
    <m/>
    <s v=""/>
    <s v=""/>
    <s v=""/>
    <s v=""/>
    <s v=""/>
    <s v=""/>
    <m/>
    <s v=""/>
    <s v="Somos una familia unida de cuatro personas."/>
    <n v="112855000"/>
    <n v="0"/>
    <n v="0"/>
    <n v="0"/>
    <n v="0"/>
    <s v="Si"/>
    <s v="Discover"/>
    <s v="135"/>
    <n v="2700000"/>
    <s v="No"/>
    <s v=""/>
    <s v=""/>
    <n v="0"/>
    <s v="No"/>
    <s v=""/>
    <s v=""/>
    <s v=""/>
    <n v="0"/>
    <s v="Mi papá tiene esa moto desde el 2010"/>
    <n v="4"/>
    <n v="4"/>
    <n v="3"/>
    <n v="4"/>
    <n v="4"/>
    <n v="3"/>
    <n v="3"/>
    <n v="3"/>
    <n v="4"/>
    <n v="4"/>
    <n v="36"/>
    <s v="SI"/>
    <m/>
    <s v="ES TEX, LE FALTA EL DETALLE DE OTROS ESTUDIOS"/>
    <s v="ok se agrega info de otros estudios por llamada"/>
    <e v="#N/A"/>
    <e v="#N/A"/>
    <m/>
    <n v="2"/>
    <n v="10"/>
    <n v="10"/>
    <n v="5"/>
    <n v="20"/>
    <n v="15"/>
    <n v="15"/>
    <n v="16"/>
    <n v="16"/>
    <n v="81"/>
    <n v="0.5"/>
    <m/>
    <n v="3.5"/>
    <n v="2.5"/>
    <n v="8"/>
    <n v="2"/>
    <n v="3.5"/>
    <n v="2.5"/>
    <n v="8"/>
    <n v="2"/>
    <n v="81"/>
    <n v="0.5"/>
    <n v="0.5"/>
    <e v="#N/A"/>
    <m/>
    <m/>
    <n v="0"/>
    <m/>
    <m/>
    <s v="Comunicación Social"/>
    <e v="#N/A"/>
    <s v="112"/>
    <e v="#N/A"/>
  </r>
  <r>
    <s v="TI"/>
    <n v="1036936621"/>
    <s v="1000392997"/>
    <s v="PAULINA OCAMPO OROZCO"/>
    <s v="Estudios por primera vez"/>
    <x v="1"/>
    <s v="Descartado por notas"/>
    <m/>
    <s v="En publico objetivo"/>
    <s v="2da Cohorte"/>
    <s v="Admitido"/>
    <s v="pocampoo1@eafit.edu.co"/>
    <s v="pocampoo1@eafit.edu.co"/>
    <s v="paulinaocapoorozco@gmail.com"/>
    <s v="573147678273"/>
    <d v="2025-05-16T00:00:00"/>
    <s v="Activo en Programa"/>
    <s v="084-Derecho"/>
    <s v="Escuela de Derecho"/>
    <d v="2008-02-17T00:00:00"/>
    <n v="17"/>
    <s v="Antioquia"/>
    <s v="Rionegro"/>
    <s v="Mujer"/>
    <s v="Soltero"/>
    <s v="NO"/>
    <s v="NO"/>
    <n v="0"/>
    <s v="NO"/>
    <s v="NA"/>
    <s v="NO"/>
    <s v="NA"/>
    <s v="NO"/>
    <s v="NA"/>
    <s v="No"/>
    <s v="310/431-1283"/>
    <s v="573147678273"/>
    <s v="Estrato 3"/>
    <s v="CR 9 #12 13"/>
    <s v="Antioquia"/>
    <s v="La Unión"/>
    <s v="Si"/>
    <s v="Familiar"/>
    <s v="SI"/>
    <s v="2024"/>
    <s v="AC202434480141"/>
    <n v="370"/>
    <n v="75"/>
    <n v="70"/>
    <s v="Pública"/>
    <s v="I. E. PIO XI"/>
    <n v="2024"/>
    <s v="Antioquia"/>
    <s v="La Unión"/>
    <s v="BACHILLER"/>
    <s v="ACAD"/>
    <s v="TIPO: Pública, INSTITUCION: I. E. PIO XI, AÑO: 2024, CIUDAD: La Unión, TITULO: BACHILLER"/>
    <s v="11"/>
    <s v="Escala de 0 - 5"/>
    <s v="Escala de 0 - 5"/>
    <s v="3,9"/>
    <s v="3,9"/>
    <m/>
    <s v="4,1"/>
    <s v="4,1"/>
    <m/>
    <n v="3.8"/>
    <n v="4.3"/>
    <m/>
    <n v="4"/>
    <n v="3.8"/>
    <m/>
    <s v="3,7"/>
    <s v="4,4"/>
    <m/>
    <s v="3,4"/>
    <s v="3,9"/>
    <m/>
    <s v="4,5"/>
    <s v="4,3"/>
    <m/>
    <s v="De 9 y 10"/>
    <n v="3.9749999999999996"/>
    <s v="NO"/>
    <s v="NA"/>
    <n v="0"/>
    <n v="0"/>
    <s v="No"/>
    <n v="35"/>
    <m/>
    <n v="35"/>
    <m/>
    <n v="35"/>
    <m/>
    <m/>
    <n v="35"/>
    <s v="Con detalle por componente"/>
    <s v="Espacios de liderazgo o representación social"/>
    <s v="Mi vocación siempre ha sido ayudar a los demás, por esto quiero enfocarme en el sector público, ya que, considero que es un campo desde el cuál se puede trasformar la sociedad, especialmente me llama la atención trabajar en mi municipio para impulsar por medio de proyectos el desarrollo económico y social en el territorio. Así mismo, es de suma importancia brindarle acompañamiento a las comunidades más vulnerables del municipio que en muchas ocasiones han sido olvidadas por las administraciones municipales y por esto se ven envueltas en problemas legales y al no contar con las herramientas necesarias para superar las dificultades surge la necesidad de un acompañamiento legal y lastimosamente no lo encuentran de parte de ninguna entidad. Respecto a lo público también me llama la atención llegar a desempeñarme como juez velando siempre por los derechos y la seguridad de todos los actores sociales, esto en vista de que se haga justicia y asegurándome de que todas las personas involucradas en los casos llevados por mi sean tratadas con respeto y dignidad, para no incurrir en situaciones comunes como la revictimización y la impunidad frente a pruebas evidentes. _x000a_Si bien actualmente me visualizo en el sector público, los seres humanos estamos en constante crecimiento y aprendizaje y soy consciente de que mi rumbo puede cambiar, sin embargo, mi vocación y mis convicciones como los son ayudar al municipio en el que he vivido durante toda mi vida no van a cambiar y se que soy una líder con talento capaz de transformar las distintas realidades sociales en mi territorio."/>
    <s v="Referencias familiares"/>
    <s v="Proyección laboral."/>
    <s v="Vocación."/>
    <n v="3"/>
    <s v="1"/>
    <s v="SI"/>
    <s v="NO"/>
    <s v="Entre 10 y 11 millones"/>
    <s v="Si"/>
    <n v="0"/>
    <n v="0"/>
    <m/>
    <s v="SI"/>
    <s v="Beca"/>
    <s v="NO"/>
    <s v=""/>
    <s v=""/>
    <s v="Si"/>
    <s v="Oscar Andres Ocampo Gil"/>
    <m/>
    <m/>
    <m/>
    <s v="Vendedor informal"/>
    <s v="Trabajador informal"/>
    <s v="Vendedor"/>
    <s v="Distribuidora de dulces"/>
    <n v="1546000"/>
    <s v="Si"/>
    <m/>
    <m/>
    <s v=""/>
    <s v="Si"/>
    <s v="Sandra Patricia Orozco Giraldo"/>
    <s v="Casado"/>
    <s v="LINCENCIATURA"/>
    <s v="43"/>
    <s v="Emprendedora"/>
    <s v="Emprendedor (inicia un proyecto productivo o negocio propio)"/>
    <s v="Vendedora"/>
    <s v="Distribuidora de dulces"/>
    <n v="2000000"/>
    <s v="Si"/>
    <s v="SI"/>
    <s v="NO"/>
    <m/>
    <n v="3546000"/>
    <s v="Si"/>
    <s v="Gabriela Ocampo Orozco"/>
    <s v="Hermano / Hermana"/>
    <s v="8"/>
    <s v="Estudiante"/>
    <s v="Institución Educativa Pio XI"/>
    <n v="0"/>
    <s v="No"/>
    <s v=""/>
    <s v=""/>
    <s v=""/>
    <s v=""/>
    <s v=""/>
    <m/>
    <s v=""/>
    <s v=""/>
    <s v=""/>
    <s v=""/>
    <s v=""/>
    <s v=""/>
    <m/>
    <s v=""/>
    <s v=""/>
    <n v="0"/>
    <n v="0"/>
    <n v="0"/>
    <n v="0"/>
    <n v="0"/>
    <s v="Si"/>
    <s v="Chevrolet"/>
    <s v="2009"/>
    <n v="18000000"/>
    <s v="No"/>
    <s v=""/>
    <s v=""/>
    <n v="0"/>
    <s v="No"/>
    <s v=""/>
    <s v=""/>
    <s v=""/>
    <n v="0"/>
    <m/>
    <n v="4"/>
    <n v="4"/>
    <n v="3"/>
    <n v="4"/>
    <n v="4"/>
    <n v="4"/>
    <n v="4"/>
    <n v="3"/>
    <n v="3"/>
    <n v="4"/>
    <n v="37"/>
    <s v="SI"/>
    <m/>
    <s v="SI, SON PRI"/>
    <s v="ok tienen todos los datos"/>
    <e v="#N/A"/>
    <e v="#N/A"/>
    <m/>
    <n v="2"/>
    <n v="10"/>
    <n v="8"/>
    <n v="15"/>
    <n v="10"/>
    <n v="15"/>
    <n v="5"/>
    <n v="18.5"/>
    <n v="17"/>
    <n v="72"/>
    <n v="0.5"/>
    <m/>
    <n v="3.5"/>
    <n v="3.5"/>
    <n v="6"/>
    <n v="4"/>
    <n v="3.5"/>
    <n v="3.5"/>
    <n v="7"/>
    <n v="4.5"/>
    <n v="71.5"/>
    <n v="0.7"/>
    <n v="0.7"/>
    <e v="#N/A"/>
    <m/>
    <m/>
    <n v="0"/>
    <m/>
    <m/>
    <s v="Derecho"/>
    <e v="#N/A"/>
    <s v="084"/>
    <e v="#N/A"/>
  </r>
  <r>
    <s v="TI"/>
    <n v="1037044467"/>
    <s v="1000397124"/>
    <s v="CRISTIAN DAVID ARANGO URREGO"/>
    <s v="Estudios por primera vez"/>
    <x v="1"/>
    <s v="Descartado por ingresos altos"/>
    <m/>
    <s v="En publico objetivo"/>
    <s v="2da Cohorte"/>
    <s v="Admitido"/>
    <s v="cdarangou@eafit.edu.co"/>
    <s v="cdarangou@eafit.edu.co"/>
    <s v="cdarangou@eafit.edu.co"/>
    <s v="573027743028"/>
    <d v="2025-05-16T00:00:00"/>
    <s v="Activo en Programa"/>
    <s v="240-Diseño Urbano y Gesti Hábitat"/>
    <s v="E Ciencias Aplic e Ingeniería"/>
    <d v="2007-05-20T00:00:00"/>
    <n v="18"/>
    <s v="Antioquia"/>
    <s v="San José De La Montaña"/>
    <s v="Hombre"/>
    <s v="Soltero"/>
    <s v="SI"/>
    <s v="NO"/>
    <n v="0"/>
    <s v="NO"/>
    <s v="NA"/>
    <s v="NO"/>
    <s v="NA"/>
    <s v="NO"/>
    <s v="NA"/>
    <s v="No"/>
    <s v="302/774-3028"/>
    <s v="573027743028"/>
    <s v="Estrato 2"/>
    <s v="SAN JOSÉ DE LA MONTAÑA"/>
    <s v="Antioquia"/>
    <s v="San José De La Montaña"/>
    <s v="Si"/>
    <s v="Familiar"/>
    <s v="SI"/>
    <s v="2024"/>
    <s v="AC202436731699"/>
    <n v="333"/>
    <n v="71"/>
    <n v="67"/>
    <s v="Pública"/>
    <s v="Institución Educativa Francisco Abel Gallego"/>
    <n v="2024"/>
    <m/>
    <s v="San José De La Montaña"/>
    <s v="Bachillerato"/>
    <s v="Técnico"/>
    <m/>
    <s v="11"/>
    <s v="Escala de 0 - 5"/>
    <s v="Escala de 0 - 5"/>
    <s v="4"/>
    <s v="4,1"/>
    <m/>
    <s v="4"/>
    <s v="4,6"/>
    <m/>
    <n v="3.7"/>
    <n v="5"/>
    <m/>
    <n v="4.8"/>
    <n v="4.8"/>
    <m/>
    <s v="4,6"/>
    <s v="5"/>
    <m/>
    <s v="5"/>
    <s v="5"/>
    <m/>
    <s v="4,3"/>
    <s v="5"/>
    <m/>
    <s v="De 9 y 10"/>
    <n v="4.5750000000000002"/>
    <s v="NO"/>
    <s v="NA"/>
    <n v="0"/>
    <n v="0"/>
    <s v="No"/>
    <n v="50"/>
    <m/>
    <n v="50"/>
    <m/>
    <n v="50"/>
    <m/>
    <m/>
    <n v="50"/>
    <s v="Con detalle por componente"/>
    <s v="Artísticas o culturales,Espacios de liderazgo o representación social,Otras (por ejemplo, un talento extraordinario)"/>
    <s v="Soy Cristian, un joven soñador, apasionado por el arte, el cuidado del medio ambiente, la innovación y la tecnología, que ha vivido en los campos de San José de la Montaña toda su vida y que conoce los grandes desafíos y las enormes oportunidades de este hermoso territorio. Mi visión y mi misión a través del pregrado de Diseño Urbano y Gestión del Hábitat es convertirme en un agente de cambio comprometido con el desarrollo sostenible, inclusivo y respetuoso con el entorno natural._x000a__x000a_Este es para mí, más que un trabajo, una pasión y una vocación; sé que a través de este pregrado tendré la oportunidad de fortalecer mis conocimientos y adquirir nuevas herramientas que me lleven de nuevo a mi querido pueblo, con una visión más amplía e innovadora. Este pequeño municipio, rodeado de montañas, naturaleza impactante, y reconocido por su producción lechera, representa para mí un lienzo lleno de posibilidades. Deseo contribuir a su transformación y evolución mediante proyectos que fomenten el turismo ecológico, mejoren la movilidad rural, valoren el patrimonio natural, y promuevan el desarrollo económico sin perder su esencia comunitaria._x000a__x000a_Sueño con diseñar espacios que conecten a las personas con su territorio, crear infraestructuras que mejoren la calidad de vida de las personas, priorizando de igual manera la grandiosa fauna y flora que habita en este lugar creador de vida. Quiero dejar mi huella en el municipio, la región y el país que me vio nacer, promoviendo espacios funcionales, atractivos y adaptados a las necesidades sociales, culturales y ambientales de cada comunidad._x000a_ _x000a_Esta beca es una puerta para capacitarme, pero también un compromiso para regresar y construir un futuro más justo, digno y armonioso para San José de la Montaña y muchos lugares más."/>
    <s v="Referencias familiares"/>
    <s v="Internacionalización."/>
    <s v="Vocación."/>
    <n v="3"/>
    <s v="1"/>
    <s v="SI"/>
    <s v="NO"/>
    <s v="Entre 8 y 9 millones"/>
    <s v="Si"/>
    <n v="0"/>
    <n v="0"/>
    <m/>
    <s v="SI"/>
    <s v="Beca"/>
    <s v="NO"/>
    <m/>
    <m/>
    <s v="Si"/>
    <s v="Cristian Alberto Arango Lopera"/>
    <s v="Casado"/>
    <s v="BACHILLERATO"/>
    <s v="61"/>
    <s v="Agricultor"/>
    <s v="Independiente (trabaja por cuenta propia)"/>
    <s v="Trabajador"/>
    <s v="Finca La Camelia"/>
    <n v="8000000"/>
    <s v="No"/>
    <s v="SI"/>
    <s v="NO"/>
    <s v=""/>
    <s v="Si"/>
    <s v="Dioni Arelis Urrego Monsalve"/>
    <s v="Otro"/>
    <s v="BACHILLERATO"/>
    <s v="46"/>
    <s v="ama de casa"/>
    <s v="Labores del hogar y cuidado"/>
    <s v="Ama de casa"/>
    <s v="Finca La Camelia"/>
    <n v="0"/>
    <s v="No"/>
    <s v="NO"/>
    <s v="NO"/>
    <m/>
    <n v="8000000"/>
    <s v="No, vivo solo"/>
    <s v=""/>
    <s v=""/>
    <s v=""/>
    <s v=""/>
    <s v=""/>
    <m/>
    <s v=""/>
    <s v=""/>
    <s v=""/>
    <s v=""/>
    <s v=""/>
    <s v=""/>
    <m/>
    <s v=""/>
    <s v=""/>
    <s v=""/>
    <s v=""/>
    <s v=""/>
    <s v=""/>
    <m/>
    <s v=""/>
    <s v=""/>
    <n v="60000000"/>
    <n v="0"/>
    <n v="200000000"/>
    <n v="0"/>
    <n v="0"/>
    <s v="No"/>
    <s v=""/>
    <s v=""/>
    <n v="0"/>
    <s v="No"/>
    <s v=""/>
    <s v=""/>
    <n v="0"/>
    <s v="No"/>
    <s v=""/>
    <s v=""/>
    <s v=""/>
    <n v="0"/>
    <m/>
    <n v="3"/>
    <n v="4"/>
    <n v="3"/>
    <n v="4"/>
    <n v="4"/>
    <n v="3"/>
    <n v="4"/>
    <n v="4"/>
    <n v="4"/>
    <n v="4"/>
    <n v="37"/>
    <s v="SI"/>
    <s v="SI, TIPO IE"/>
    <s v="PRI SIN TIPO IE"/>
    <s v="pendiente tipo ie"/>
    <e v="#N/A"/>
    <e v="#N/A"/>
    <m/>
    <n v="2"/>
    <n v="10"/>
    <n v="10"/>
    <n v="10"/>
    <n v="20"/>
    <n v="15"/>
    <n v="20"/>
    <n v="11"/>
    <n v="11"/>
    <n v="86"/>
    <n v="0.4"/>
    <m/>
    <n v="3.5"/>
    <n v="3.5"/>
    <n v="1"/>
    <n v="3"/>
    <n v="3.5"/>
    <n v="3.5"/>
    <n v="1"/>
    <n v="3"/>
    <n v="86"/>
    <n v="0.4"/>
    <n v="0.5"/>
    <e v="#N/A"/>
    <m/>
    <m/>
    <s v="SI, TIPO IE"/>
    <m/>
    <m/>
    <s v="Diseño Urbano y Gesti Hábitat"/>
    <e v="#N/A"/>
    <m/>
    <e v="#N/A"/>
  </r>
  <r>
    <s v="TI"/>
    <n v="1037122867"/>
    <s v="1000104983"/>
    <s v="LEONARDO GOMEZ VALENCIA"/>
    <s v="Estudios por primera vez"/>
    <x v="1"/>
    <s v="Descartado por notas"/>
    <m/>
    <s v="En publico objetivo"/>
    <s v="1er Cohorte"/>
    <s v="Admitido"/>
    <s v="lgomezv10@eafit.edu.co"/>
    <s v="lgomezv10@eafit.edu.co"/>
    <s v="leogomval24@gmail.com"/>
    <s v="312/613-1523"/>
    <d v="2025-04-25T00:00:00"/>
    <s v="Activo en Programa"/>
    <s v="001-Administración de Negocios"/>
    <s v="Escuela de Administración"/>
    <d v="2007-07-24T00:00:00"/>
    <n v="18"/>
    <s v="Antioquia"/>
    <s v="Apartadó"/>
    <s v="Hombre"/>
    <s v="Soltero"/>
    <s v="NO"/>
    <s v="NO"/>
    <n v="0"/>
    <s v="NO"/>
    <s v="NA"/>
    <s v="NO"/>
    <s v="NA"/>
    <s v="NO"/>
    <s v="NA"/>
    <s v="No"/>
    <s v="312/613-1523"/>
    <s v="NA"/>
    <s v="Estrato 3"/>
    <s v="DG 99 A #111 74"/>
    <s v="Antioquia"/>
    <s v="Apartadó"/>
    <s v="Si"/>
    <s v="Propio"/>
    <s v="SI"/>
    <s v="2024"/>
    <s v="AC202437821010"/>
    <n v="375"/>
    <n v="77"/>
    <n v="75"/>
    <s v="Privada"/>
    <s v="INSTITUTO UNIBAN"/>
    <n v="2024"/>
    <s v="Antioquia"/>
    <s v="Apartadó"/>
    <s v="BACHILLER"/>
    <s v="ACAD"/>
    <s v="TIPO: Privada, INSTITUCION: INSTITUTO UNIBAN, AÑO: 2024, CIUDAD: Apartadó, TITULO: BACHILLER"/>
    <s v="11"/>
    <s v="Escala de 0 - 5"/>
    <s v="Escala de 0 - 5"/>
    <s v="3,9"/>
    <s v="4,2"/>
    <m/>
    <s v="3,9"/>
    <s v="4,2"/>
    <m/>
    <n v="3.7"/>
    <n v="4"/>
    <m/>
    <n v="4.3"/>
    <n v="4.2"/>
    <m/>
    <s v="4,1"/>
    <s v="4"/>
    <m/>
    <s v="4,4"/>
    <s v="4"/>
    <m/>
    <s v="4,5"/>
    <s v="4,6"/>
    <m/>
    <s v="De 9 y 10"/>
    <n v="4.05"/>
    <s v="NO"/>
    <s v="NA"/>
    <n v="0"/>
    <n v="0"/>
    <s v="No"/>
    <n v="50"/>
    <m/>
    <n v="50"/>
    <m/>
    <n v="50"/>
    <m/>
    <s v="Aspirante vive en Urabá. 17 años. Le gusta el trabajo social, practica el basketball, emprendedor (negocio de lavado de zapatos y venta de pulseras bañadas en oro). Es capitán el equipo de basket. No mucha relación con el papá, quien tiene su propia familia; básicamente ayuda económicamente. Mamá desempleada en este momento, sus trabajos han estado relacionados con el sector público. En el colegio fue personero y representante de su grupo. Presidente de la plataforma de juventud de Urabá. Creo la corporación Ultabasket Élite para ayudar a estudiantes a participar en torneos nacionales. Admon. porque es consciente que para poder ayudar a los demás, primero debe ayudarse y capacitarse él mismo. En las diferentes actividades que tiene en Urabá, tiene planteado cual sería el plan de sucesión una vez se venga a MDE a estudiar. Siempre ha estado rodeado de empresas de la región y con compañeros que las compañías de sus familias le han permitido conocerlas. EAFIT por su excelencia académica, reconocimiento, instalaciones, entorno empresarial en el que se encuentra. Habla bien el inglés. Del pensum le parece muy interesante la parte de Finanzas Personales. Aspira a Beca Talento."/>
    <n v="50"/>
    <s v="Con detalle por componente"/>
    <s v="Deportistas de alto rendimiento o representativo,Espacios de liderazgo o representación social,Trabajo social o comunitario"/>
    <s v="Me veo ejerciendo la Administración de Negocios como un profesional que entiende que lo primero para cambiar una realidad es crear valor económico. Creo que una empresa bien orientada produce dinero y abre puertas a la inclusión, el desarrollo y el progreso colectivo. Desde joven mostré liderazgo y vocación de servicio: fui elegido por voto como presidente de la Plataforma Municipal de Juventud de Apartadó, donde represento a muchos jóvenes y trabajo con distintas personas para lograr cosas buenas para las comunidades._x000a__x000a_A pesar de mi edad y siendo aún bachiller, fundé y lideré una organización deportiva en Urabá, donde el deporte, especialmente el baloncesto, ha sido históricamente relegado. Gracias a mi gestión de recursos con empresarios locales, logramos participar en la Copa Internacional Promesas en Medellín, donde quedamos subcampeones. Fue la primera vez en la historia que un equipo de nuestra zona alcanzaba tal logro. Esa experiencia me enseñó a planear, negociar y actuar con responsabilidad, pero sobre todo, que soñando en grande y con determinación se pueden lograr grandes cosas._x000a__x000a_Me veo creando empresas deportivas en Urabá, que generen ingresos y empleo, y que profesionalicen el talento local para ofrecer alternativas reales a jóvenes en riesgo. El deporte tiene un poder inmenso para inspirar, crear y transformar, pero necesita estructura, una visión empresarial y apoyo más allá de las palabras._x000a__x000a_La beca Talento sería la ayuda que necesito para formarme en EAFIT, la universidad que he admirado profundamente desde hace seis años. Ahí quiero aprender lo necesario para regresar a mi región y construir empresas que cambien vidas. Creo que un buen administrador primero crea valor y luego lo convierte en oportunidades para mejorar su entorno y ayudar a otros a salir adelante."/>
    <s v="Página WEB"/>
    <s v="Por la calidad académica."/>
    <s v="Nivel académico de docentes."/>
    <n v="1"/>
    <s v="0"/>
    <s v="NO"/>
    <s v="NO"/>
    <s v="Entre 2 y 3 millones"/>
    <s v="No"/>
    <n v="0"/>
    <n v="0"/>
    <m/>
    <s v="SI"/>
    <s v="Beca"/>
    <s v="NO"/>
    <s v=""/>
    <s v=""/>
    <s v="Si"/>
    <s v="Freddy Leonardo Gómez Jaramillo"/>
    <s v="Casado"/>
    <s v="UNIVERSITARIOS"/>
    <s v="60"/>
    <s v="Abogado"/>
    <s v="Independiente (trabaja por cuenta propia)"/>
    <s v="Litigante"/>
    <s v="Ninguna"/>
    <n v="0"/>
    <s v="No"/>
    <s v="NO"/>
    <s v="NO"/>
    <s v=""/>
    <s v="Si"/>
    <s v="Paula Andrea Valencia Román"/>
    <s v="Otro"/>
    <s v="ESPECIALIZACIÓN"/>
    <s v="47"/>
    <s v="Profesional en Desarrollo Familiar."/>
    <s v="Independiente (trabaja por cuenta propia)"/>
    <s v="Comisionista"/>
    <s v="NINGUNA"/>
    <n v="3000000"/>
    <s v="Si"/>
    <s v="SI"/>
    <s v="SI"/>
    <s v="Mujer administradora del hogar con gran sentido de responsabilidad del hijo"/>
    <n v="3000000"/>
    <s v="No, solo vivo con mis padres"/>
    <s v=""/>
    <s v=""/>
    <s v=""/>
    <s v=""/>
    <s v=""/>
    <m/>
    <s v=""/>
    <s v=""/>
    <s v=""/>
    <s v=""/>
    <s v=""/>
    <s v=""/>
    <m/>
    <s v=""/>
    <s v=""/>
    <s v=""/>
    <s v=""/>
    <s v=""/>
    <s v=""/>
    <m/>
    <s v=""/>
    <s v=""/>
    <n v="197000000"/>
    <n v="190000000"/>
    <n v="0"/>
    <n v="0"/>
    <n v="0"/>
    <s v="No"/>
    <s v=""/>
    <s v=""/>
    <n v="0"/>
    <s v="No"/>
    <s v=""/>
    <s v=""/>
    <n v="0"/>
    <s v="Si"/>
    <s v="Moto"/>
    <s v="Honda"/>
    <s v="2021"/>
    <n v="7000000"/>
    <s v="Casa en buen estado y moto en buen estado."/>
    <n v="4"/>
    <n v="4"/>
    <n v="4"/>
    <n v="4"/>
    <n v="3"/>
    <n v="4"/>
    <n v="3"/>
    <n v="4"/>
    <n v="4"/>
    <n v="4"/>
    <n v="38"/>
    <s v="SI"/>
    <m/>
    <s v="SI, SON PRI"/>
    <s v="ok tienen todos los datos"/>
    <e v="#N/A"/>
    <e v="#N/A"/>
    <m/>
    <n v="3"/>
    <n v="10"/>
    <n v="8"/>
    <n v="15"/>
    <n v="15"/>
    <n v="15"/>
    <n v="20"/>
    <n v="12.5"/>
    <n v="12.5"/>
    <n v="87.5"/>
    <n v="0.4"/>
    <m/>
    <n v="2"/>
    <n v="2.5"/>
    <n v="8"/>
    <n v="0"/>
    <n v="2"/>
    <n v="2.5"/>
    <n v="8"/>
    <n v="0"/>
    <n v="85.5"/>
    <n v="0.4"/>
    <n v="0.5"/>
    <e v="#N/A"/>
    <m/>
    <m/>
    <n v="0"/>
    <m/>
    <m/>
    <s v="Administración de Negocios"/>
    <e v="#N/A"/>
    <s v="001"/>
    <e v="#N/A"/>
  </r>
  <r>
    <s v="TI"/>
    <n v="1037389623"/>
    <s v="1000404797"/>
    <s v="MARIA YINELA GOMEZ GOMEZ"/>
    <s v="Estudios por primera vez"/>
    <x v="1"/>
    <s v="Descartado por prueba y pre"/>
    <m/>
    <s v="En publico objetivo"/>
    <s v="2da Cohorte"/>
    <s v="Admitido"/>
    <s v="mygomez@eafit.edu.co"/>
    <e v="#N/A"/>
    <s v="feriam010@gmail.com"/>
    <s v="573233385754"/>
    <d v="2025-05-16T00:00:00"/>
    <s v="Activo en Programa"/>
    <s v="002-Negocios Internacionales"/>
    <s v="Escuela de Administración"/>
    <d v="2007-12-07T00:00:00"/>
    <n v="18"/>
    <s v="Casanare"/>
    <s v="Sabanalarga"/>
    <s v="Mujer"/>
    <s v="Soltero"/>
    <s v="NO"/>
    <s v="SI"/>
    <s v="Sabanalarga"/>
    <s v="NO"/>
    <s v="NA"/>
    <s v="NO"/>
    <s v="NA"/>
    <s v="NO"/>
    <s v="NA"/>
    <s v="No"/>
    <s v="604 5983999"/>
    <s v="573233385754"/>
    <s v="Estrato 3"/>
    <s v="CR 39#47 SUR 46"/>
    <s v="Antioquia"/>
    <s v="Envigado"/>
    <s v="No aplica, no soy foráneo"/>
    <s v="Arriendo"/>
    <s v="SI"/>
    <s v="2024"/>
    <s v="AC202437040553"/>
    <n v="328"/>
    <n v="63"/>
    <n v="67"/>
    <s v="Pública"/>
    <s v="INSTITUCION EDUCATIVA LA PAZ"/>
    <n v="2024"/>
    <s v="Antioquia"/>
    <s v="Envigado"/>
    <s v="BACHILLER"/>
    <s v="ACAD"/>
    <s v="TIPO: Pública, INSTITUCION: INSTITUCION EDUCATIVA LA PAZ, AÑO: 2024, CIUDAD: Envigado, TITULO: BACHILLER"/>
    <s v="11"/>
    <s v="Escala de 0 - 5"/>
    <s v="Escala de 0 - 5"/>
    <s v="4"/>
    <s v="4"/>
    <m/>
    <s v="4"/>
    <s v="4,5"/>
    <m/>
    <n v="4"/>
    <n v="4"/>
    <m/>
    <n v="4.5"/>
    <n v="4"/>
    <m/>
    <s v="4"/>
    <s v="4,5"/>
    <m/>
    <s v="3,7"/>
    <s v="4"/>
    <m/>
    <s v="4"/>
    <s v="4,5"/>
    <m/>
    <s v="De 9 y 10"/>
    <n v="4.125"/>
    <s v="NO"/>
    <s v="NA"/>
    <n v="0"/>
    <n v="0"/>
    <s v="No"/>
    <n v="45"/>
    <m/>
    <n v="45"/>
    <m/>
    <n v="45"/>
    <m/>
    <m/>
    <n v="45"/>
    <s v="Con detalle por componente"/>
    <s v="Espacios de liderazgo o representación social"/>
    <s v="Me visualizo trabajando en una empresa multinacional o en un centro de innovacion y negocios, ademas seguiria capacitandome aprendiendo idiomas, fortaleciendo mis habilidades comerciales y publicitarias con el fin de trabajar en el exterior. A traves de la obtencion de la beca al finalizar mi carrera planeo brindar asesorias a micro empresas y emprendimientos que busquen expandir su comercio a traves de la internacionalizacion,Me encantaria poder participar en ferias de innovacion  y desarrollo destinada a  los jovenes y aprovechar las diferentes oportunidades de crecimiento.Por ultimo me gustaria unirme a espacios de talleres de formacion sobre comercio exterior y apoyo a proyectos juveniles de emprendimiento, Pero mas alla de eso, pienso que una manera mas visionaria de inspirar a mi comunidad seria incentivando al desarrollo personal  y profesional de cada persona, demostar que sí pueden lograr lo que se propongan con esfuerzo, Que nada es imposible, desde a un familiar hasta un  desconocido. Mi mayor meta seria ser un modelo de que todo es posible para mi comunidad, ser una de esas personas que Inspiran a los demas a intentar cumplir sus sueños."/>
    <s v="Redes sociales"/>
    <s v="Internacionalización."/>
    <s v="Vocación."/>
    <n v="3"/>
    <s v="1"/>
    <s v="SI"/>
    <s v="NO"/>
    <s v="Entre 1 y 2 millones"/>
    <s v="No"/>
    <n v="0"/>
    <n v="0"/>
    <m/>
    <s v="SI"/>
    <s v="Beca"/>
    <s v="NO"/>
    <s v=""/>
    <s v=""/>
    <s v="Si"/>
    <s v="Abelardo de Jesus Gomez Carmona"/>
    <s v="Soltero"/>
    <s v="PRIMARIA"/>
    <s v="43"/>
    <s v="Encargado de Obra"/>
    <s v="Empleado (con contrato laboral)"/>
    <s v="Albañil"/>
    <s v="Enchapes y Acabados JCL S.A.S"/>
    <n v="2500000"/>
    <s v="Si"/>
    <s v="SI"/>
    <s v="NO"/>
    <s v=""/>
    <s v="Si"/>
    <s v="Yudi Alejandra Gomez Feria"/>
    <s v="Soltero"/>
    <s v="BACHILLERATO"/>
    <s v="18"/>
    <s v="ama de casa"/>
    <s v="Labores del hogar y cuidado"/>
    <s v="Labores del hogar"/>
    <s v="N/A"/>
    <n v="0"/>
    <s v="Si"/>
    <s v="NO"/>
    <s v="NO"/>
    <m/>
    <n v="2500000"/>
    <s v="Si"/>
    <s v="Maximiliano Gomez Gomez"/>
    <s v="Hermano / Hermana"/>
    <s v="13"/>
    <s v="Estudiante secundaria"/>
    <s v="Institucion Educativa La Paz"/>
    <n v="0"/>
    <s v="No"/>
    <s v=""/>
    <s v=""/>
    <s v=""/>
    <s v=""/>
    <s v=""/>
    <m/>
    <s v=""/>
    <s v=""/>
    <s v=""/>
    <s v=""/>
    <s v=""/>
    <s v=""/>
    <m/>
    <s v=""/>
    <s v=""/>
    <n v="0"/>
    <n v="0"/>
    <n v="0"/>
    <n v="0"/>
    <n v="0"/>
    <s v="No"/>
    <s v=""/>
    <s v=""/>
    <n v="0"/>
    <s v="No"/>
    <s v=""/>
    <s v=""/>
    <n v="0"/>
    <s v="No"/>
    <s v=""/>
    <s v=""/>
    <s v=""/>
    <n v="0"/>
    <m/>
    <n v="4"/>
    <n v="3"/>
    <n v="3"/>
    <n v="3"/>
    <n v="4"/>
    <n v="4"/>
    <n v="4"/>
    <n v="3"/>
    <n v="3"/>
    <n v="4"/>
    <n v="35"/>
    <s v="SI"/>
    <m/>
    <s v="SI, SON PRI"/>
    <s v="ok tienen todos los datos"/>
    <e v="#N/A"/>
    <e v="#N/A"/>
    <m/>
    <n v="3"/>
    <n v="10"/>
    <n v="8"/>
    <n v="5"/>
    <n v="15"/>
    <n v="15"/>
    <n v="15"/>
    <n v="20"/>
    <n v="20"/>
    <n v="80"/>
    <s v="80 - 100%"/>
    <m/>
    <n v="3.5"/>
    <n v="4.5"/>
    <n v="8"/>
    <n v="4"/>
    <n v="3.5"/>
    <n v="4"/>
    <n v="8"/>
    <n v="4.5"/>
    <n v="78"/>
    <s v="80 - 100%"/>
    <n v="1"/>
    <e v="#N/A"/>
    <s v="se sube para tener 1 beca del 100% en el pregrado"/>
    <m/>
    <n v="0"/>
    <m/>
    <m/>
    <s v="Negocios Internacionales"/>
    <e v="#N/A"/>
    <s v="002"/>
    <e v="#N/A"/>
  </r>
  <r>
    <s v="CC"/>
    <n v="1037499789"/>
    <s v="1000407537"/>
    <s v="SHERYL ASTRID MURILLO DUQUE"/>
    <s v="Estudios por primera vez"/>
    <x v="1"/>
    <s v="Descartado por notas"/>
    <m/>
    <s v="En publico objetivo"/>
    <s v="2da Cohorte"/>
    <s v="Admitido"/>
    <s v="samurillod@eafit.edu.co"/>
    <e v="#N/A"/>
    <s v="sherylmu18@gmail.com"/>
    <s v="573148471521"/>
    <d v="2025-05-16T00:00:00"/>
    <s v="Activo en Programa"/>
    <s v="010-Ingeniería de Sistemas"/>
    <s v="E Ciencias Aplic e Ingeniería"/>
    <d v="2006-12-18T00:00:00"/>
    <n v="18"/>
    <s v="Antioquia"/>
    <s v="San Roque"/>
    <s v="Mujer"/>
    <s v="Soltero"/>
    <s v="NO"/>
    <s v="NO"/>
    <n v="0"/>
    <s v="NO"/>
    <s v="NA"/>
    <s v="NO"/>
    <s v="NA"/>
    <s v="NO"/>
    <s v="NA"/>
    <s v="No"/>
    <s v="320/689-0814"/>
    <s v="573148471521"/>
    <s v="Estrato 3"/>
    <s v="calle 48 #94-88"/>
    <s v="Antioquia"/>
    <s v="Medellín"/>
    <s v="No aplica, no soy foráneo"/>
    <s v="Arriendo"/>
    <s v="SI"/>
    <s v="2023"/>
    <s v="AC202341005602"/>
    <n v="320"/>
    <n v="69"/>
    <n v="64"/>
    <s v="Privada"/>
    <s v="LIC SALAZAR Y HERRERA"/>
    <n v="2023"/>
    <s v="Antioquia"/>
    <s v="Medellín"/>
    <s v="BACHILLER"/>
    <s v="ACAD"/>
    <s v="TIPO: Privada, INSTITUCION: LIC SALAZAR Y HERRERA, AÑO: 2023, CIUDAD: Medellín, TITULO: BACHILLER"/>
    <s v="11"/>
    <s v="Escala de 0 - 5"/>
    <s v="Escala de 0 - 5"/>
    <s v="4"/>
    <s v="4"/>
    <m/>
    <s v="4"/>
    <s v="4"/>
    <m/>
    <n v="4.5"/>
    <n v="3.9"/>
    <m/>
    <n v="4.7"/>
    <n v="4.4000000000000004"/>
    <m/>
    <s v="4,5"/>
    <s v="4,5"/>
    <m/>
    <s v="5"/>
    <s v="5"/>
    <m/>
    <s v="4"/>
    <s v="4"/>
    <m/>
    <s v="De 9 y 10"/>
    <n v="4.375"/>
    <s v="NO"/>
    <s v="NA"/>
    <n v="0"/>
    <n v="0"/>
    <s v="No"/>
    <n v="40"/>
    <m/>
    <n v="50"/>
    <m/>
    <n v="45"/>
    <m/>
    <s v="Estudiante con estudios técnicos en desarrollo de software, con una convicción fuerte en su decisión de estudiar este pregrado, muestra buen desempeño en la entrevista"/>
    <n v="45"/>
    <s v="Con detalle por componente"/>
    <s v="Artísticas o culturales"/>
    <s v="Cuando sea una ingeniera de sistemas, me veo trabajando en el área de la inteligencia artificial y ciber seguridad, donde proteja información y sistemas, así como desarrollar soluciones para resolver problemas de una forma muy innovadora. Me entusiasma mucho el hecho de poder crear sistemas muy seguros que permita resolver no solo los problemas actuales, sino también prevenir posibles amenazas que le puedan surgir a las organizaciones y empresas de mi región, y así, de esta forma mejorar y actualizarse en un entorno más digital._x000a_Estudiando con una beca en la universidad EAFIT voy a recibir una educación de alta calidad, adquiriendo conocimientos y habilidades que me hagan sobresalir en mi campo laboral, aplicándolo en proyectos que beneficien al desarrollo tecnológico de mi entorno y región. Me apasiona demasiado tener la oportunidad de hacer una diferencia positiva a mi lugar de origen y en mi ámbito profesional._x000a_Estoy segura de que la tecnología tiene el potencial de cambiar la sociedad de una forma muy positiva y por esta razón quiero ser una profesional altamente capacitada para hacer parte esta transformación, desarrollando soluciones y proyectos que de forma sostenible, segura y eficiente generen gran impacto a la vida y al futuro."/>
    <s v="Sin informacion"/>
    <s v="Sin informacion"/>
    <s v="Sin informacion"/>
    <n v="1"/>
    <s v="0"/>
    <s v="SI"/>
    <s v="NO"/>
    <s v="Entre 1 y 2 millones"/>
    <s v="Si"/>
    <n v="0"/>
    <n v="0"/>
    <m/>
    <s v="SI"/>
    <s v="Patrocinio empresarial"/>
    <s v="NO"/>
    <s v=""/>
    <s v=""/>
    <s v="Sin información"/>
    <s v="OSCAR   MURILLO CAPERA"/>
    <s v="Casado"/>
    <s v="BACHILLERATO"/>
    <s v="45"/>
    <s v=""/>
    <s v=""/>
    <m/>
    <s v=""/>
    <m/>
    <s v=""/>
    <s v="NO"/>
    <s v="NO"/>
    <s v="No tengo contacto con mi papá desde que cumplí mi mayoría de edad."/>
    <s v="Si"/>
    <s v="Sorany Astrid Duque Tamayo"/>
    <s v="Casado"/>
    <s v="BACHILLERATO"/>
    <s v="45"/>
    <s v="Vendedor"/>
    <s v="Emprendedor (inicia un proyecto productivo o negocio propio)"/>
    <s v="Vendedor"/>
    <s v="Independiente"/>
    <n v="1500000"/>
    <s v="Si"/>
    <s v="NO"/>
    <s v="NO"/>
    <s v="Mi mamá es la única que me ayuda económicamente y académicamente."/>
    <n v="1500000"/>
    <s v="No, solo vivo con mis padres"/>
    <s v=""/>
    <s v=""/>
    <s v=""/>
    <s v=""/>
    <s v=""/>
    <m/>
    <s v=""/>
    <s v=""/>
    <s v=""/>
    <s v=""/>
    <s v=""/>
    <s v=""/>
    <m/>
    <s v=""/>
    <s v=""/>
    <s v=""/>
    <s v=""/>
    <s v=""/>
    <s v=""/>
    <m/>
    <s v=""/>
    <s v=""/>
    <n v="0"/>
    <n v="0"/>
    <n v="0"/>
    <n v="0"/>
    <n v="0"/>
    <s v="No"/>
    <s v=""/>
    <s v=""/>
    <n v="0"/>
    <s v="No"/>
    <s v=""/>
    <s v=""/>
    <n v="0"/>
    <s v="No"/>
    <s v=""/>
    <s v=""/>
    <s v=""/>
    <n v="0"/>
    <m/>
    <n v="4"/>
    <n v="4"/>
    <n v="3"/>
    <n v="4"/>
    <n v="4"/>
    <n v="4"/>
    <n v="4"/>
    <n v="4"/>
    <n v="3"/>
    <n v="4"/>
    <n v="38"/>
    <s v="SI"/>
    <m/>
    <s v="SI, SON PRI"/>
    <s v="ok tienen todos los datos"/>
    <e v="#N/A"/>
    <e v="#N/A"/>
    <m/>
    <n v="3"/>
    <n v="10"/>
    <n v="8"/>
    <n v="5"/>
    <n v="15"/>
    <n v="15"/>
    <n v="15"/>
    <n v="18.5"/>
    <n v="18.5"/>
    <n v="78.5"/>
    <n v="0.6"/>
    <m/>
    <n v="2"/>
    <n v="4.5"/>
    <n v="8"/>
    <n v="4"/>
    <n v="2"/>
    <n v="4"/>
    <n v="8"/>
    <n v="4.5"/>
    <n v="76.5"/>
    <n v="0.7"/>
    <n v="0.7"/>
    <e v="#N/A"/>
    <m/>
    <m/>
    <n v="0"/>
    <m/>
    <m/>
    <s v="Ingeniería de Sistemas"/>
    <e v="#N/A"/>
    <s v="010"/>
    <e v="#N/A"/>
  </r>
  <r>
    <s v="CC"/>
    <n v="1037776146"/>
    <s v="1000404708"/>
    <s v="DEYMER ESTIVEN URIBE JARAMILLO"/>
    <s v="Estudios por primera vez"/>
    <x v="1"/>
    <s v="Descartado por prueba y pre"/>
    <m/>
    <s v="En publico objetivo"/>
    <s v="1er Cohorte"/>
    <s v="Admitido"/>
    <s v="deuribej@eafit.edu.co"/>
    <e v="#N/A"/>
    <s v="deimer.uribe123@gmail.com"/>
    <s v="573113073060"/>
    <d v="2025-04-25T00:00:00"/>
    <s v="Activo en Programa"/>
    <s v="084-Derecho"/>
    <s v="Escuela de Derecho"/>
    <d v="2003-11-23T00:00:00"/>
    <n v="22"/>
    <s v="Antioquia"/>
    <s v="Ituango"/>
    <s v="Hombre"/>
    <s v="Soltero"/>
    <s v="SI"/>
    <s v="SI"/>
    <s v="Ituango"/>
    <s v="NO"/>
    <s v="NA"/>
    <s v="NO"/>
    <s v="NA"/>
    <s v="NO"/>
    <s v="NA"/>
    <s v="No"/>
    <s v="320/777-2463"/>
    <s v="573113073060"/>
    <s v="Estrato 3"/>
    <s v="CL 92 CC 67 09"/>
    <s v="Antioquia"/>
    <s v="Medellín"/>
    <s v="No aplica, no soy foráneo"/>
    <s v="Arriendo"/>
    <s v="SI"/>
    <s v="2024"/>
    <s v="AC202435071188"/>
    <n v="342"/>
    <n v="72"/>
    <n v="75"/>
    <s v="Privada"/>
    <s v="corporacion centro de desarrollo cendi"/>
    <n v="2024"/>
    <m/>
    <s v="Medellín"/>
    <s v="Bachillerato"/>
    <s v="Académico"/>
    <m/>
    <s v="11"/>
    <s v="Escala Desempeño"/>
    <s v="Escala de 0 - 5"/>
    <s v="4"/>
    <s v="4"/>
    <m/>
    <s v="4"/>
    <s v="5"/>
    <m/>
    <n v="4"/>
    <n v="4"/>
    <m/>
    <n v="4"/>
    <n v="4"/>
    <m/>
    <s v="4"/>
    <s v="4"/>
    <m/>
    <s v="4"/>
    <s v="4"/>
    <m/>
    <s v="4"/>
    <s v="4"/>
    <m/>
    <s v="De 9 y 10"/>
    <n v="4"/>
    <s v="NO"/>
    <s v="NA"/>
    <n v="0"/>
    <n v="0"/>
    <s v="No"/>
    <n v="45"/>
    <m/>
    <n v="45"/>
    <m/>
    <n v="45"/>
    <m/>
    <m/>
    <n v="45"/>
    <s v="Con detalle por componente"/>
    <s v="Espacios de liderazgo o representación social"/>
    <s v="Me veo como un consultor jurídico altamente competitivo respetando mis valores profesionales, asesorando todo tipo de empresas, actualizando mis clientes con las nuevas normativas financieras, otorgando soluciones pertinentes a disputas económicas, trabajando en equipo con las empresas para crear una seguridad jurídica financiera  sólida, procurando que mis asesorados tengan una correcta evolución hacia sistemas financieros más actuales, velar por la creación de contratos justos y ser firme con el cumpliento de ellos. Buscando  la conciliación de conflictos entre empresas y entes financieros.  Aunque mi obvia inclinación por el derecho y las finanzas se hace notar en mi escrito, no va opacar mis habilidades como un abogado integral egresado de la universidad EAFIT._x000a_ _x000a_Es una meta y soy consciente de lo fundamental que es la educación superior de calidad, una beca en EAFIT me permitiría dar un paso enorme hacia mi desarrollo personal y ayudar a destruir ese muro económico que aleja a jóvenes llenos de talento de la educación de calidad, ya cuando sea un abogado me comprometo a devolver con intereses el acto de confianza que tuvo el comité de becas y las empresas donantes, siendo un buen abogado, espero contribuir a la transparencia financiera,incentivando a la confianza y la inversión en nuestra región, transformando poco a poco a medellín en un lugar con garantías legales para la inversión,promoviendo la economía y la creación de empleos, haciendo crecer a medellín desde las empresas en desarrollo hasta los titanes antioqueños. ya como persona exitosa laboralmente me gustaría compartir mis conocimientos como abogado experimentado en la universidad,   Y donar  al futuro de los jóvenes que por dificultades económicas no pueden acceder a una educación superior,  que al igual que yo también se visualizó obteniendo una beca  en donde se crea,inspira y transforma, la universidad EAFIT"/>
    <s v="A través del Colegio"/>
    <s v="Proyección laboral."/>
    <s v="Vocación."/>
    <n v="5"/>
    <s v="4"/>
    <s v="SI"/>
    <s v="NO"/>
    <s v="Entre 1 y 2 millones"/>
    <s v="Si"/>
    <n v="0"/>
    <n v="0"/>
    <m/>
    <s v="SI"/>
    <s v="Beca"/>
    <s v="NO"/>
    <s v=""/>
    <s v=""/>
    <s v="No, fallecido"/>
    <n v="0"/>
    <m/>
    <m/>
    <m/>
    <s v=""/>
    <s v=""/>
    <m/>
    <s v=""/>
    <m/>
    <s v=""/>
    <m/>
    <m/>
    <s v="se murio cuando tenia 5 años"/>
    <s v="Si"/>
    <s v="Eider yomaira jaramillo preciado"/>
    <s v="Unión marital"/>
    <s v="BACHILLERATO"/>
    <s v="39"/>
    <s v="Confeccionista"/>
    <s v="Independiente (trabaja por cuenta propia)"/>
    <s v="dueña del taller"/>
    <s v="NO APLICA"/>
    <n v="2200000"/>
    <s v="Si"/>
    <s v="NO"/>
    <s v="NO"/>
    <m/>
    <n v="2200000"/>
    <s v="Si"/>
    <s v="emiliano vanegas jaramillo"/>
    <s v="Hermano / Hermana"/>
    <s v="9"/>
    <s v="Estudiante"/>
    <s v="i e republica la uruguay"/>
    <n v="0"/>
    <s v="No"/>
    <s v="emanuel vanegas jaramillo"/>
    <s v="Hermano / Hermana"/>
    <s v="10"/>
    <s v="Estudiante"/>
    <s v="i e republica uruguay"/>
    <n v="0"/>
    <s v="No"/>
    <s v="david vanegas jaramillo"/>
    <s v="Hermano / Hermana"/>
    <s v="6"/>
    <s v="Estudiante"/>
    <s v="i e republica la uruguay"/>
    <n v="0"/>
    <s v="No"/>
    <s v="somos 6 personas mi mama  mis 3 hermanos y una hermana"/>
    <n v="0"/>
    <n v="0"/>
    <n v="0"/>
    <n v="0"/>
    <n v="0"/>
    <s v="No"/>
    <s v=""/>
    <s v=""/>
    <n v="0"/>
    <s v="No"/>
    <s v=""/>
    <s v=""/>
    <n v="0"/>
    <s v="No"/>
    <s v=""/>
    <s v=""/>
    <s v=""/>
    <n v="0"/>
    <m/>
    <n v="4"/>
    <n v="4"/>
    <n v="3"/>
    <n v="4"/>
    <n v="2"/>
    <n v="4"/>
    <n v="3"/>
    <n v="3"/>
    <n v="4"/>
    <n v="3"/>
    <n v="34"/>
    <s v="SI"/>
    <s v="SI, TIPO IE"/>
    <s v="PRI SIN TIPO IE"/>
    <s v="ok se completa con info conv anterior"/>
    <s v="Negada"/>
    <n v="20251"/>
    <m/>
    <n v="2"/>
    <n v="10"/>
    <n v="8"/>
    <n v="10"/>
    <n v="15"/>
    <n v="10"/>
    <n v="15"/>
    <n v="18.5"/>
    <n v="18.5"/>
    <n v="78.5"/>
    <n v="0.6"/>
    <m/>
    <n v="2"/>
    <n v="4.5"/>
    <n v="8"/>
    <n v="4"/>
    <n v="2"/>
    <n v="4"/>
    <n v="8"/>
    <n v="4.5"/>
    <n v="76.5"/>
    <n v="0.7"/>
    <n v="0.7"/>
    <e v="#N/A"/>
    <m/>
    <m/>
    <s v="SI, TIPO IE"/>
    <m/>
    <m/>
    <s v="Derecho"/>
    <e v="#N/A"/>
    <s v="084"/>
    <e v="#N/A"/>
  </r>
  <r>
    <s v="TI"/>
    <n v="1038108444"/>
    <s v="1000380456"/>
    <s v="ISABELLA MORALES BENITEZ"/>
    <s v="Estudios por primera vez"/>
    <x v="1"/>
    <s v="Descartado por baja prioridad pregrado"/>
    <m/>
    <s v="En publico objetivo"/>
    <s v="3ra Cohorte"/>
    <s v="Admitido"/>
    <s v="imoralesb@eafit.edu.co"/>
    <s v="imoralesb@eafit.edu.co"/>
    <s v="isabellabenitez682@gmail.com"/>
    <s v="573108282658"/>
    <d v="2025-05-30T00:00:00"/>
    <s v="Activo en Programa"/>
    <s v="111-Ciencias Políticas"/>
    <s v="E.Finanzas, Economía, Gobierno"/>
    <d v="2007-12-18T00:00:00"/>
    <n v="17"/>
    <s v="Antioquia"/>
    <s v="Caucasia"/>
    <s v="Mujer"/>
    <s v="Soltero"/>
    <s v="NO"/>
    <s v="NO"/>
    <n v="0"/>
    <s v="NO"/>
    <s v="NA"/>
    <s v="NO"/>
    <s v="NA"/>
    <s v="NO"/>
    <s v="NA"/>
    <s v="No"/>
    <s v="311/390-7102"/>
    <s v="573108282658"/>
    <s v="Estrato 3"/>
    <s v="Calle 10B #23-62"/>
    <s v="Antioquia"/>
    <s v="Caucasia"/>
    <s v="Si"/>
    <s v="Propio"/>
    <s v="SI"/>
    <s v="2024"/>
    <s v="AC202432364214"/>
    <n v="353"/>
    <n v="73"/>
    <n v="70"/>
    <s v="Privada"/>
    <s v="COLEGIO LOS SAUCES"/>
    <n v="2024"/>
    <s v="Antioquia"/>
    <s v="Caucasia"/>
    <s v="BACHILLER"/>
    <s v="ACAD"/>
    <s v="TIPO: Privada, INSTITUCION: COLEGIO LOS SAUCES, AÑO: 2024, CIUDAD: Caucasia, TITULO: BACHILLER"/>
    <s v="11"/>
    <s v="Escala de 0 - 5"/>
    <s v="Escala de 0 - 5"/>
    <s v="3,8"/>
    <s v="4"/>
    <m/>
    <s v="4,1"/>
    <s v="4,5"/>
    <m/>
    <n v="4"/>
    <n v="3.7"/>
    <m/>
    <n v="4.5"/>
    <n v="3.8"/>
    <m/>
    <s v="4,2"/>
    <s v="4,1"/>
    <m/>
    <s v="5"/>
    <s v="5"/>
    <m/>
    <s v="5"/>
    <s v="4,3"/>
    <m/>
    <s v="De 9 y 10"/>
    <n v="4"/>
    <s v="NO"/>
    <s v="NA"/>
    <n v="0"/>
    <n v="0"/>
    <s v="No"/>
    <n v="50"/>
    <m/>
    <n v="45"/>
    <m/>
    <n v="45"/>
    <m/>
    <m/>
    <n v="46.666666666666664"/>
    <s v="Con detalle por componente"/>
    <s v="Artísticas o culturales,Espacios de liderazgo o representación social,Trabajo social o comunitario"/>
    <s v=" Como mujer oriunda del municipio de Caucasia, Antioquia un lugar reconocido por su riqueza en materias primas como el oro, cultivos pancoger, ganadería y porcinos, también una zona identificada por la violencia social, las desigualdades políticas, el trabajo informal y una economía que no favorece la estabilidad a nivel local para sus habitantes._x000a_Me visualizo como politóloga en organizaciones internacionales como la UNESCO y la ONU, porque se enfocan en realidades sociales características de mi región, lo cual es una oportunidad para potencializar mi formación académica con la práctica, que podré enfocar para aportar una mirada política objetiva que pueda logar una investigación y análisis sociopolítico de las problemáticas sociales que traen consigo la singularidad de algunos sectores económicos de la subregión del Bajo Cauca antioqueño. _x000a_Como politóloga formada integralmente en la universidad EAFIT, gracias a la beca Nutresa y la beca Talento EAFIT, quiero aportar a mi región de origen y brindar orientación a las entidades administrativas desde las organizaciones no gubernamentales para que pueden visibilizar situaciones sociales, económicas y políticas que no se les da la relevancia que merecen y que requieren una exposición significativa para lograr transformarla, un ejemplo es la vinculación de jóvenes a grupos al margen de la ley y expendio de drogas ilícitas por parte de los mismos, una situación que refleja la falta de visualización hacia los jóvenes en el municipio, por el limitado acceso a oportunidades académicas y laborales._x000a_Como politóloga de la Universidad EAFIT, mi propósito es apostar a la transformación de la subregión de Bajo Cauca desde organizaciones internacionales, visibilizando problemáticas ignoradas y proponiendo soluciones integrales para poblaciones excluidas. ¿Por qué no invertir en quienes queremos cambiar nuestras regiones desde el conocimiento y la acción política con compromiso social? Esta beca es una oportunidad para seguir construyendo ese camino."/>
    <s v="Amigos"/>
    <s v="Por la calidad académica."/>
    <s v="Vocación."/>
    <n v="2"/>
    <s v="1"/>
    <s v="NO"/>
    <s v="NO"/>
    <s v="Entre 1 y 2 millones"/>
    <s v="No"/>
    <n v="0"/>
    <n v="0"/>
    <m/>
    <s v="SI"/>
    <s v="Beca"/>
    <s v="NO"/>
    <s v=""/>
    <s v=""/>
    <s v="No, fallecido"/>
    <n v="0"/>
    <m/>
    <m/>
    <m/>
    <s v=""/>
    <s v=""/>
    <m/>
    <s v=""/>
    <m/>
    <s v=""/>
    <m/>
    <m/>
    <s v="Fue un conductor de diferentes vehiculos desde su juventud, trabajó para empresas como DAES y DISTRACOMmurió en el 2021 a la edad de 50 años a causa del Covid-19.Fue el proveedor principal del hogar hasta la fecha de su muerteNo estudio nunguna carrera universitaria"/>
    <s v="Si"/>
    <s v="Dina Luz Benitez Villalba"/>
    <s v="Otro"/>
    <s v="UNIVERSITARIOS"/>
    <s v="51"/>
    <s v="Contadora"/>
    <s v="Desempleado (Se encuentra en la búsqueda activa de empleo)"/>
    <s v="NA"/>
    <s v="NA"/>
    <n v="1600000"/>
    <s v="Si"/>
    <s v="SI"/>
    <s v="NO"/>
    <s v="es madre cabeza de familia, nos sostiene a mi hermana y a mi con actividades (comidas) cada 15 días y haciendo servicios de transportes en el área urbana, hace parte de la junta de acción comunal del barrio en el que vivimos"/>
    <n v="1600000"/>
    <s v="Si"/>
    <s v="Daniela Morales Benitez"/>
    <s v="Hermano / Hermana"/>
    <s v="24"/>
    <s v="profesional no graduado de trabajo social y desempleada"/>
    <s v="NA"/>
    <n v="0"/>
    <s v="No"/>
    <s v=""/>
    <s v=""/>
    <s v=""/>
    <s v=""/>
    <s v=""/>
    <m/>
    <s v=""/>
    <s v=""/>
    <s v=""/>
    <s v=""/>
    <s v=""/>
    <s v=""/>
    <m/>
    <s v=""/>
    <s v=""/>
    <n v="150000000"/>
    <n v="0"/>
    <n v="0"/>
    <n v="0"/>
    <n v="20000000"/>
    <s v="Si"/>
    <s v="Renault"/>
    <s v="2015"/>
    <n v="35000000"/>
    <s v="No"/>
    <s v=""/>
    <s v=""/>
    <n v="0"/>
    <s v="Si"/>
    <s v="Moto"/>
    <s v="yamaha"/>
    <s v="2021"/>
    <n v="4000000"/>
    <s v="El carro fue lo recibio mi mamá a cambio de una deuda que le debian a mi papála moto la compro mi mamá cuando trabajaba en la alcadia en el 2020"/>
    <n v="3"/>
    <n v="4"/>
    <n v="4"/>
    <n v="4"/>
    <n v="3"/>
    <n v="4"/>
    <n v="3"/>
    <n v="4"/>
    <n v="4"/>
    <n v="3"/>
    <n v="36"/>
    <s v="SI"/>
    <m/>
    <s v="SI, SON PRI"/>
    <s v="ok tienen todos los datos"/>
    <e v="#N/A"/>
    <e v="#N/A"/>
    <m/>
    <n v="1"/>
    <n v="10"/>
    <n v="8"/>
    <n v="10"/>
    <n v="15"/>
    <n v="15"/>
    <n v="20"/>
    <n v="14.5"/>
    <n v="14.5"/>
    <n v="84.5"/>
    <n v="0.4"/>
    <m/>
    <n v="2"/>
    <n v="2.5"/>
    <n v="8"/>
    <n v="2"/>
    <n v="2"/>
    <n v="2.5"/>
    <n v="8"/>
    <n v="2"/>
    <n v="82.5"/>
    <n v="0.5"/>
    <n v="0.5"/>
    <e v="#N/A"/>
    <m/>
    <m/>
    <n v="0"/>
    <m/>
    <m/>
    <s v="Ciencias Políticas"/>
    <e v="#N/A"/>
    <s v="111"/>
    <e v="#N/A"/>
  </r>
  <r>
    <s v="TI"/>
    <n v="1038263317"/>
    <s v="1000405049"/>
    <s v="SOFÍA CENTENO RESTREPO"/>
    <s v="Estudios por primera vez"/>
    <x v="1"/>
    <s v="Descartado por notas"/>
    <m/>
    <s v="En publico objetivo"/>
    <s v="1er Cohorte"/>
    <s v="Admitido"/>
    <s v="scentenor@eafit.edu.co"/>
    <e v="#N/A"/>
    <s v="sofisoftsoft@gmail.com"/>
    <s v="573332836574"/>
    <d v="2025-04-28T00:00:00"/>
    <s v="Activo en Programa"/>
    <s v="084-Derecho"/>
    <s v="Escuela de Derecho"/>
    <d v="2007-03-22T00:00:00"/>
    <n v="18"/>
    <s v="Antioquia"/>
    <s v="Envigado"/>
    <s v="Mujer"/>
    <s v="Soltero"/>
    <s v="NO"/>
    <s v="NO"/>
    <n v="0"/>
    <s v="NO"/>
    <s v="NA"/>
    <s v="NO"/>
    <s v="NA"/>
    <s v="NO"/>
    <s v="NA"/>
    <s v="No"/>
    <s v="270-6875"/>
    <s v="573332836574"/>
    <s v="Estrato 2"/>
    <s v="cra 24f 40sur 53 int 176"/>
    <s v="Antioquia"/>
    <s v="Envigado"/>
    <s v="No aplica, no soy foráneo"/>
    <s v="Propio"/>
    <s v="SI"/>
    <s v="2024"/>
    <s v="AC202437042559"/>
    <n v="360"/>
    <n v="67"/>
    <n v="72"/>
    <s v="Pública"/>
    <s v="I.E. JOSE MANUEL RESTREPO VELE"/>
    <n v="2024"/>
    <s v="Antioquia"/>
    <s v="Envigado"/>
    <s v="BACHILLER"/>
    <s v="ACAD"/>
    <s v="TIPO: Pública, INSTITUCION: I.E. JOSE MANUEL RESTREPO VELE, AÑO: 2024, CIUDAD: Envigado, TITULO: BACHILLER"/>
    <s v="11"/>
    <s v="Escala de 0 - 5"/>
    <s v="Escala de 0 - 5"/>
    <s v="4,2"/>
    <s v="4,2"/>
    <m/>
    <s v="4,4"/>
    <s v="4,4"/>
    <m/>
    <n v="4.2"/>
    <n v="3.4"/>
    <m/>
    <n v="4.5"/>
    <n v="4.5"/>
    <m/>
    <s v="3,6"/>
    <s v="4,5"/>
    <m/>
    <s v="4,2"/>
    <s v="4,2"/>
    <m/>
    <s v="4"/>
    <s v="4,2"/>
    <m/>
    <s v="De 9 y 10"/>
    <n v="4.1500000000000004"/>
    <s v="NO"/>
    <s v="NA"/>
    <n v="0"/>
    <n v="0"/>
    <s v="No"/>
    <n v="40"/>
    <m/>
    <n v="40"/>
    <m/>
    <n v="40"/>
    <m/>
    <s v="Hay un interés fuerte por Medicina, lo que quizás genera dudas sobre la claridad de su vocación. Fortalecer la expresión oral para emplear términos más precisos y depurados."/>
    <n v="40"/>
    <s v="Con detalle por componente"/>
    <s v="Artísticas o culturales,Deportistas de alto rendimiento o representativo,Espacios de liderazgo o representación social"/>
    <s v="Imaginen a una joven que viene de un hogar con recursos limitados, en una ciudad y una región donde las personas sufren a diario de injusticias sin tener a donde ir o a quien recurrir. Esa joven, gracias a una beca logra formarse como abogada y empieza a trabajar en proyectos en pro de su comunidad, empieza a ofrecer orientación legal a las personas, empieza a defender a aquellos que no tienen voz, o no les es escuchada. Con cada caso que toma, logra transformar vidas, siembra la confianza, impulsa el cambio. Esta beca no solo financió a una joven, dio un plus a la esperanza, le abrió el camino a alguien con vocación y compromiso para convertirse en un agente del cambio, logrando que el conocimiento no sea un privilegio, sino, una herramienta de justicia. Esa joven puedo ser yo, y para lograrlo, necesito la ayuda de esta beca. Gracias."/>
    <s v="EAFIT es una experiencia"/>
    <s v="Por la oferta académica."/>
    <s v="Vocación."/>
    <n v="5"/>
    <s v="2"/>
    <s v="NO"/>
    <s v="NO"/>
    <s v="Entre 1 y 2 millones"/>
    <s v="No"/>
    <s v="SI"/>
    <n v="0"/>
    <m/>
    <s v="SI"/>
    <s v="Beca"/>
    <s v="NO"/>
    <s v=""/>
    <s v=""/>
    <s v="Si"/>
    <s v="Ciro Ismael Centeno Velasco"/>
    <s v="Soltero"/>
    <s v="BACHILLERATO"/>
    <s v="59"/>
    <s v="campesino"/>
    <s v="Otra"/>
    <s v="Campesino"/>
    <s v="Ninguna"/>
    <n v="3051198"/>
    <s v="Si"/>
    <s v="NO"/>
    <s v="NO"/>
    <s v="Fue miembro de la fuerza publica, pero se ahora se dedica al campo."/>
    <s v="Si"/>
    <s v="Shirley Andrea Restrepo Montoya"/>
    <s v="Soltero"/>
    <s v="LINCENCIATURA"/>
    <s v="50"/>
    <s v="ama de casa"/>
    <s v="Desempleado (Se encuentra en la búsqueda activa de empleo)"/>
    <s v="Ama de casa"/>
    <s v="NINGUNA"/>
    <n v="0"/>
    <s v="Si"/>
    <s v="NO"/>
    <s v="NO"/>
    <m/>
    <n v="3051198"/>
    <s v="Si"/>
    <s v="Juan Camilo Centeno Fernandez"/>
    <s v="Hermano / Hermana"/>
    <s v="25"/>
    <s v="Audiovisual"/>
    <s v="Villas Capital"/>
    <n v="1800000"/>
    <s v="No"/>
    <s v="Valeria Centeno Restrepo"/>
    <s v="Hermano / Hermana"/>
    <s v="20"/>
    <s v="desempleada"/>
    <s v="ninguna"/>
    <n v="0"/>
    <s v="No"/>
    <s v="Olfrey Felipe Galeano Matrinez"/>
    <s v="Cuñado"/>
    <s v="24"/>
    <s v="Estudiante"/>
    <s v="El Sena"/>
    <n v="0"/>
    <s v="No"/>
    <s v=""/>
    <n v="131618000"/>
    <n v="0"/>
    <n v="65202000"/>
    <n v="0"/>
    <n v="0"/>
    <s v="Si"/>
    <s v="Chevrolet"/>
    <s v="93"/>
    <n v="6000000"/>
    <s v="No"/>
    <s v=""/>
    <s v=""/>
    <n v="0"/>
    <s v="Si"/>
    <s v="Moto"/>
    <s v="apache"/>
    <s v="2014"/>
    <n v="2000000"/>
    <m/>
    <n v="4"/>
    <n v="4"/>
    <n v="2"/>
    <n v="4"/>
    <n v="3"/>
    <n v="4"/>
    <n v="4"/>
    <n v="4"/>
    <n v="3"/>
    <n v="3"/>
    <n v="35"/>
    <s v="SI"/>
    <m/>
    <s v="SI, SON PRI"/>
    <s v="ok tienen todos los datos"/>
    <e v="#N/A"/>
    <e v="#N/A"/>
    <m/>
    <n v="2"/>
    <n v="10"/>
    <n v="10"/>
    <n v="10"/>
    <n v="15"/>
    <n v="15"/>
    <n v="10"/>
    <n v="16"/>
    <n v="16"/>
    <n v="76"/>
    <n v="0.5"/>
    <m/>
    <n v="3.5"/>
    <n v="2.5"/>
    <n v="8"/>
    <n v="2"/>
    <n v="3.5"/>
    <n v="2.5"/>
    <n v="8"/>
    <n v="2"/>
    <n v="76"/>
    <n v="0.5"/>
    <n v="0.5"/>
    <e v="#N/A"/>
    <m/>
    <m/>
    <n v="0"/>
    <m/>
    <m/>
    <s v="Derecho"/>
    <e v="#N/A"/>
    <s v="084"/>
    <e v="#N/A"/>
  </r>
  <r>
    <s v="TI"/>
    <n v="1038263416"/>
    <s v="1000340948"/>
    <s v="SEBASTIAN GUZMÁN CELIS"/>
    <s v="Estudios por primera vez"/>
    <x v="1"/>
    <s v="Descartado por ingresos altos"/>
    <m/>
    <s v="En publico objetivo"/>
    <s v="2da Cohorte"/>
    <s v="Admitido"/>
    <s v="sguzmanc1@eafit.edu.co"/>
    <e v="#N/A"/>
    <s v="gsebasa15@gmail.com"/>
    <s v="206-5876"/>
    <d v="2025-05-16T00:00:00"/>
    <s v="Activo en Programa"/>
    <s v="084-Derecho"/>
    <s v="Escuela de Derecho"/>
    <d v="2007-06-15T00:00:00"/>
    <n v="18"/>
    <s v="Antioquia"/>
    <s v="Envigado"/>
    <s v="Hombre"/>
    <s v="Soltero"/>
    <s v="NO"/>
    <s v="NO"/>
    <n v="0"/>
    <s v="NO"/>
    <s v="NA"/>
    <s v="NO"/>
    <s v="NA"/>
    <s v="NO"/>
    <s v="NA"/>
    <s v="No"/>
    <s v="206-5876"/>
    <s v="NA"/>
    <s v="Estrato 3"/>
    <s v="Transversal 35D sur #32-48"/>
    <s v="Antioquia"/>
    <s v="Envigado"/>
    <s v="No aplica, no soy foráneo"/>
    <s v="Familiar"/>
    <s v="SI"/>
    <s v="2024"/>
    <s v="AC202433066271"/>
    <n v="370"/>
    <n v="74"/>
    <n v="76"/>
    <s v="Privada"/>
    <s v="UNIDAD EDUCATIVA SAN MARCOS"/>
    <n v="2024"/>
    <s v="Antioquia"/>
    <s v="Envigado"/>
    <s v="BACHILLER"/>
    <s v="ACAD"/>
    <s v="TIPO: Privada, INSTITUCION: UNIDAD EDUCATIVA SAN MARCOS, AÑO: 2024, CIUDAD: Envigado, TITULO: BACHILLER"/>
    <s v="11"/>
    <s v="Escala de 0 - 5"/>
    <s v="Escala de 0 - 5"/>
    <s v="4,5"/>
    <s v="3,5"/>
    <m/>
    <s v="4,5"/>
    <s v="4,1"/>
    <m/>
    <n v="3.9"/>
    <n v="3.6"/>
    <m/>
    <n v="3.8"/>
    <n v="4.0999999999999996"/>
    <m/>
    <s v="3,8"/>
    <s v="4,1"/>
    <m/>
    <s v="4,5"/>
    <s v="4,2"/>
    <m/>
    <s v="3,7"/>
    <s v="4"/>
    <m/>
    <s v="De 9 y 10"/>
    <n v="3.85"/>
    <s v="NO"/>
    <s v="NA"/>
    <n v="0"/>
    <n v="0"/>
    <s v="No"/>
    <n v="45"/>
    <m/>
    <n v="45"/>
    <m/>
    <n v="45"/>
    <m/>
    <m/>
    <n v="45"/>
    <s v="Con detalle por componente"/>
    <s v="Trabajo social o comunitario,Espacios de liderazgo o representación social,Deportistas de alto rendimiento o representativo"/>
    <s v="Primeramente me veo ejerciendo mi labor aplicando firmemente todos los buenos valores adquiridos tanto en mi vida familiar como escolar, y siento que es lo primordial, ya que vivimos en una sociedad con una carencia de valores de un tamaño abismal y retomar valores como la honestidad, tolerancia y disciplina en la vida profesional,en especial en mi carrera, seria bastante beneficioso no solo para mi, sino también, para aquellos que me puedan tener como ejemplo y eso es lo que quiero conseguir en mi vida, ser razón de orgullo y ejemplo gracias a mi práctica ética desde todos los aspectos de mi vida, en este caso en el ámbito profesional; En caso de obtener la beca que claramente es a lo que aspiro en estos momentos, seria de ayuda para poder lograr este cometido, ya que mi familia no tiene la capacidad adquisitiva de financiar un semestre en su institución, le estarían dando la oportunidad a un joven con sus vision puesta en un futuro beneficioso para todos, con intenciones de aplicar sus conocimientos desde la honestidad y con el anhelo de aportar un granito de arena o mil, quien sabe, para poder seguir mejorando el mundo tanto para nosotros como para nuestras futuras generaciones."/>
    <s v="Estudiantes de EAFIT"/>
    <s v="Por la calidad académica."/>
    <s v="Vocación."/>
    <n v="3"/>
    <s v="2"/>
    <s v="NO"/>
    <s v="NO"/>
    <s v="Entre 8 y 9 millones"/>
    <s v="No"/>
    <n v="0"/>
    <n v="0"/>
    <m/>
    <s v="SI"/>
    <s v="Beca"/>
    <s v="NO"/>
    <s v=""/>
    <s v=""/>
    <s v="No, fallecido"/>
    <n v="0"/>
    <m/>
    <m/>
    <m/>
    <s v=""/>
    <s v=""/>
    <m/>
    <s v=""/>
    <m/>
    <s v=""/>
    <m/>
    <m/>
    <s v=""/>
    <s v="Si"/>
    <s v="Marjorie Celis Agudelo"/>
    <s v="Soltero"/>
    <s v="UNIVERSITARIOS"/>
    <s v="44"/>
    <s v="ama de casa"/>
    <s v="Pensionado"/>
    <s v="N/A"/>
    <s v="N/A"/>
    <n v="7400000"/>
    <s v="Si"/>
    <s v="SI"/>
    <s v="SI"/>
    <s v="Madre cabeza de hogar"/>
    <n v="7400000"/>
    <s v="Si"/>
    <s v="Juan Felipe Guzmán Celis"/>
    <s v="Hermano / Hermana"/>
    <s v="19"/>
    <s v="N/A"/>
    <s v="N/A"/>
    <n v="0"/>
    <s v="No"/>
    <s v="Sara Isabel Guzmán Celis"/>
    <s v="Hermano / Hermana"/>
    <s v="16"/>
    <s v="Estudiante"/>
    <s v="Colegio de las hermanas Dominicas de la presentación Envigado"/>
    <n v="0"/>
    <s v="No"/>
    <s v=""/>
    <s v=""/>
    <s v=""/>
    <s v=""/>
    <s v=""/>
    <m/>
    <s v=""/>
    <s v="2 aspirantes a estudios superiores, una cursando su último año de colegio y la madre ocupándose del cuidado de sus hijos y hogar"/>
    <n v="0"/>
    <n v="0"/>
    <n v="0"/>
    <n v="0"/>
    <n v="0"/>
    <s v="Si"/>
    <s v="FORD"/>
    <s v="2015"/>
    <n v="50000000"/>
    <s v="No"/>
    <s v=""/>
    <s v=""/>
    <n v="0"/>
    <s v="No"/>
    <s v=""/>
    <s v=""/>
    <s v=""/>
    <n v="0"/>
    <s v="El apartamento no es propio, responde a nombre de mi abuela y se le paga arriendo a bajo costo por razones familiares, y se encuentra en remodelaciones en estos momentos, el vehículo familiar está en buenas condiciones."/>
    <n v="4"/>
    <n v="4"/>
    <n v="3"/>
    <n v="4"/>
    <n v="4"/>
    <n v="4"/>
    <n v="3"/>
    <n v="3"/>
    <n v="4"/>
    <n v="4"/>
    <n v="37"/>
    <s v="SI"/>
    <m/>
    <s v="SI, SON PRI"/>
    <s v="ok tienen todos los datos"/>
    <s v="Negada"/>
    <n v="20251"/>
    <m/>
    <n v="2"/>
    <n v="10"/>
    <n v="8"/>
    <n v="15"/>
    <n v="10"/>
    <n v="15"/>
    <n v="15"/>
    <n v="11"/>
    <n v="10.5"/>
    <n v="75.5"/>
    <n v="0.4"/>
    <m/>
    <n v="2"/>
    <n v="3.5"/>
    <n v="1"/>
    <n v="4"/>
    <n v="2"/>
    <n v="3.5"/>
    <n v="1"/>
    <n v="4.5"/>
    <n v="74"/>
    <n v="0.4"/>
    <n v="0.4"/>
    <e v="#N/A"/>
    <m/>
    <m/>
    <n v="0"/>
    <m/>
    <m/>
    <s v="Derecho"/>
    <e v="#N/A"/>
    <s v="084"/>
    <e v="#N/A"/>
  </r>
  <r>
    <s v="CC"/>
    <n v="1038647909"/>
    <s v="1000407533"/>
    <s v="JUAN JOSE DUQUE MARIN"/>
    <s v="Transferencia Externa"/>
    <x v="1"/>
    <s v="No cumple, puntaje ICFES menor a 300"/>
    <m/>
    <s v="En publico objetivo"/>
    <s v="3ra Cohorte"/>
    <s v="Admitido"/>
    <s v="jjduquem@eafit.edu.co"/>
    <e v="#N/A"/>
    <s v="juanjoseduque2308@gmail.com"/>
    <s v="573204197916"/>
    <d v="2025-05-30T00:00:00"/>
    <s v="Activo en Programa"/>
    <s v="010-Ingeniería de Sistemas"/>
    <s v="E Ciencias Aplic e Ingeniería"/>
    <d v="2006-08-23T00:00:00"/>
    <n v="19"/>
    <s v="Antioquia"/>
    <s v="Caucasia"/>
    <s v="Hombre"/>
    <s v="Soltero"/>
    <s v="NO"/>
    <s v="NO"/>
    <n v="0"/>
    <s v="NO"/>
    <s v="NA"/>
    <s v="NO"/>
    <s v="NA"/>
    <s v="NO"/>
    <s v="NA"/>
    <s v="No"/>
    <s v="320/419-7916"/>
    <s v="573204197916"/>
    <s v="Estrato 2"/>
    <s v="CL 40 SUR VEREDA EL BALLANO FINCA LOS SANTAMARÍA"/>
    <s v="Antioquia"/>
    <s v="Envigado"/>
    <s v="No aplica, no soy foráneo"/>
    <s v="Arriendo"/>
    <s v="SI"/>
    <s v="2023"/>
    <s v="AC202345988381"/>
    <n v="295"/>
    <n v="61"/>
    <n v="55"/>
    <s v="Pública"/>
    <s v="INST EDUC COLEGIO LOYOLA PARA"/>
    <n v="2023"/>
    <s v="Antioquia"/>
    <s v="Medellín"/>
    <s v="BACHILLER"/>
    <s v="ACAD"/>
    <s v="TIPO: Pública, INSTITUCION: INST EDUC COLEGIO LOYOLA PARA, AÑO: 2023, CIUDAD: Medellín, TITULO: BACHILLER"/>
    <n v="0"/>
    <n v="0"/>
    <s v="PCA TEX"/>
    <m/>
    <m/>
    <m/>
    <m/>
    <m/>
    <m/>
    <m/>
    <m/>
    <m/>
    <m/>
    <m/>
    <m/>
    <m/>
    <m/>
    <m/>
    <m/>
    <m/>
    <m/>
    <m/>
    <m/>
    <m/>
    <s v="Ver PCA TEX"/>
    <n v="4.3"/>
    <s v="SI"/>
    <s v="TIPO: Pública, INSTITUCION: INSTITUCIÓN UNV. PASCUAL BRAVO, AÑO: 0, CIUDAD: Medellín, TITULO: INGENIERO DE SOFTWARE (Medellín)"/>
    <s v="PREGRADO"/>
    <s v=" TITULO: INGENIERO DE SOFTWARE (Medellín)"/>
    <s v="No"/>
    <n v="50"/>
    <m/>
    <n v="50"/>
    <m/>
    <n v="50"/>
    <m/>
    <s v="Estudiante de transferencia externa que solicita homologación de asignaturas, se le informa al jefe de pregrado y admisiones de esta situación"/>
    <n v="50"/>
    <s v="Con detalle por componente"/>
    <s v="Espacios de liderazgo o representación social,Trabajo social o comunitario"/>
    <s v="Desde que descubrí el mundo de la programación entendí que la tecnología no es solo una herramienta, sino una forma concreta de transformar vidas. Elegí estudiar Ingeniería de Sistemas porque quiero construir soluciones que mejoren realidades y convertir el conocimiento técnico en impacto social._x000a__x000a_Me visualizo liderando proyectos que impulsen la modernización de entidades públicas, el fortalecimiento de pequeñas empresas y, especialmente, la creación de espacios de formación digital para jóvenes que, como yo, sueñan con tener una oportunidad real. Creo profundamente en el poder de la educación como herramienta de transformación y estoy comprometido con usar lo que aprenda para generar procesos sostenibles de cambio en mi comunidad._x000a__x000a_He desarrollado proyectos personales como sistemas de registro, login y gestión de datos para fortalecer mis habilidades técnicas. Además, participé en una hackatón de ciencia de datos, donde mi equipo resultó ganador con una propuesta de optimización del ingreso a universidades mediante reconocimiento facial, reemplazando el uso de carné físico. Esta experiencia reafirmó mi convicción y certeza de que la tecnología bien aplicada puede generar soluciones educativas reales._x000a__x000a_Con el respaldo académico y humano de EAFIT, quiero no solo aprender, sino también contribuir activamente participando en semilleros, colaborando en iniciativas de investigación y apoyando procesos formativos que beneficien a otros. Quiero dejar huella, dentro y fuera del aula, como alguien que no sólo recibió, sino que también devolvió._x000a__x000a_La Beca Talento representa mucho más que una ayuda financiera. Es una apuesta por quienes creemos en la educación como motor del desarrollo. Con esta oportunidad podré dedicarme de lleno a mi formación, crear redes, impulsar iniciativas y multiplicar oportunidades para otros. Estoy listo para asumir ese compromiso con excelencia, propósito y sentido social."/>
    <s v="Amigos"/>
    <s v="Por la calidad académica."/>
    <s v="Vocación."/>
    <n v="2"/>
    <s v="2"/>
    <s v="NO"/>
    <s v="NO"/>
    <s v="Entre 1 y 2 millones"/>
    <s v="No"/>
    <n v="0"/>
    <n v="0"/>
    <m/>
    <s v="SI"/>
    <s v="Beca"/>
    <s v="NO"/>
    <s v=""/>
    <s v=""/>
    <s v="Si"/>
    <s v="Mario De Jesus Duque Duque"/>
    <s v="Casado"/>
    <s v="PRIMARIA"/>
    <s v="50"/>
    <s v="Vendedor de mostrador"/>
    <s v="Empleado (con contrato laboral)"/>
    <s v="Oficios varios"/>
    <s v="Distribuciones SV"/>
    <n v="1509620"/>
    <s v="Si"/>
    <s v="NO"/>
    <s v="SI"/>
    <s v="Mi padre es trabajador formal con un ingreso mensual limitado, que destina principalmente al sostenimiento del hogar. Su salario representa la principal fuente económica de la familia, cubriendo gastos básicos como alimentación, servicios y estudio. A pesar de sus esfuerzos, el ingreso no siempre es suficiente para cubrir todas las necesidades del núcleo familiar."/>
    <s v="Si"/>
    <s v="Liliana Maria Marin Acevedo"/>
    <s v="Casado"/>
    <s v="BACHILLERATO"/>
    <s v="48"/>
    <s v="ama de casa"/>
    <s v="Labores del hogar y cuidado"/>
    <s v="Oficios y cuidado del hogar"/>
    <s v="NO APLICA"/>
    <n v="0"/>
    <s v="Si"/>
    <s v="NO"/>
    <s v="NO"/>
    <s v="Mi madre es ama de casa y actualmente no percibe ingresos propios. Se dedica de tiempo completo al cuidado del hogar y al acompañamiento familiar. Su situación económica depende del apoyo que recibe del esposo (mi padre)"/>
    <n v="1509620"/>
    <s v="No, solo vivo con mis padres"/>
    <s v=""/>
    <s v=""/>
    <s v=""/>
    <s v=""/>
    <s v=""/>
    <m/>
    <s v=""/>
    <s v=""/>
    <s v=""/>
    <s v=""/>
    <s v=""/>
    <s v=""/>
    <m/>
    <s v=""/>
    <s v=""/>
    <s v=""/>
    <s v=""/>
    <s v=""/>
    <s v=""/>
    <m/>
    <s v=""/>
    <s v=""/>
    <n v="0"/>
    <n v="0"/>
    <n v="0"/>
    <n v="0"/>
    <n v="0"/>
    <s v="No"/>
    <s v=""/>
    <s v=""/>
    <n v="0"/>
    <s v="No"/>
    <s v=""/>
    <s v=""/>
    <n v="0"/>
    <s v="No"/>
    <s v=""/>
    <s v=""/>
    <s v=""/>
    <n v="0"/>
    <s v="Mi núcleo familiar no posee vivienda propia ni ningún bien inmueble. Actualmente vivimos en una vivienda arrendada y no contamos con vehículos ni activos de valor. Nuestra economía depende del ingreso mensual de mi padre, el cual es limitado y debe cubrir todas las necesidades básicas del hogar. Esta situación nos ha llevado a priorizar cuidadosamente nuestros gastos."/>
    <n v="3"/>
    <n v="4"/>
    <n v="3"/>
    <n v="4"/>
    <n v="3"/>
    <n v="3"/>
    <n v="4"/>
    <n v="4"/>
    <n v="3"/>
    <n v="4"/>
    <n v="35"/>
    <s v="SI"/>
    <m/>
    <s v="SI, SON TEX, EN LUGAR DE NOTAS TIENEN PCA"/>
    <s v="ok tienen todos los datos"/>
    <e v="#N/A"/>
    <e v="#N/A"/>
    <m/>
    <n v="3"/>
    <n v="10"/>
    <n v="10"/>
    <n v="0"/>
    <n v="15"/>
    <n v="15"/>
    <n v="20"/>
    <n v="20"/>
    <n v="20"/>
    <n v="80"/>
    <s v="80 - 100%"/>
    <m/>
    <n v="3.5"/>
    <n v="4.5"/>
    <n v="8"/>
    <n v="4"/>
    <n v="3.5"/>
    <n v="4"/>
    <n v="8"/>
    <n v="4.5"/>
    <n v="80"/>
    <s v="80 - 100%"/>
    <n v="0.7"/>
    <e v="#N/A"/>
    <s v="se baja por icfes inferior a 300"/>
    <m/>
    <n v="0"/>
    <m/>
    <m/>
    <s v="Ingeniería de Sistemas"/>
    <e v="#N/A"/>
    <s v="010"/>
    <e v="#N/A"/>
  </r>
  <r>
    <s v="CC"/>
    <n v="1038867669"/>
    <s v="1000407440"/>
    <s v="JOHN ALEJANDRO NOREÑA RUDA"/>
    <s v="Transferencia Externa"/>
    <x v="1"/>
    <s v="No cumple, otros estudios de pregrado"/>
    <m/>
    <s v="En publico objetivo"/>
    <s v="2da Cohorte"/>
    <s v="Admitido"/>
    <s v="janorenar@eafit.edu.co"/>
    <e v="#N/A"/>
    <s v="alejandronorena1912@gmail.com"/>
    <s v="573115252237"/>
    <d v="2025-05-16T00:00:00"/>
    <s v="Activo en Programa"/>
    <s v="199-Finanzas"/>
    <s v="E.Finanzas, Economía, Gobierno"/>
    <d v="2005-12-19T00:00:00"/>
    <n v="19"/>
    <s v="Antioquia"/>
    <s v="Envigado"/>
    <s v="Hombre"/>
    <s v="Soltero"/>
    <s v="NO"/>
    <s v="NO"/>
    <n v="0"/>
    <s v="NO"/>
    <s v="NA"/>
    <s v="NO"/>
    <s v="NA"/>
    <s v="NO"/>
    <s v="NA"/>
    <s v="No"/>
    <s v="311/525-2237"/>
    <s v="573115252237"/>
    <s v="Estrato 2"/>
    <s v="CL 118 #48 B 155 IN 122"/>
    <s v="Antioquia"/>
    <s v="Medellín"/>
    <s v="No aplica, no soy foráneo"/>
    <s v="Arriendo"/>
    <s v="SI"/>
    <s v="2022"/>
    <s v="AC202240370377"/>
    <n v="348"/>
    <n v="78"/>
    <n v="68"/>
    <s v="Pública"/>
    <s v="IE JOSEFA CAMPOS"/>
    <n v="2022"/>
    <s v="Antioquia"/>
    <s v="Bello"/>
    <s v="BACHILLER"/>
    <s v="TECN"/>
    <s v="TIPO: Pública, INSTITUCION: IE JOSEFA CAMPOS, AÑO: 2022, CIUDAD: Bello, TITULO: BACHILLER"/>
    <n v="0"/>
    <n v="0"/>
    <s v="PCA TEX"/>
    <m/>
    <m/>
    <m/>
    <m/>
    <m/>
    <m/>
    <m/>
    <m/>
    <m/>
    <m/>
    <m/>
    <m/>
    <m/>
    <m/>
    <m/>
    <m/>
    <m/>
    <m/>
    <m/>
    <m/>
    <m/>
    <s v="Ver PCA TEX"/>
    <n v="4.2"/>
    <s v="SI"/>
    <s v="TIPO: Pública, INSTITUCION: UNIVERSIDAD DE ANTIOQUIA, AÑO: 0, CIUDAD: Medellín, TITULO: FISICO (Medellín)"/>
    <s v="PREGRADO"/>
    <s v=" TITULO: FISICO (Medellín)"/>
    <s v="No"/>
    <n v="40"/>
    <m/>
    <n v="40"/>
    <m/>
    <n v="40"/>
    <m/>
    <s v="El aspirante se ha presentado tres veces a la beca talento_x000a_Saber 11 el puntaje fue 349"/>
    <n v="40"/>
    <s v="Con detalle por componente"/>
    <s v="Deportistas de alto rendimiento o representativo,Espacios de liderazgo o representación social"/>
    <s v="Soy John Alejandro Noreña Ruda, un joven entusiasta, comprometido y disciplinado, con deseos de devorar el mundo al lado de EAFIT. Desde hace mucho tiempo tengo un propósito claro: quiero mejorar el mundo. Mi pasión por las ciencias exactas y las finanzas, así como mi audacia me han llevado a buscar oportunidades que me permitan ser un promotor del cambio._x000a__x000a_Cursé 3 semestres de Física y he descubierto que mis conocimientos pueden potenciarse aún más si los enfoco hacia un campo de alto impacto como lo son las finanzas. Por eso deseo estudiar este pregrado, para contribuir al desarrollo económico de Medellín. Esta ciudad enfrenta importantes desafíos relacionados con la gestión financiera de sus industrias, especialmente en la optimización de recursos, la gentrificación, el turismo y la sostenibilidad a largo plazo._x000a__x000a_Mi meta es emprender con la prestación de un servicio de consultoría financiera que permita a las pequeñas y medianas empresas mejorar sus procesos, reducir pérdidas y tomar decisiones estratégicas basadas en datos. También quiero impulsar desde el sector público, campañas de educación financiera, ya que muchas veces la falta de conocimiento limita el crecimiento empresarial y personal._x000a__x000a_Con la formación de alta calidad de EAFIT y el respaldo de esta beca, podré formarme integralmente y contribuir de manera activa al fortalecimiento económico de mi ciudad. Quiero ser un referente para otros jóvenes soñadores que, como yo, anhelan transformar su entorno. Estoy convencido de que con disciplina, conocimiento y visión, puedo dejar huellas positivas y construir un futuro más equitativo y próspero para Medellín y el país."/>
    <s v="Otro"/>
    <s v="Por la calidad académica."/>
    <s v="Nivel académico de docentes."/>
    <n v="0"/>
    <s v="1"/>
    <s v="SI"/>
    <s v="NO"/>
    <s v="Entre 1 y 2 millones"/>
    <s v="No"/>
    <n v="0"/>
    <n v="0"/>
    <m/>
    <s v="SI"/>
    <s v="Beca"/>
    <s v="SI"/>
    <s v="EXPERTS COLOMBIA SAS"/>
    <s v="Servicio al cliente"/>
    <s v="Si"/>
    <s v="John Jairo Noreña"/>
    <s v="Casado"/>
    <s v="BACHILLERATO"/>
    <s v="43"/>
    <s v="Policia"/>
    <s v="Pensionado"/>
    <s v="N/A"/>
    <s v="N/A"/>
    <n v="3700000"/>
    <s v="No"/>
    <s v="NO"/>
    <s v="NO"/>
    <s v="No vivimos juntos. Esto a raíz de que tomé la decisión de ser independiente. Sin embargo, es un buen padre que siempre ha estado presente y ha sido un apoyo en mi vida."/>
    <s v="Si"/>
    <s v="Yohana Ruda Guzmán"/>
    <s v="Casado"/>
    <s v="TÉCNICA"/>
    <s v="38"/>
    <s v="ama de casa"/>
    <s v="Labores del hogar y cuidado"/>
    <s v="N/A"/>
    <s v="N/A"/>
    <n v="0"/>
    <s v="No"/>
    <s v="NO"/>
    <s v="NO"/>
    <s v="Muy buena madre. No vivo con ella, a raíz de que decidí independizarme."/>
    <n v="3700000"/>
    <s v="No, vivo solo"/>
    <s v=""/>
    <s v=""/>
    <s v=""/>
    <s v=""/>
    <s v=""/>
    <m/>
    <s v=""/>
    <s v=""/>
    <s v=""/>
    <s v=""/>
    <s v=""/>
    <s v=""/>
    <m/>
    <s v=""/>
    <s v=""/>
    <s v=""/>
    <s v=""/>
    <s v=""/>
    <s v=""/>
    <m/>
    <s v=""/>
    <s v=""/>
    <n v="150000000"/>
    <n v="0"/>
    <n v="0"/>
    <n v="0"/>
    <n v="0"/>
    <s v="No"/>
    <s v=""/>
    <s v=""/>
    <n v="0"/>
    <s v="No"/>
    <s v=""/>
    <s v=""/>
    <n v="0"/>
    <s v="Si"/>
    <s v="Moto"/>
    <s v="Bajaj"/>
    <s v="2021"/>
    <n v="9000000"/>
    <s v="No hay más bienes ni vehículos familiares."/>
    <n v="4"/>
    <n v="4"/>
    <n v="4"/>
    <n v="4"/>
    <n v="4"/>
    <n v="3"/>
    <n v="4"/>
    <n v="4"/>
    <n v="3"/>
    <n v="4"/>
    <n v="38"/>
    <s v="SI"/>
    <m/>
    <s v="SI, SON TEX, EN LUGAR DE NOTAS TIENEN PCA"/>
    <s v="ok tienen todos los datos"/>
    <n v="0.4"/>
    <n v="20242"/>
    <m/>
    <n v="2"/>
    <n v="10"/>
    <n v="10"/>
    <n v="10"/>
    <n v="15"/>
    <n v="15"/>
    <n v="10"/>
    <n v="15.5"/>
    <n v="15"/>
    <n v="75"/>
    <n v="0.4"/>
    <m/>
    <n v="3.5"/>
    <n v="3.5"/>
    <n v="6"/>
    <n v="2"/>
    <n v="3.5"/>
    <n v="3"/>
    <n v="7"/>
    <n v="2"/>
    <n v="75.5"/>
    <n v="0.5"/>
    <n v="0.5"/>
    <e v="#N/A"/>
    <m/>
    <m/>
    <n v="0"/>
    <m/>
    <m/>
    <s v="Finanzas"/>
    <e v="#N/A"/>
    <s v="199"/>
    <e v="#N/A"/>
  </r>
  <r>
    <s v="TI"/>
    <n v="1038868715"/>
    <s v="1000383384"/>
    <s v="MATIAS MORA POSADA"/>
    <s v="Estudios por primera vez"/>
    <x v="1"/>
    <s v="Descartado por propiedades"/>
    <m/>
    <s v="En publico objetivo"/>
    <s v="1er Cohorte"/>
    <s v="Admitido"/>
    <s v="mmorap2@eafit.edu.co"/>
    <s v="mmorap2@eafit.edu.co"/>
    <s v="matiasmorap7@gmail.com"/>
    <s v="301/616-4143"/>
    <d v="2025-04-25T00:00:00"/>
    <s v="Activo en Programa"/>
    <s v="010-Ingeniería de Sistemas"/>
    <s v="E Ciencias Aplic e Ingeniería"/>
    <d v="2007-03-07T00:00:00"/>
    <n v="18"/>
    <s v="Antioquia"/>
    <s v="Envigado"/>
    <s v="Hombre"/>
    <s v="Soltero"/>
    <s v="NO"/>
    <s v="NO"/>
    <n v="0"/>
    <s v="NO"/>
    <s v="NA"/>
    <s v="NO"/>
    <s v="NA"/>
    <s v="NO"/>
    <s v="NA"/>
    <s v="No"/>
    <s v="604/408-7406"/>
    <s v="301/616-4143"/>
    <s v="Estrato 2"/>
    <s v="GIRARDOTA FINCA ZUAR"/>
    <s v="Antioquia"/>
    <s v="Girardota"/>
    <s v="No aplica, no soy foráneo"/>
    <s v="Familiar"/>
    <s v="SI"/>
    <s v="2024"/>
    <s v="AC202433237427"/>
    <n v="366"/>
    <n v="76"/>
    <n v="71"/>
    <s v="Privada"/>
    <s v="LA SALLE DE BELLO"/>
    <n v="2024"/>
    <s v="Antioquia"/>
    <s v="Bello"/>
    <s v="BACHILLER"/>
    <n v="0"/>
    <s v="TIPO: Privada, INSTITUCION: LA SALLE DE BELLO, AÑO: 2024, CIUDAD: Bello, TITULO: BACHILLER"/>
    <s v="11"/>
    <s v="Escala de 0 - 5"/>
    <s v="Escala de 0 - 5"/>
    <s v="4,1"/>
    <s v="3,9"/>
    <m/>
    <s v="4,1"/>
    <s v="4,3"/>
    <m/>
    <n v="4.3"/>
    <n v="4"/>
    <m/>
    <n v="4.4000000000000004"/>
    <n v="4"/>
    <m/>
    <s v="4,2"/>
    <s v="4,5"/>
    <m/>
    <s v="4,4"/>
    <s v="4,4"/>
    <m/>
    <s v="4,4"/>
    <s v="4,2"/>
    <m/>
    <s v="De 9 y 10"/>
    <n v="4.1750000000000007"/>
    <s v="NO"/>
    <s v="NA"/>
    <n v="0"/>
    <n v="0"/>
    <s v="No"/>
    <n v="50"/>
    <m/>
    <n v="50"/>
    <m/>
    <n v="50"/>
    <m/>
    <m/>
    <n v="50"/>
    <s v="Con detalle por componente"/>
    <s v="Espacios de liderazgo o representación social,Trabajo social o comunitario"/>
    <s v="Me veo brindando el refuerzo a los sistemas que se usan en los pequeños pueblos para mejorar y hacer más eficiente el sistema de salud, de justicia y de logística, trabajando de la mano de la alcaldía o de los entes territoriales que se encargan de abarcar y darle el amparo a las personas, así logrando mejorar de manera significativa las condiciones de vida, así mismo generar proyectos digitales a gran escala haciendo uso de herramientas tecnológicas que logren abarcar las necesidades de poblaciones más amplias y sean sistemas que estén al alcance de todos. _x000a__x000a_Considero que, a través de las herramientas y conocimientos adquiridos en mi formación universitaria, podría impulsar e implementar estrategias que logren mejorar la gestión, el desarrollo y el diseño de plataformas tecnológicas al servicio de una amplia comunidad en constante crecimiento, plataformas para brindar la seguridad, la escalabilidad y la confiabilidad que tanto se necesita en el mundo digital. la beca representa una oportunidad invaluable para acceder a una educación de calidad que de otro modo no se me haría fácil de obtener, no solo es una oportunidad para cumplir mi sueño profesional, sino también una herramienta para transformar realidades. Mi compromiso es dar soluciones sostenibles y prácticas para reducir la brecha digital, además de poder ser un personaje importante en el ámbito y de esta manera me gustaría poder contribuir en un futuro a más jóvenes para que logren obtener oportunidades iguales."/>
    <s v="Estudiantes de EAFIT"/>
    <s v="Por la calidad académica."/>
    <s v="Vocación."/>
    <n v="2"/>
    <s v="1"/>
    <s v="NO"/>
    <s v="NO"/>
    <s v="Entre 1 y 2 millones"/>
    <s v="No"/>
    <n v="0"/>
    <n v="0"/>
    <m/>
    <s v="SI"/>
    <s v="Beca"/>
    <s v="NO"/>
    <s v=""/>
    <s v=""/>
    <s v="Si"/>
    <s v="Oliver Mora Gomez"/>
    <s v="Casado"/>
    <s v="UNIVERSITARIOS"/>
    <s v="51"/>
    <s v="ingeniero civil"/>
    <s v="Empleado (con contrato laboral)"/>
    <s v="Residente de interventoría y supervisión técnica"/>
    <s v="VQ ingeniería"/>
    <n v="3534720"/>
    <s v="Si"/>
    <s v="NO"/>
    <s v="SI"/>
    <s v="contrato inferior a un año"/>
    <s v="Si"/>
    <s v="Stella Fernanda Posada"/>
    <s v="Casado"/>
    <s v="UNIVERSITARIOS"/>
    <s v="52"/>
    <s v="Publicista"/>
    <s v="Labores del hogar y cuidado"/>
    <s v="Ama de casa"/>
    <s v="NINGUNA"/>
    <n v="0"/>
    <s v="Si"/>
    <s v="NO"/>
    <s v="NO"/>
    <s v="Desempleada"/>
    <n v="3534720"/>
    <s v="No, solo vivo con mis padres"/>
    <s v=""/>
    <s v=""/>
    <s v=""/>
    <s v=""/>
    <s v=""/>
    <m/>
    <s v=""/>
    <s v=""/>
    <s v=""/>
    <s v=""/>
    <s v=""/>
    <s v=""/>
    <m/>
    <s v=""/>
    <s v=""/>
    <s v=""/>
    <s v=""/>
    <s v=""/>
    <s v=""/>
    <m/>
    <s v=""/>
    <s v=""/>
    <n v="200000000"/>
    <n v="0"/>
    <n v="200000000"/>
    <n v="0"/>
    <n v="0"/>
    <s v="Si"/>
    <s v="Chevrolet sprint"/>
    <s v="1992"/>
    <n v="3000000"/>
    <s v="No"/>
    <s v=""/>
    <s v=""/>
    <n v="0"/>
    <s v="Si"/>
    <s v="Moto"/>
    <s v="Bajaj Dominar 400"/>
    <s v="2022"/>
    <n v="10000000"/>
    <s v="la moto todavía se esta pagando"/>
    <n v="3"/>
    <n v="4"/>
    <n v="4"/>
    <n v="4"/>
    <n v="3"/>
    <n v="4"/>
    <n v="3"/>
    <n v="4"/>
    <n v="4"/>
    <n v="3"/>
    <n v="36"/>
    <s v="SI"/>
    <m/>
    <s v="SI, SON PRI"/>
    <s v="ok tienen todos los datos"/>
    <e v="#N/A"/>
    <e v="#N/A"/>
    <m/>
    <n v="3"/>
    <n v="10"/>
    <n v="10"/>
    <n v="15"/>
    <n v="15"/>
    <n v="15"/>
    <n v="20"/>
    <n v="14.5"/>
    <n v="13.5"/>
    <n v="88.5"/>
    <n v="0.4"/>
    <m/>
    <n v="2"/>
    <n v="3.5"/>
    <n v="6"/>
    <n v="2"/>
    <n v="2"/>
    <n v="3.5"/>
    <n v="7"/>
    <n v="2"/>
    <n v="89.5"/>
    <n v="0.5"/>
    <n v="0.5"/>
    <e v="#N/A"/>
    <m/>
    <m/>
    <n v="0"/>
    <m/>
    <m/>
    <s v="Ingeniería de Sistemas"/>
    <e v="#N/A"/>
    <s v="010"/>
    <e v="#N/A"/>
  </r>
  <r>
    <s v="TI"/>
    <n v="1038868963"/>
    <s v="1000037637"/>
    <s v="SANTIAGO URANGO VANEGAS"/>
    <s v="Estudios por primera vez"/>
    <x v="1"/>
    <s v="No cumple, puntaje ICFES menor a 300"/>
    <m/>
    <s v="En publico objetivo"/>
    <s v="2da Cohorte"/>
    <s v="Admitido"/>
    <s v="surangov@eafit.edu.co"/>
    <s v="surangov@eafit.edu.co"/>
    <s v="urango2706@gmail.com"/>
    <s v="573024210803"/>
    <d v="2025-05-16T00:00:00"/>
    <s v="Activo en Programa"/>
    <s v="010-Ingeniería de Sistemas"/>
    <s v="E Ciencias Aplic e Ingeniería"/>
    <d v="2007-06-27T00:00:00"/>
    <n v="18"/>
    <s v="Antioquia"/>
    <s v="Envigado"/>
    <s v="Hombre"/>
    <s v="Soltero"/>
    <s v="NO"/>
    <s v="NO"/>
    <n v="0"/>
    <s v="NO"/>
    <s v="NA"/>
    <s v="NO"/>
    <s v="NA"/>
    <s v="NO"/>
    <s v="NA"/>
    <s v="No"/>
    <s v="313/731-0641"/>
    <s v="573024210803"/>
    <s v="Estrato 3"/>
    <s v="CARRERA 46A 39 A SUR 47"/>
    <s v="Antioquia"/>
    <s v="Envigado"/>
    <s v="No aplica, no soy foráneo"/>
    <s v="Familiar"/>
    <s v="SI"/>
    <s v="2024"/>
    <s v="AC202433391612"/>
    <n v="296"/>
    <n v="73"/>
    <n v="57"/>
    <s v="Privada"/>
    <s v="Institución Educativa Colegio Carpinelo"/>
    <n v="2024"/>
    <m/>
    <s v="Itagui"/>
    <s v="Bachillerato"/>
    <s v="Técnico"/>
    <m/>
    <s v="11"/>
    <s v="Escala de 0 - 5"/>
    <s v="Escala de 0 - 5"/>
    <s v="4,2"/>
    <s v="4,2"/>
    <m/>
    <s v="3,9"/>
    <s v="4,2"/>
    <m/>
    <n v="4"/>
    <n v="4.0999999999999996"/>
    <m/>
    <n v="4.2"/>
    <n v="4.2"/>
    <m/>
    <s v="4,2"/>
    <s v="4,2"/>
    <m/>
    <s v="3,9"/>
    <s v="3,9"/>
    <m/>
    <s v="3"/>
    <s v="3,9"/>
    <m/>
    <s v="De 9 y 10"/>
    <n v="4.125"/>
    <s v="NO"/>
    <s v="NA"/>
    <n v="0"/>
    <n v="0"/>
    <s v="No"/>
    <n v="50"/>
    <m/>
    <n v="50"/>
    <m/>
    <n v="50"/>
    <m/>
    <m/>
    <n v="50"/>
    <s v="Con detalle por componente"/>
    <s v="Trabajo social o comunitario"/>
    <s v="Me visualizo desarrollando soluciones tecnológicas que mejoren la calidad de vida de las comunidades que no tengan acceso a esta, me interesa la idea de crear software que resuelva problemas locales, optimice procesos y facilite el acceso a la educación y la salud ya que la tecnología puede ser una herramienta muy valiosa para el desarrollo económico y social, esta es una manera de contribuir al cierre de la brecha digital._x000a_Quiero aprovechar el aprendizaje y habilidades tecnológicas, para apoyar a los jóvenes e impulsarlos hacia el emprendimiento digital, investigando y diseñando plataformas, donde el software de alta seguridad evite hackeos y malware.  y que todo esto se accesibles para que conecten a Antioquia con el mundo, pienso firmemente que la tecnología es una herramienta muy útil para el desarrollo de la vida_x000a_La beca para mi representa mucho más que un ahorro económico, es una oportunidad para acceder a la mejor educación del país y desarrollar relaciones personales que a largo plazo podrían ser intercambio de conocimiento e ideas para ayudar a innovar al mundo_x000a_Finalmente estar en la universidad Eafit me da el poder de tener un conocimiento excepcional y  formarme de manera integral, para contribuir al mundo desde el área  de la ingeniería para que Colombia tenga un mejor futuro"/>
    <s v="Página WEB"/>
    <s v="Por la calidad académica."/>
    <s v="Vocación."/>
    <n v="1"/>
    <s v="0"/>
    <s v="SI"/>
    <s v="NO"/>
    <s v="Entre 3 y 4 millones"/>
    <s v="No"/>
    <s v="NO"/>
    <s v="NO"/>
    <m/>
    <s v="SI"/>
    <s v="Beca"/>
    <s v="NO"/>
    <s v=""/>
    <s v=""/>
    <s v="Si"/>
    <s v="Jorge Enrique Urango Palacio"/>
    <s v="Soltero"/>
    <s v="BACHILLERATO"/>
    <s v="43"/>
    <s v="Conductor"/>
    <s v="Independiente (trabaja por cuenta propia)"/>
    <s v="conductor"/>
    <s v="Independiente"/>
    <n v="2000000"/>
    <s v="No"/>
    <s v="NO"/>
    <s v="NO"/>
    <s v=""/>
    <s v="Si"/>
    <s v="Luz Elena Vanegas Luna"/>
    <s v="Soltero"/>
    <s v="TECNOLOGÍA"/>
    <s v="51"/>
    <s v="Voluntaria en trabajo social"/>
    <s v="Trabajador informal"/>
    <s v="Atender poblaciones rurales dispersas en Urrao"/>
    <s v="Consejos Comunitarios"/>
    <n v="0"/>
    <s v="No"/>
    <s v="NO"/>
    <s v="NO"/>
    <m/>
    <n v="2000000"/>
    <s v="Si"/>
    <s v="Ana Lucía Palacio Castrillón"/>
    <s v="Abuelo / Abuela"/>
    <s v="75"/>
    <s v="Pensionada"/>
    <s v="Magisterio"/>
    <n v="3685893"/>
    <s v="Si"/>
    <s v=""/>
    <s v=""/>
    <s v=""/>
    <s v=""/>
    <s v=""/>
    <m/>
    <s v=""/>
    <s v=""/>
    <s v=""/>
    <s v=""/>
    <s v=""/>
    <s v=""/>
    <m/>
    <s v=""/>
    <s v=""/>
    <n v="121931000"/>
    <n v="0"/>
    <n v="0"/>
    <n v="0"/>
    <n v="0"/>
    <s v="No"/>
    <s v=""/>
    <s v=""/>
    <n v="0"/>
    <s v="No"/>
    <s v=""/>
    <s v=""/>
    <n v="0"/>
    <s v="No"/>
    <s v=""/>
    <s v=""/>
    <s v=""/>
    <n v="0"/>
    <m/>
    <n v="4"/>
    <n v="4"/>
    <n v="4"/>
    <n v="4"/>
    <n v="3"/>
    <n v="3"/>
    <n v="4"/>
    <n v="4"/>
    <n v="3"/>
    <n v="4"/>
    <n v="37"/>
    <s v="SI"/>
    <s v="SI, TIPO IE"/>
    <s v="PRI SIN TIPO IE"/>
    <s v="pendiente tipo ie"/>
    <e v="#N/A"/>
    <e v="#N/A"/>
    <m/>
    <n v="3"/>
    <n v="10"/>
    <n v="8"/>
    <n v="0"/>
    <n v="15"/>
    <n v="15"/>
    <n v="20"/>
    <n v="15.5"/>
    <n v="15.5"/>
    <n v="75.5"/>
    <n v="0.4"/>
    <m/>
    <n v="2"/>
    <n v="3.5"/>
    <n v="8"/>
    <n v="2"/>
    <n v="2"/>
    <n v="3.5"/>
    <n v="8"/>
    <n v="2"/>
    <n v="73.5"/>
    <n v="0.5"/>
    <n v="0.4"/>
    <e v="#N/A"/>
    <s v="x icfes"/>
    <m/>
    <s v="SI, TIPO IE"/>
    <m/>
    <m/>
    <s v="Ingeniería de Sistemas"/>
    <e v="#N/A"/>
    <s v="010"/>
    <e v="#N/A"/>
  </r>
  <r>
    <s v="TI"/>
    <n v="1038869002"/>
    <s v="1000407135"/>
    <s v="JUAN FELIPE ZULUAGA TORRES"/>
    <s v="Estudios por primera vez"/>
    <x v="1"/>
    <s v="Descartado por notas"/>
    <m/>
    <s v="En publico objetivo"/>
    <s v="2da Cohorte"/>
    <s v="Admitido"/>
    <s v="jfzuluagat@eafit.edu.co"/>
    <e v="#N/A"/>
    <s v="juanfelipezuluagatorres@gmail.com"/>
    <s v="573008039577"/>
    <d v="2025-05-16T00:00:00"/>
    <s v="Activo en Programa"/>
    <s v="237-Diseño Interactivo"/>
    <s v="Escuela de Artes y Humanidades"/>
    <d v="2007-07-19T00:00:00"/>
    <n v="18"/>
    <s v="Antioquia"/>
    <s v="Envigado"/>
    <s v="Hombre"/>
    <s v="Soltero"/>
    <s v="NO"/>
    <s v="NO"/>
    <n v="0"/>
    <s v="SI"/>
    <s v="Visión"/>
    <s v="NO"/>
    <s v="NA"/>
    <s v="NO"/>
    <s v="NA"/>
    <s v="No"/>
    <s v="220-2128"/>
    <s v="573008039577"/>
    <s v="Estrato 2"/>
    <s v="NOMENCLATURA VEREDA EL PORVENIR CORREGIMIENTO ELMANZANILLO"/>
    <s v="Antioquia"/>
    <s v="Itagui"/>
    <s v="No aplica, no soy foráneo"/>
    <s v="Familiar"/>
    <s v="SI"/>
    <s v="2024"/>
    <s v="AC202431980358"/>
    <n v="378"/>
    <n v="74"/>
    <n v="79"/>
    <s v="Pública"/>
    <s v="I.E. BENEDIKTA ZUR NIEDEN"/>
    <n v="2024"/>
    <m/>
    <s v="Itagui"/>
    <s v="Bachillerato"/>
    <s v="BACHILLER"/>
    <s v="TIPO: Pública, INSTITUCION: I.E. BENEDIKTA ZUR NIEDEN, AÑO: 2024, CIUDAD: Itagui, TITULO: BACHILLER"/>
    <s v="11"/>
    <s v="Escala Desempeño"/>
    <s v="Escala de 0 - 5"/>
    <s v="4"/>
    <s v="3,4"/>
    <m/>
    <s v="3,5"/>
    <s v="3"/>
    <m/>
    <n v="4"/>
    <n v="3.2"/>
    <m/>
    <n v="3.7"/>
    <n v="4.3"/>
    <m/>
    <s v="3,9"/>
    <s v="4,4"/>
    <m/>
    <s v="4"/>
    <s v="3,5"/>
    <m/>
    <s v="4"/>
    <s v="4,1"/>
    <m/>
    <s v="De 9 y 10"/>
    <n v="3.8"/>
    <s v="SI"/>
    <s v="TIPO: Pública, INSTITUCION: I.E. ENRIQUE VELEZ ESCOBAR, AÑO: 2017, CIUDAD: Itagui, TITULO: PRIMARIA"/>
    <s v="BACHILLER"/>
    <s v=" TITULO: PRIMARIA"/>
    <s v="No"/>
    <n v="50"/>
    <m/>
    <n v="50"/>
    <m/>
    <n v="50"/>
    <m/>
    <m/>
    <n v="50"/>
    <s v="Con detalle por componente"/>
    <s v="Artísticas o culturales,Espacios de liderazgo o representación social"/>
    <s v="No hay una sola forma de vivir habiendo estudiado Diseño Interactivo, y no puedo imaginarme vivir sin estar ejerciendo y estudiando al mismo tiempo. Estudié una técnica de Desarrollo de Software y una de Diseño Gráfico, y planeo seguir estudiando mientras creo experiencias y herramientas útiles, de maneras y escalas antes imposibles para mí._x000a__x000a_Desde pequeño me ha encantado hacer arte y desarrollar cosas, y aunque no tenga los recursos, he logrado realizar cosas útiles y geniales. Hice chatbots para Discord con Javascript: para moderación y entretenimiento de comunidades, un álbum de electrónica, videojuegos y tech demos en Roblox Studio, sitios web, cortos de cine, ilustraciones, etcétera._x000a__x000a_Al terminar once, al ver los problemas en mi institución, decidí hacer una herramienta web superoptimizada para el manejo de la carga académica estudiantil; esto ayuda en sobremanera tanto a estudiantes, como a profesores y padres de familia. Ahora estoy trabajando en una plataforma de estudio autónomo, un lugar para organizarse como estudiante independiente estilo roadmap; esto no existe por el momento en español y mucho menos de manera gratuita; si funciona, también podrá cambiar la vida de cientos de estudiantes._x000a__x000a_Por todo esto, aunque mi familia no pueda costearme una universidad privada, pues vivimos en zona rural del salario mínimo de mi papá, sueño con ganarme la beca; pues sabré más sobre el desarrollo de experiencias, sobre la experiencia de usuario, sobre la ingeniería e innovación, sobre matemática aplicada, sabré formas de hacer rentables mis proyectos, y sobre temas misceláneos. Así seguiré solucionando, pero de mejores maneras, problemas que vea a mi alrededor con toda clase de proyectos, como los que mencioné aquí, incluso mientras aprendo. Con el conocimiento y experiencia que me ceda esa educación seré de ayuda y hasta cambiaré la forma de vivir de cientos de personas."/>
    <s v="Página WEB"/>
    <s v="Por la oferta académica."/>
    <s v="Vocación."/>
    <n v="3"/>
    <s v="1"/>
    <s v="SI"/>
    <s v="NO"/>
    <s v="Entre 2 y 3 millones"/>
    <s v="No"/>
    <n v="0"/>
    <s v="NO"/>
    <m/>
    <s v="SI"/>
    <s v="Beca"/>
    <s v="NO"/>
    <s v=""/>
    <s v=""/>
    <s v="Si"/>
    <s v="Andrés Felipe Zuluaga Torres"/>
    <s v="Casado"/>
    <s v="TÉCNICA"/>
    <s v="40"/>
    <s v="Asesor comercial"/>
    <s v="Empleado (con contrato laboral)"/>
    <s v="Vendedor"/>
    <s v="Boccherini S. A. S."/>
    <n v="1300000"/>
    <s v="Si"/>
    <s v="SI"/>
    <s v="NO"/>
    <s v="El certificado de la empresa fue sacado el año pasado, cuando el salario mínimo era más bajo."/>
    <s v="Si"/>
    <s v="Diana Marcela Torres Álvarez"/>
    <s v="Casado"/>
    <s v="BACHILLERATO"/>
    <s v="41"/>
    <s v="Estudiante"/>
    <s v="Labores del hogar y cuidado"/>
    <s v="Ama de casa"/>
    <s v="CESDE"/>
    <n v="0"/>
    <s v="Si"/>
    <s v="NO"/>
    <s v="NO"/>
    <m/>
    <n v="1300000"/>
    <s v="Si"/>
    <s v="Mateo Zuluaga Torres"/>
    <s v="Hermano / Hermana"/>
    <s v="13"/>
    <s v="Estudiante"/>
    <s v="I. E. John F. Kennedy"/>
    <n v="0"/>
    <s v="No"/>
    <s v=""/>
    <s v=""/>
    <s v=""/>
    <s v=""/>
    <s v=""/>
    <m/>
    <s v=""/>
    <s v=""/>
    <s v=""/>
    <s v=""/>
    <s v=""/>
    <s v=""/>
    <m/>
    <s v=""/>
    <s v=""/>
    <n v="0"/>
    <n v="0"/>
    <n v="0"/>
    <n v="0"/>
    <n v="0"/>
    <s v="No"/>
    <s v=""/>
    <s v=""/>
    <n v="0"/>
    <s v="No"/>
    <s v=""/>
    <s v=""/>
    <n v="0"/>
    <s v="Si"/>
    <s v="Moto"/>
    <s v="Honda"/>
    <s v="2022"/>
    <n v="8000000"/>
    <m/>
    <n v="4"/>
    <n v="4"/>
    <n v="3"/>
    <n v="4"/>
    <n v="3"/>
    <n v="3"/>
    <n v="4"/>
    <n v="4"/>
    <n v="4"/>
    <n v="4"/>
    <n v="37"/>
    <s v="SI"/>
    <m/>
    <s v="SI, SON PRI"/>
    <s v="ok tienen todos los datos"/>
    <s v="Negada"/>
    <n v="20251"/>
    <m/>
    <n v="3"/>
    <n v="10"/>
    <n v="10"/>
    <n v="15"/>
    <n v="10"/>
    <n v="15"/>
    <n v="20"/>
    <n v="19.5"/>
    <n v="19"/>
    <n v="89"/>
    <n v="0.7"/>
    <m/>
    <n v="3.5"/>
    <n v="3.5"/>
    <n v="8"/>
    <n v="4"/>
    <n v="3.5"/>
    <n v="3.5"/>
    <n v="8"/>
    <n v="4.5"/>
    <n v="89.5"/>
    <s v="80 - 100%"/>
    <n v="1"/>
    <e v="#N/A"/>
    <m/>
    <m/>
    <n v="0"/>
    <m/>
    <m/>
    <s v="Diseño Interactivo"/>
    <e v="#N/A"/>
    <s v="237"/>
    <e v="#N/A"/>
  </r>
  <r>
    <s v="TI"/>
    <n v="1038869075"/>
    <s v="1000407522"/>
    <s v="MARIANA SALOME VELASQUEZ GALLEGO"/>
    <s v="Estudios por primera vez"/>
    <x v="1"/>
    <s v="Descartado por bajo icfes"/>
    <m/>
    <s v="En publico objetivo"/>
    <s v="2da Cohorte"/>
    <s v="Admitido"/>
    <s v="msvelasqug@eafit.edu.co"/>
    <e v="#N/A"/>
    <s v="marianasalome0987@gmail.com"/>
    <s v="323/775-6138"/>
    <d v="2025-05-16T00:00:00"/>
    <s v="Activo en Programa"/>
    <s v="010-Ingeniería de Sistemas"/>
    <s v="E Ciencias Aplic e Ingeniería"/>
    <d v="2007-08-14T00:00:00"/>
    <n v="18"/>
    <s v="Antioquia"/>
    <s v="Medellín"/>
    <s v="Mujer"/>
    <s v="Soltero"/>
    <s v="NO"/>
    <s v="NO"/>
    <n v="0"/>
    <s v="NO"/>
    <s v="NA"/>
    <s v="NO"/>
    <s v="NA"/>
    <s v="NO"/>
    <s v="NA"/>
    <s v="No"/>
    <s v="495-5238"/>
    <s v="323/775-6138"/>
    <s v="Estrato 2"/>
    <s v="CL 12 C SUR CR 54 162 (INTERIOR 226 )"/>
    <s v="Antioquia"/>
    <s v="Medellín"/>
    <s v="No aplica, no soy foráneo"/>
    <s v="Familiar"/>
    <s v="SI"/>
    <n v="2025"/>
    <s v="AC202510211763"/>
    <n v="308"/>
    <n v="67"/>
    <n v="57"/>
    <s v="Privada"/>
    <s v="CIBERCOLEGIO UCN"/>
    <n v="2024"/>
    <s v="Antioquia"/>
    <s v="Medellín"/>
    <s v="BACHILLER"/>
    <s v="ACAD"/>
    <s v="TIPO: Privada, INSTITUCION: CIBERCOLEGIO UCN, AÑO: 2024, CIUDAD: Medellín, TITULO: BACHILLER"/>
    <s v="12"/>
    <s v="Escala de 0 - 5"/>
    <s v="Escala de 0 - 5"/>
    <s v="4,4"/>
    <s v="4,3"/>
    <s v="5"/>
    <s v="4,4"/>
    <s v="4,5"/>
    <s v="5"/>
    <n v="4.4000000000000004"/>
    <n v="4.5"/>
    <n v="4.5"/>
    <n v="4.9000000000000004"/>
    <n v="4"/>
    <n v="5"/>
    <s v="4,2"/>
    <s v="4,5"/>
    <s v="4,5"/>
    <s v="4,3"/>
    <s v="4,6"/>
    <s v="5"/>
    <s v="4,3"/>
    <s v="4,5"/>
    <s v="4,5"/>
    <s v="De 9, 10 y 11"/>
    <n v="4.55"/>
    <s v="NO"/>
    <s v="NA"/>
    <n v="0"/>
    <n v="0"/>
    <s v="No"/>
    <n v="50"/>
    <m/>
    <n v="50"/>
    <m/>
    <n v="50"/>
    <m/>
    <m/>
    <n v="50"/>
    <s v="Con detalle por componente"/>
    <s v="Trabajo social o comunitario,Artísticas o culturales"/>
    <s v="Todo comenzó con una idea sencilla: usar lo que aprendía para ayudar a los demás. Comprendí que la tecnología podía ir más allá de ser una herramienta; podía convertirse en un puente entre los problemas de mi comunidad y las soluciones reales. Por eso decidí estudiar ingeniería en sistemas, convencida de que desde este campo puedo generar un impacto profundo y duradero en mi entorno._x000a__x000a_Mi experiencia como parte de la Cívica Juvenil durante años y mi rol como representante estudiantil ante el concejo, me enseñaron que no hay transformación sin empatía. Ayudé en colegios y ancianatos, aprendí a escuchar, a actuar con compromiso y a trabajar en equipo para alcanzar objetivos entendiendo la importancia del liderazgo con propósito._x000a__x000a_Como futura ingeniera en sistemas me visualizo desarrollando plataformas y proyectos digitales que conecten necesidades reales con soluciones prácticas que resuelvan problemas presentes y futuros en mi comunidad. Quiero aprovechar también el poder de la imaginación y la innovación, creando herramientas que aún no existen pero que la tecnología lo hace posible anticipando oportunidades para estar a la vanguardia de esa transformación, esto para mí es ser ingeniera._x000a__x000a_Estudiar en EAFIT sería una oportunidad invaluable para fortalecer mis habilidades y aprender en una comunidad académica reconocida por su excelencia. EAFIT sería ese capullo que me recibe, que me educa, donde siendo la primera profesional en mi familia comienza mi transformación personal, siendo un gran orgullo para mí y los míos. Podré luego desplegar mis alas como mariposa al integrarme al mundo laboral con todo lo aprendido gracias a esta beca, convirtiéndome en un agente de cambio que contribuya al bienestar de mi comunidad. _x000a__x000a_Hagamos posible estos cambios y trabajemos en equipo para que no se quede solo en sueños y se conviertan en realidad._x000a__x000a_Gracias por la oportunidad que nos brindan."/>
    <s v="Redes sociales"/>
    <s v="Por la calidad académica."/>
    <s v="Vocación."/>
    <n v="2"/>
    <s v="0"/>
    <s v="SI"/>
    <s v="NO"/>
    <s v="Entre 2 y 3 millones"/>
    <s v="No"/>
    <n v="0"/>
    <n v="0"/>
    <m/>
    <s v="SI"/>
    <s v="Beca"/>
    <s v="NO"/>
    <s v=""/>
    <s v=""/>
    <s v="Si"/>
    <s v="Edgar Velásquez López"/>
    <s v="Soltero"/>
    <s v="BACHILLERATO"/>
    <s v="48"/>
    <s v="Pensionado"/>
    <s v="Pensionado"/>
    <s v="No aplica"/>
    <s v="No aplica"/>
    <n v="2791403"/>
    <s v="No"/>
    <s v="SI"/>
    <s v="NO"/>
    <s v="Mi papá tiene casa propia, pero actualmente se encuentra separado de mi mamá y convive con otra persona en esta casa."/>
    <s v="Si"/>
    <s v="Paola Andrea Gallego"/>
    <s v="Otro"/>
    <s v="TÉCNICA"/>
    <s v="49"/>
    <s v="ama de casa"/>
    <s v="Labores del hogar y cuidado"/>
    <s v="no aplica"/>
    <s v="NO APLICA"/>
    <n v="0"/>
    <s v="Si"/>
    <s v="NO"/>
    <s v="NO"/>
    <m/>
    <n v="2791403"/>
    <s v="Si"/>
    <s v="Lucila Caro de Gallego"/>
    <s v="Abuelo / Abuela"/>
    <s v="105"/>
    <s v="no aplica"/>
    <s v="No aplica"/>
    <n v="0"/>
    <s v="No"/>
    <s v=""/>
    <s v=""/>
    <s v=""/>
    <s v=""/>
    <s v=""/>
    <m/>
    <s v=""/>
    <s v=""/>
    <s v=""/>
    <s v=""/>
    <s v=""/>
    <s v=""/>
    <m/>
    <s v=""/>
    <s v=""/>
    <n v="200000000"/>
    <n v="0"/>
    <n v="0"/>
    <n v="0"/>
    <n v="0"/>
    <s v="No"/>
    <s v=""/>
    <s v=""/>
    <n v="0"/>
    <s v="No"/>
    <s v=""/>
    <s v=""/>
    <n v="0"/>
    <s v="No"/>
    <s v=""/>
    <s v=""/>
    <s v=""/>
    <n v="0"/>
    <m/>
    <n v="4"/>
    <n v="4"/>
    <n v="3"/>
    <n v="4"/>
    <n v="4"/>
    <n v="3"/>
    <n v="4"/>
    <n v="4"/>
    <n v="4"/>
    <n v="4"/>
    <n v="38"/>
    <s v="SI"/>
    <s v="SI, ICFES"/>
    <s v="PRI SIN PUNTAJE ICFES Y GRADUACION ANTES DE 2025"/>
    <s v="ok puntaje icfes de informe estrategia"/>
    <e v="#N/A"/>
    <e v="#N/A"/>
    <m/>
    <n v="3"/>
    <n v="10"/>
    <n v="10"/>
    <n v="5"/>
    <n v="20"/>
    <n v="15"/>
    <n v="20"/>
    <n v="15.5"/>
    <n v="15.5"/>
    <n v="85.5"/>
    <n v="0.4"/>
    <m/>
    <n v="2"/>
    <n v="3.5"/>
    <n v="8"/>
    <n v="2"/>
    <n v="2"/>
    <n v="3.5"/>
    <n v="8"/>
    <n v="2"/>
    <n v="85.5"/>
    <n v="0.5"/>
    <n v="0.5"/>
    <e v="#N/A"/>
    <m/>
    <m/>
    <s v="SI, ICFES"/>
    <m/>
    <m/>
    <s v="Ingeniería de Sistemas"/>
    <e v="#N/A"/>
    <s v="010"/>
    <e v="#N/A"/>
  </r>
  <r>
    <s v="TI"/>
    <n v="1038869146"/>
    <s v="1000406945"/>
    <s v="SAMUEL ALEJANDRO JARAMILLO RODRIGUEZ"/>
    <s v="Estudios por primera vez"/>
    <x v="1"/>
    <s v="Descartado por bajo icfes"/>
    <m/>
    <s v="En publico objetivo"/>
    <s v="3ra Cohorte"/>
    <s v="Admitido"/>
    <s v="sajaramilr@eafit.edu.co"/>
    <e v="#N/A"/>
    <s v="samueljaramillorodriguez2@gmail.com"/>
    <s v="573108217355"/>
    <d v="2025-06-06T00:00:00"/>
    <s v="Activo en Programa"/>
    <s v="002-Negocios Internacionales"/>
    <s v="Escuela de Administración"/>
    <d v="2007-09-13T00:00:00"/>
    <n v="18"/>
    <s v="Antioquia"/>
    <s v="Envigado"/>
    <s v="Hombre"/>
    <s v="Soltero"/>
    <s v="NO"/>
    <s v="NO"/>
    <n v="0"/>
    <s v="NO"/>
    <s v="NA"/>
    <s v="NO"/>
    <s v="NA"/>
    <s v="NO"/>
    <s v="NA"/>
    <s v="No"/>
    <s v="316/270-8322"/>
    <s v="573108217355"/>
    <s v="Estrato 3"/>
    <s v="DG 81 B 76 89"/>
    <s v="Antioquia"/>
    <s v="Medellín"/>
    <s v="No aplica, no soy foráneo"/>
    <s v="Propio"/>
    <s v="SI"/>
    <s v="2024"/>
    <s v="AC202434096129"/>
    <n v="314"/>
    <n v="63"/>
    <n v="66"/>
    <s v="Privada"/>
    <s v="COL. SANTA BERTILLA BOSCARDIN"/>
    <n v="2024"/>
    <s v="Antioquia"/>
    <s v="Medellín"/>
    <s v="BACHILLER"/>
    <s v="ACAD"/>
    <s v="TIPO: Privada, INSTITUCION: COL. SANTA BERTILLA BOSCARDIN, AÑO: 2024, CIUDAD: Medellín, TITULO: BACHILLER"/>
    <s v="11"/>
    <s v="Escala de 0 - 5"/>
    <s v="Escala de 0 - 5"/>
    <s v="3,8"/>
    <s v="3,8"/>
    <m/>
    <s v="4,5"/>
    <s v="3,7"/>
    <m/>
    <n v="4.3"/>
    <n v="3.9"/>
    <m/>
    <n v="3.9"/>
    <n v="3.7"/>
    <m/>
    <s v="4,6"/>
    <s v="4"/>
    <m/>
    <s v="4,3"/>
    <s v="4,1"/>
    <m/>
    <s v="4,6"/>
    <s v="4,2"/>
    <m/>
    <s v="De 9 y 10"/>
    <n v="3.95"/>
    <s v="NO"/>
    <s v="NA"/>
    <n v="0"/>
    <n v="0"/>
    <s v="No"/>
    <n v="45"/>
    <m/>
    <n v="45"/>
    <m/>
    <n v="45"/>
    <m/>
    <m/>
    <n v="45"/>
    <s v="Con detalle por componente"/>
    <s v="Otras (por ejemplo, un talento extraordinario),Espacios de liderazgo o representación social"/>
    <s v="Desde que era niño he visto a mi mamá, madre cabeza de hogar, luchar por mucho tiempo para darme las oportunidades que ella no pudo tener, sobre todo en mi educación. Gracias a su esfuerzo pude estudiar en un buen colegio, donde aprendí valores y principios muy importantes que fortalece mi idea de emprender._x000a_Siempre me ha llamado la atención la geografía, los idiomas, la economía, las culturas, y las costumbres que existen en cada rincón del mundo. Siempre he soñado con viajar, conocer lo desconocido y aprender cómo viven las personas en otras partes del mundo y trabajar con ellas. Por eso elegí estudiar Negocios Internacionales. Siento que por medio de esta carrera puedo analizar otras culturas y el estado socio-económico que envuelve cada país; para así, ser promotor de ideas innovadoras y que se apeguen a la necesidad del público. _x000a_Crecí en Robledo, un barrio de Medellín donde lo común es ver personas que luchan cada día para salir adelante. He visto cómo la falta de oportunidades, de educación y de empleo afecta a muchas familias. Por eso mi sueño es ser un gran empresario, crear una marca donde no importe de donde vengas, sino que sea un lugar que pueda promover sueños que muchas personas alguna vez tuvieron y mejorar la calidad de vida de ellos y sus familias._x000a_Para lograr esto, necesito estudiar, prepararme y crear, por lo tanto, esta beca es el primer paso, el escalón más importante del camino hacia mi futuro. Con ella puedo entrar a la universidad EAFIT, no solo por su excelencia académica, sino por su enfoque global en la formación de excelentes profesionales y demostrarme a mi mismo que los sueños no solo se quedan en sueños."/>
    <s v="Amigos"/>
    <s v="Por la calidad académica."/>
    <s v="Vocación."/>
    <n v="1"/>
    <s v="3"/>
    <s v="SI"/>
    <s v="NO"/>
    <s v="Entre 2 y 3 millones"/>
    <s v="No"/>
    <n v="0"/>
    <n v="0"/>
    <m/>
    <s v="SI"/>
    <s v="Beca"/>
    <s v="NO"/>
    <s v=""/>
    <s v=""/>
    <s v="Sin información"/>
    <n v="0"/>
    <m/>
    <m/>
    <m/>
    <s v=""/>
    <s v=""/>
    <m/>
    <s v=""/>
    <m/>
    <s v=""/>
    <m/>
    <m/>
    <s v="Nunca he tenido una relacion estable con mi papá, por lo tanto no tengo informacion acerca de él."/>
    <s v="Si"/>
    <s v="Yemely del Zocorro Rodriguez Garcia"/>
    <s v="Soltero"/>
    <s v="UNIVERSITARIOS"/>
    <s v="59"/>
    <s v="Pensionada de la policia"/>
    <s v="Pensionado"/>
    <s v="Pensionada de la policia"/>
    <s v="Pensionada de la policia nacional"/>
    <n v="3400000"/>
    <s v="Si"/>
    <s v="SI"/>
    <s v="NO"/>
    <m/>
    <n v="3400000"/>
    <s v="No, solo vivo con mis padres"/>
    <s v=""/>
    <s v=""/>
    <s v=""/>
    <s v=""/>
    <s v=""/>
    <m/>
    <s v=""/>
    <s v=""/>
    <s v=""/>
    <s v=""/>
    <s v=""/>
    <s v=""/>
    <m/>
    <s v=""/>
    <s v=""/>
    <s v=""/>
    <s v=""/>
    <s v=""/>
    <s v=""/>
    <m/>
    <s v=""/>
    <s v=""/>
    <n v="0"/>
    <n v="160000000"/>
    <n v="0"/>
    <n v="0"/>
    <n v="0"/>
    <s v="Si"/>
    <s v="Renault twingo"/>
    <s v="1997"/>
    <n v="8000000"/>
    <s v="No"/>
    <s v=""/>
    <s v=""/>
    <n v="0"/>
    <s v="No"/>
    <s v=""/>
    <s v=""/>
    <s v=""/>
    <n v="0"/>
    <m/>
    <n v="4"/>
    <n v="4"/>
    <n v="3"/>
    <n v="4"/>
    <n v="3"/>
    <n v="4"/>
    <n v="4"/>
    <n v="4"/>
    <n v="2"/>
    <n v="4"/>
    <n v="36"/>
    <s v="SI"/>
    <m/>
    <s v="SI, SON PRI"/>
    <s v="ok tienen todos los datos"/>
    <e v="#N/A"/>
    <e v="#N/A"/>
    <m/>
    <n v="3"/>
    <n v="10"/>
    <n v="8"/>
    <n v="5"/>
    <n v="10"/>
    <n v="15"/>
    <n v="15"/>
    <n v="14.5"/>
    <n v="14.5"/>
    <n v="69.5"/>
    <n v="0.4"/>
    <m/>
    <n v="2"/>
    <n v="2.5"/>
    <n v="8"/>
    <n v="2"/>
    <n v="2"/>
    <n v="2.5"/>
    <n v="8"/>
    <n v="2"/>
    <n v="67.5"/>
    <n v="0.5"/>
    <n v="0.4"/>
    <e v="#N/A"/>
    <m/>
    <m/>
    <n v="0"/>
    <m/>
    <m/>
    <s v="Negocios Internacionales"/>
    <e v="#N/A"/>
    <s v="002"/>
    <e v="#N/A"/>
  </r>
  <r>
    <s v="TI"/>
    <n v="1038869849"/>
    <s v="1000047964"/>
    <s v="SARA BEDOYA MARTINEZ"/>
    <s v="Estudios por primera vez"/>
    <x v="1"/>
    <s v="Descartado por ingresos altos"/>
    <m/>
    <s v="En publico objetivo"/>
    <s v="3ra Cohorte"/>
    <s v="Admitido"/>
    <s v="sbedoyam9@eafit.edu.co"/>
    <s v="sbedoyam9@eafit.edu.co"/>
    <s v="sbedoyam9@eafit.edu.co"/>
    <s v="573143380114"/>
    <d v="2025-05-30T00:00:00"/>
    <s v="Activo en Programa"/>
    <s v="085-Ingeniería Diseño de Producto"/>
    <s v="E Ciencias Aplic e Ingeniería"/>
    <d v="2008-07-23T00:00:00"/>
    <n v="17"/>
    <s v="Antioquia"/>
    <s v="Medellín"/>
    <s v="Mujer"/>
    <s v="Soltero"/>
    <s v="NO"/>
    <s v="NO"/>
    <n v="0"/>
    <s v="NO"/>
    <s v="NA"/>
    <s v="NO"/>
    <s v="NA"/>
    <s v="NO"/>
    <s v="NA"/>
    <s v="No"/>
    <s v="206-3661"/>
    <s v="573143380114"/>
    <s v="Estrato 2"/>
    <s v="DG 32 #36 SUR 17"/>
    <s v="Antioquia"/>
    <s v="Envigado"/>
    <s v="No aplica, no soy foráneo"/>
    <s v="Propio"/>
    <s v="SI"/>
    <s v="2024"/>
    <s v="AC202433286176"/>
    <n v="337"/>
    <n v="70"/>
    <n v="66"/>
    <s v="Privada"/>
    <s v="COLEGIO LA SALLE ENVIGADO"/>
    <n v="2024"/>
    <s v="Antioquia"/>
    <s v="Envigado"/>
    <s v="BACHILLER"/>
    <n v="0"/>
    <s v="TIPO: Privada, INSTITUCION: COLEGIO LA SALLE ENVIGADO, AÑO: 2024, CIUDAD: Envigado, TITULO: BACHILLER"/>
    <s v="11"/>
    <s v="Escala de 0 - 5"/>
    <s v="Escala de 0 - 5"/>
    <s v="4"/>
    <s v="4"/>
    <s v="4"/>
    <s v="4"/>
    <s v="4,5"/>
    <s v="4"/>
    <n v="4.5"/>
    <n v="4.0999999999999996"/>
    <n v="4"/>
    <n v="4.5"/>
    <n v="4"/>
    <n v="5"/>
    <s v="4,5"/>
    <s v="4"/>
    <s v="4"/>
    <s v="4,5"/>
    <s v="4"/>
    <s v="4"/>
    <s v="4,5"/>
    <s v="4"/>
    <s v="4"/>
    <s v="De 9, 10 y 11"/>
    <n v="4.3500000000000005"/>
    <s v="NO"/>
    <s v="NA"/>
    <n v="0"/>
    <n v="0"/>
    <s v="No"/>
    <n v="50"/>
    <m/>
    <n v="45"/>
    <m/>
    <n v="50"/>
    <m/>
    <m/>
    <n v="48.333333333333336"/>
    <s v="Con detalle por componente"/>
    <s v="Artísticas o culturales,Espacios de liderazgo o representación social,Trabajo social o comunitario"/>
    <s v="Desde que conocí la carrera de Ingeniería de Diseño de Producto, me aficioné totalmente por ella.Me di cuenta de que quiero dedicar mi vida a crear, diseñar, innovar e ir más allá de la estética, poder tocar las raíces de una cultura y, asimismo, conocer directamente sobre cómo afecta esto positiva o negativamente al mercado; saber que para cada producto son importantes todas sus bases, como lo son su diseño estético y novedoso, su ingeniería, funcionalidad y claramente su posible impacto en el mercado, asimismo, poder ser parte de este último de forma activa y prolongada, para poder moldear y aportar a la modernización de este. _x000a__x000a_En mi ejercicio profesional me encantaría poder conectar con artesanos, marcas y empresas locales, impulsando el mercado colombiano hacia una internacionalización estable y accesible, lo cual conllevaría impactar de manera creciente los empleos a jóvenes, lo cual significa que esta carrera, más allá de tener un impacto en el mercado, también puede tenerlo social y culturalmente. Por esto mismo me gustaría tener la beca para poder sorprender al mundo con una huella significativa en la ingeniería de diseño de producto."/>
    <s v="Redes sociales"/>
    <s v="Por la oferta académica."/>
    <s v="Alta empleabilidad."/>
    <n v="3"/>
    <s v="1"/>
    <s v="SI"/>
    <s v="NO"/>
    <s v="Entre 5 y 6 millones"/>
    <s v="Si"/>
    <n v="0"/>
    <s v="SI"/>
    <s v="Crédito ICETEX"/>
    <n v="0"/>
    <m/>
    <s v="NO"/>
    <s v=""/>
    <s v=""/>
    <s v="Si"/>
    <s v="Giovany De Jesús Bedoya Vargas"/>
    <s v="Casado"/>
    <s v="ESPECIALIZACIÓN"/>
    <s v="53"/>
    <s v="Jubilado"/>
    <s v="Pensionado"/>
    <s v="Jubilado"/>
    <s v="Desempeñó dentro del regimen especial de la Fuerza pública del Gobierno Colombiano"/>
    <n v="2500000"/>
    <s v="Si"/>
    <s v="SI"/>
    <s v="SI"/>
    <s v=""/>
    <s v="Si"/>
    <s v="Alba Ruby Martínez"/>
    <s v="Casado"/>
    <m/>
    <s v="53"/>
    <s v="Confeccionista"/>
    <s v="Independiente (trabaja por cuenta propia)"/>
    <s v="Confeccionista de prendas de vestir"/>
    <s v="Independiente"/>
    <n v="2692000"/>
    <s v="Si"/>
    <s v="NO"/>
    <s v="SI"/>
    <m/>
    <n v="5192000"/>
    <s v="No, solo vivo con mis padres"/>
    <s v=""/>
    <s v=""/>
    <s v=""/>
    <s v=""/>
    <s v=""/>
    <m/>
    <s v=""/>
    <s v=""/>
    <s v=""/>
    <s v=""/>
    <s v=""/>
    <s v=""/>
    <m/>
    <s v=""/>
    <s v=""/>
    <s v=""/>
    <s v=""/>
    <s v=""/>
    <s v=""/>
    <m/>
    <s v=""/>
    <s v=""/>
    <n v="0"/>
    <n v="156000000"/>
    <n v="0"/>
    <n v="0"/>
    <n v="0"/>
    <s v="No"/>
    <s v=""/>
    <s v=""/>
    <n v="0"/>
    <s v="No"/>
    <s v=""/>
    <s v=""/>
    <n v="0"/>
    <s v="No"/>
    <s v=""/>
    <s v=""/>
    <s v=""/>
    <n v="0"/>
    <m/>
    <n v="3"/>
    <n v="4"/>
    <n v="4"/>
    <n v="4"/>
    <n v="3"/>
    <n v="4"/>
    <n v="3"/>
    <n v="4"/>
    <n v="4"/>
    <n v="4"/>
    <n v="37"/>
    <s v="SI"/>
    <m/>
    <s v="SI, SON PRI"/>
    <s v="ok tienen todos los datos"/>
    <s v="Negada"/>
    <n v="20251"/>
    <m/>
    <n v="3"/>
    <n v="10"/>
    <n v="10"/>
    <n v="10"/>
    <n v="15"/>
    <n v="15"/>
    <n v="20"/>
    <n v="12.5"/>
    <n v="9.5"/>
    <n v="79.5"/>
    <n v="0.4"/>
    <m/>
    <n v="2"/>
    <n v="2.5"/>
    <n v="3"/>
    <n v="2"/>
    <n v="2"/>
    <n v="2.5"/>
    <n v="6"/>
    <n v="2"/>
    <n v="82.5"/>
    <n v="0.4"/>
    <n v="0.5"/>
    <e v="#N/A"/>
    <m/>
    <m/>
    <n v="0"/>
    <m/>
    <m/>
    <s v="Ingeniería Diseño de Producto"/>
    <e v="#N/A"/>
    <s v="085"/>
    <e v="#N/A"/>
  </r>
  <r>
    <s v="TI"/>
    <n v="1039224542"/>
    <s v="1000405420"/>
    <s v="SAMUEL CASTRILLON GUAPACHA"/>
    <s v="Estudios por primera vez"/>
    <x v="1"/>
    <s v="Cumple Nutresa"/>
    <m/>
    <s v="En publico objetivo"/>
    <s v="1er Cohorte"/>
    <s v="Admitido"/>
    <s v="scastrilg1@eafit.edu.co"/>
    <e v="#N/A"/>
    <s v="castrillonsamuel4@gmail.com"/>
    <s v="321/447-3138"/>
    <d v="2025-04-25T00:00:00"/>
    <s v="Activo en Programa"/>
    <s v="084-Derecho"/>
    <s v="Escuela de Derecho"/>
    <d v="2007-06-01T00:00:00"/>
    <n v="18"/>
    <s v="Antioquia"/>
    <s v="Concordia"/>
    <s v="Hombre"/>
    <s v="Soltero"/>
    <s v="SI"/>
    <s v="NO"/>
    <n v="0"/>
    <s v="NO"/>
    <s v="NA"/>
    <s v="NO"/>
    <s v="NA"/>
    <s v="NO"/>
    <s v="NA"/>
    <s v="No"/>
    <s v="000-0000"/>
    <s v="321/447-3138"/>
    <s v="Estrato 1"/>
    <s v="CL 30 CC CR 42 E 8 IN 116"/>
    <s v="Antioquia"/>
    <s v="Bello"/>
    <s v="No aplica, no soy foráneo"/>
    <s v="Propio"/>
    <s v="SI"/>
    <s v="2024"/>
    <s v="AC202433350147"/>
    <n v="356"/>
    <n v="72"/>
    <n v="69"/>
    <s v="Pública"/>
    <s v="IE LA GABRIELA"/>
    <n v="2024"/>
    <s v="Antioquia"/>
    <s v="Bello"/>
    <s v="BACHILLER"/>
    <s v="ACAD"/>
    <s v="TIPO: Pública, INSTITUCION: IE LA GABRIELA, AÑO: 2024, CIUDAD: Bello, TITULO: BACHILLER"/>
    <s v="11"/>
    <s v="Escala de 0 - 5"/>
    <s v="Escala de 0 - 5"/>
    <s v="5"/>
    <s v="5"/>
    <m/>
    <s v="5"/>
    <s v="5"/>
    <m/>
    <n v="5"/>
    <n v="4.9000000000000004"/>
    <m/>
    <n v="4.5"/>
    <n v="4.8"/>
    <m/>
    <s v="5"/>
    <s v="4,8"/>
    <m/>
    <s v="4,5"/>
    <s v="4,6"/>
    <m/>
    <s v="4,5"/>
    <s v="4,9"/>
    <m/>
    <s v="De 9 y 10"/>
    <n v="4.8"/>
    <s v="NO"/>
    <s v="NA"/>
    <n v="0"/>
    <n v="0"/>
    <s v="No"/>
    <n v="50"/>
    <m/>
    <n v="50"/>
    <m/>
    <n v="50"/>
    <m/>
    <s v="Excelente candidato."/>
    <n v="50"/>
    <s v="Con detalle por componente"/>
    <s v="Deportistas de alto rendimiento o representativo,Espacios de liderazgo o representación social"/>
    <s v="Desde que fui admitido al programa de Derecho en la Universidad EAFIT, me visualizo cumpliendo esta profesión con un gran compromiso social, siendo un defensor justo de los  derechos humanos, sobretodo en comunidades que de manera histórica han sido excluidas o vulneradas. Deseo formarme como un abogado íntegro, con la capacidad no solo de interpretar y aplicar las leyes, sino también de cuestionarlas y transformarlas cuando estas no responden a las realidades sociales actuales._x000a_Mi propósito es sentirme como un profesional que lucha por el acceso igualitario a la justicia, promoviendo procesos legales claros y concisos, transparentes y cercanos a la ciudadanía. Quiero luchar por iniciativas de educación en los derechos comunitarios para las personas menos escuchadas, acompañamiento legal gratuito y cambios que permitan una justicia más inclusiva y eficiente, en especial para las poblaciones menos favorecidas._x000a_Obtener esta beca representa una oportunidad única para dedicarme por completo a mi crecimiento académico y personal sin los obstáculos que implica la preocupación económica. Con el apoyo de EAFIT, una universidad reconocida por su excelencia y su visión integral, podré adquirir las herramientas necesarias para liderar procesos de transformación social desde el Derecho. Mi meta es clara, usar el conocimiento aprendido como ayuda para construir una sociedad más justa, donde todos tengan la posibilidad de hablar y ser escuchados acerca de sus derechos, sin importar su origen o raíces _x000a_Agradezco de antemano la consideración de mi postulación a la beca y espero tener la oportunidad de_x000a_contribuir al legado de excelencia de EAFIT."/>
    <s v="Página WEB"/>
    <s v="Por la calidad académica."/>
    <s v="Vocación."/>
    <n v="2"/>
    <s v="1"/>
    <s v="SI"/>
    <s v="NO"/>
    <s v="Entre 1 y 2 millones"/>
    <s v="No"/>
    <n v="0"/>
    <n v="0"/>
    <m/>
    <s v="SI"/>
    <s v="Beca"/>
    <s v="NO"/>
    <s v=""/>
    <s v=""/>
    <s v="Sin información"/>
    <n v="0"/>
    <m/>
    <m/>
    <m/>
    <s v=""/>
    <s v=""/>
    <m/>
    <s v=""/>
    <m/>
    <s v=""/>
    <m/>
    <m/>
    <s v="Tengo poco recuerdos de mi padre, hasta cerca de mis 5 años de edad tuvimos contacto, nunca se hizo cargo de mi, en estos momentos desconozco su ubicación. Tengo muy poca información de el, salvo pequeñas historias que me cuenta mi mama acerca de el. Ella dice que mi amor por el deporte es por parte de el, y que a pesar de todo muchos rasgos físicos también. Su edad ronda los 45 años, y siempre fue una persona que no estuvo muy bien tanto psicológica como emocionalmente."/>
    <s v="Si"/>
    <s v="ELIANA LORENA GUAPACHA ATEHORTUA"/>
    <s v="Soltero"/>
    <s v="TÉCNICA"/>
    <s v="36"/>
    <s v="AUXILIAR ADMINISTRATIVA EN SALUD"/>
    <s v="Empleado (con contrato laboral)"/>
    <s v="AUXILIAR ADMINISTRATIVA EN SALUD"/>
    <s v="Outsourcing"/>
    <n v="2340000"/>
    <s v="Si"/>
    <s v="SI"/>
    <s v="NO"/>
    <s v="Mi madre es quien a llevado el 100% de mi responsabilidad, a pesar de ser un embarazo a temprana edad ha sabido sobrellevar todas las circunstancias para tenerme en el lugar que estoy. Siempre esta a mi lado impulsándome a ser mejor, a pesar de las tantas situaciones difíciles que hemos atravesado, no hemos desfallecido y eso me ha enseñado el valor de la resiliencia y la disciplina. Ella tiene 36 años, es madre cabeza de familia, y ha dado todo por el bienestar de sus hijos, es algo que me llena mucho de orgullo. Siempre me apoyo en cualquiera que fuese la carrera que elegiría estudiar y es mi mas grande apoyo emocional"/>
    <n v="2340000"/>
    <s v="Si"/>
    <s v="JOSUE ROJAS GUAPACHA"/>
    <s v="Hermano / Hermana"/>
    <s v="6"/>
    <s v="Estudiante"/>
    <s v="I.E La Gabriela"/>
    <n v="0"/>
    <s v="No"/>
    <s v=""/>
    <s v=""/>
    <s v=""/>
    <s v=""/>
    <s v=""/>
    <m/>
    <s v=""/>
    <s v=""/>
    <s v=""/>
    <s v=""/>
    <s v=""/>
    <s v=""/>
    <m/>
    <s v=""/>
    <s v="En nuestro hogar somos 3 personas, mi madre que es cabeza de familia, mi hermano y yo. Mi madre se encuentra en proceso de divorcio, por lo tanto solo residimos 3 personas en nuestra casa."/>
    <n v="16500000"/>
    <n v="0"/>
    <n v="0"/>
    <n v="0"/>
    <n v="0"/>
    <s v="No"/>
    <s v=""/>
    <s v=""/>
    <n v="0"/>
    <s v="No"/>
    <s v=""/>
    <s v=""/>
    <n v="0"/>
    <s v="No"/>
    <s v=""/>
    <s v=""/>
    <s v=""/>
    <n v="0"/>
    <s v="No poseemos bienes particulares, solo una casa en obra negra, con compraventa. Aun esta en proceso de repartición por la separación matrimonial de mi madre. Aparte de esto, no tenemos mas bienes materiales"/>
    <n v="4"/>
    <n v="4"/>
    <n v="3"/>
    <n v="4"/>
    <n v="3"/>
    <n v="3"/>
    <n v="4"/>
    <n v="4"/>
    <n v="2"/>
    <n v="4"/>
    <n v="35"/>
    <s v="SI"/>
    <m/>
    <s v="SI, SON PRI"/>
    <s v="ok tienen todos los datos"/>
    <s v="Negada"/>
    <n v="20251"/>
    <m/>
    <n v="2"/>
    <n v="6"/>
    <n v="6"/>
    <n v="10"/>
    <n v="20"/>
    <n v="15"/>
    <n v="20"/>
    <n v="18.5"/>
    <n v="17"/>
    <n v="88"/>
    <n v="0.5"/>
    <m/>
    <n v="3.5"/>
    <n v="2.5"/>
    <n v="8"/>
    <n v="3"/>
    <n v="3.5"/>
    <n v="2.5"/>
    <n v="8"/>
    <n v="4.5"/>
    <n v="89.5"/>
    <n v="0.7"/>
    <n v="1"/>
    <e v="#N/A"/>
    <m/>
    <m/>
    <n v="0"/>
    <s v="EN ORDEN"/>
    <s v="el predial es de 2022"/>
    <s v="Derecho"/>
    <s v="Pres. para revision docs nutresa"/>
    <s v="084"/>
    <e v="#N/A"/>
  </r>
  <r>
    <s v="CC"/>
    <n v="1039447928"/>
    <s v="1000406226"/>
    <s v="JULIAN CRUZ ZULUAGA"/>
    <s v="Transferencia Externa"/>
    <x v="14"/>
    <s v="No cumple, otros estudios de pregrado"/>
    <m/>
    <s v="En publico objetivo"/>
    <s v="2da Cohorte"/>
    <s v="Admitido"/>
    <s v="jcruzz@eafit.edu.co"/>
    <e v="#N/A"/>
    <s v="julianczn47@gmail.com"/>
    <s v="573044979839"/>
    <d v="2025-05-16T00:00:00"/>
    <s v="Activo en Programa"/>
    <s v="169-Mercadeo"/>
    <s v="Escuela de Administración"/>
    <d v="2006-03-09T00:00:00"/>
    <n v="19"/>
    <s v="Antioquia"/>
    <s v="Medellín"/>
    <s v="Hombre"/>
    <s v="Soltero"/>
    <s v="NO"/>
    <s v="NO"/>
    <n v="0"/>
    <s v="NO"/>
    <s v="NA"/>
    <s v="NO"/>
    <s v="NA"/>
    <s v="NO"/>
    <s v="NA"/>
    <s v="No"/>
    <s v="304/497-9839"/>
    <s v="573044979839"/>
    <s v="Estrato 3"/>
    <s v="CL 77 C SUR #44 45"/>
    <s v="Antioquia"/>
    <s v="Sabaneta"/>
    <s v="No aplica, no soy foráneo"/>
    <s v="Propio"/>
    <s v="SI"/>
    <s v="2022"/>
    <s v="AC202240688291"/>
    <n v="350"/>
    <n v="71"/>
    <n v="70"/>
    <s v="Privada"/>
    <s v="GIMNASIO LOS ALCAZARES JORNADA"/>
    <n v="2022"/>
    <s v="Antioquia"/>
    <s v="Sabaneta"/>
    <s v="BACHILLER"/>
    <s v="ACAD"/>
    <s v="TIPO: Privada, INSTITUCION: GIMNASIO LOS ALCAZARES JORNADA, AÑO: 2022, CIUDAD: Sabaneta, TITULO: BACHILLER"/>
    <n v="0"/>
    <n v="0"/>
    <s v="PCA TEX"/>
    <m/>
    <m/>
    <m/>
    <m/>
    <m/>
    <m/>
    <m/>
    <m/>
    <m/>
    <m/>
    <m/>
    <m/>
    <m/>
    <m/>
    <m/>
    <m/>
    <m/>
    <m/>
    <m/>
    <m/>
    <m/>
    <s v="Ver PCA TEX"/>
    <n v="3.1"/>
    <s v="SI"/>
    <s v="TIPO: Pública, INSTITUCION: UNIVERSIDAD DE ANTIOQUIA, AÑO: 0, CIUDAD: Medellín, TITULO: INGENIERO AMBIENTAL (Medellín)"/>
    <s v="PREGRADO"/>
    <s v=" TITULO: INGENIERO AMBIENTAL (Medellín)"/>
    <s v="No"/>
    <n v="40"/>
    <m/>
    <n v="45"/>
    <m/>
    <n v="45"/>
    <m/>
    <m/>
    <n v="43.333333333333336"/>
    <s v="Con detalle por componente"/>
    <s v="Trabajo social o comunitario,Artísticas o culturales,Espacios de liderazgo o representación social"/>
    <s v="Me visualizo ejerciendo la carrera de Mercadeo en áreas como asesoría empresarial y publicidad, dos ámbitos que requieren la habilidad de conectar ideas con personas de manera creativa y estratégica, y que despiertan en mí una gran pasión. A su vez, considero fundamental dominar el entorno digital y adaptarme a las nuevas tendencias, dado que el mercadeo es un campo competitivo y de constante cambio._x000a__x000a_Sueño con crecer profesionalmente dentro de una empresa que me brinde oportunidades de aprendizaje y desarrollo. Aspiro a ocupar cargos de liderazgo donde no solo pueda tomar decisiones, sino también guiar a las personas para generar un impacto positivo en la industria. A largo plazo, me gustaría emprender, pues el mercadeo ofrece infinitas posibilidades para innovar y crear productos o servicios propios que ayuden a las personas._x000a__x000a_Obtener esta beca representaría una oportunidad grande para mi formación académica, ya que me permitiría superar las barreras económicas y acceder a una educación de calidad en una universidad como EAFIT, reconocida por su excelencia académica. A través de mi educación, quiero adquirir las herramientas necesarias no solo para desarrollarme como profesional, sino también para generar un impacto positivo en mi entorno. Aspiro a apoyar a emprendedores y negocios de mi entorno, brindándoles asesoría en estrategias de mercadeo que les permitan crecer y adaptarse a los retos del mercado actual. Además, me gustaría compartir mis conocimientos con otras personas interesadas en esta área, ayudando así a que otras personas puedan tener conocimientos en mercadeo._x000a__x000a_Estoy convencido de que estudiar Mercadeo en EAFIT es una oportunidad única para crecer profesionalmente y, a futuro, retribuir a mi entorno todo lo aprendido."/>
    <s v="Página WEB"/>
    <s v="Por la calidad académica."/>
    <s v="Vocación."/>
    <n v="3"/>
    <s v="1"/>
    <s v="SI"/>
    <s v="NO"/>
    <s v="Entre 4 y 5 millones"/>
    <s v="No"/>
    <n v="0"/>
    <n v="0"/>
    <m/>
    <s v="SI"/>
    <s v="Beca"/>
    <s v="NO"/>
    <s v=""/>
    <s v=""/>
    <s v="Si"/>
    <s v="Carlos Horacio Cruz Cruz"/>
    <m/>
    <s v="BACHILLERATO"/>
    <m/>
    <s v="Pensionado"/>
    <s v="Pensionado"/>
    <s v="No aplica"/>
    <s v="No aplica"/>
    <n v="4000000"/>
    <s v="Si"/>
    <s v="NO"/>
    <s v="NO"/>
    <s v=""/>
    <s v="Si"/>
    <s v="Lina Luz Zuluaga Oviedo"/>
    <s v="Otro"/>
    <s v="BACHILLERATO"/>
    <m/>
    <s v="Asesora inmobiliaria independiente / Ama de casa"/>
    <s v="Independiente (trabaja por cuenta propia)"/>
    <s v="Asesora inmobiliaria / Ama de casa"/>
    <s v="Independiente"/>
    <n v="0"/>
    <s v="Si"/>
    <s v="NO"/>
    <s v="NO"/>
    <s v="No cuenta con un trabajo estable y además desempeña labores como ama de casa, por lo cual no tiene un ingreso mensual fijo o constante."/>
    <n v="4000000"/>
    <s v="Si"/>
    <s v="Carlos David Cruz Zuluaga"/>
    <s v="Hermano / Hermana"/>
    <s v="22"/>
    <s v="Desarrollador de Software"/>
    <s v="Big John"/>
    <n v="2000000"/>
    <s v="No"/>
    <s v=""/>
    <s v=""/>
    <s v=""/>
    <s v=""/>
    <s v=""/>
    <m/>
    <s v=""/>
    <s v=""/>
    <s v=""/>
    <s v=""/>
    <s v=""/>
    <s v=""/>
    <m/>
    <s v=""/>
    <s v=""/>
    <n v="0"/>
    <n v="260000000"/>
    <n v="0"/>
    <n v="0"/>
    <n v="0"/>
    <s v="No"/>
    <s v=""/>
    <s v=""/>
    <n v="0"/>
    <s v="No"/>
    <s v=""/>
    <s v=""/>
    <n v="0"/>
    <s v="No"/>
    <s v=""/>
    <s v=""/>
    <s v=""/>
    <n v="0"/>
    <m/>
    <n v="3"/>
    <n v="4"/>
    <n v="4"/>
    <n v="4"/>
    <n v="4"/>
    <n v="4"/>
    <n v="3"/>
    <n v="4"/>
    <n v="4"/>
    <n v="3"/>
    <n v="37"/>
    <s v="SI"/>
    <m/>
    <s v="SI, SON TEX, EN LUGAR DE NOTAS TIENEN PCA"/>
    <s v="ok tienen todos los datos"/>
    <e v="#N/A"/>
    <e v="#N/A"/>
    <m/>
    <n v="3"/>
    <n v="10"/>
    <n v="8"/>
    <n v="10"/>
    <n v="5"/>
    <n v="15"/>
    <n v="15"/>
    <n v="12.5"/>
    <n v="11.5"/>
    <n v="66.5"/>
    <n v="0.4"/>
    <n v="0.4"/>
    <n v="2"/>
    <n v="2.5"/>
    <n v="6"/>
    <n v="1"/>
    <n v="2"/>
    <n v="2.5"/>
    <n v="7"/>
    <n v="1"/>
    <n v="65.5"/>
    <n v="0.4"/>
    <s v="Negado"/>
    <e v="#N/A"/>
    <m/>
    <m/>
    <n v="0"/>
    <m/>
    <m/>
    <s v="Mercadeo"/>
    <e v="#N/A"/>
    <m/>
    <e v="#N/A"/>
  </r>
  <r>
    <s v="CC"/>
    <n v="1039465181"/>
    <s v="1000392180"/>
    <s v="LAURA ANDREA MORALES YEPES"/>
    <s v="Estudios por primera vez"/>
    <x v="15"/>
    <s v="No cumple, puntaje ICFES menor a 300"/>
    <m/>
    <s v="En publico objetivo"/>
    <s v="2da Cohorte"/>
    <s v="Admitido"/>
    <s v="lamoralesy@eafit.edu.co"/>
    <s v="lamoralesy@eafit.edu.co"/>
    <s v="lamoralesy@eafit.edu.co"/>
    <s v="573011181988"/>
    <d v="2025-05-16T00:00:00"/>
    <s v="Activo en Programa"/>
    <s v="240-Diseño Urbano y Gesti Hábitat"/>
    <s v="E Ciencias Aplic e Ingeniería"/>
    <d v="1995-09-11T00:00:00"/>
    <n v="30"/>
    <s v="Antioquia"/>
    <s v="Sabaneta"/>
    <s v="Mujer"/>
    <s v="Soltero"/>
    <s v="NO"/>
    <s v="NO"/>
    <n v="0"/>
    <s v="NO"/>
    <s v="NA"/>
    <s v="NO"/>
    <s v="NA"/>
    <s v="NO"/>
    <s v="NA"/>
    <s v="No"/>
    <s v="301/118-1988"/>
    <s v="573011181988"/>
    <s v="Estrato 2"/>
    <s v="CR 30 72 SUR 71"/>
    <s v="Antioquia"/>
    <s v="Sabaneta"/>
    <s v="No aplica, no soy foráneo"/>
    <s v="Familiar"/>
    <s v="SI"/>
    <s v="2012"/>
    <s v="AC201223066297"/>
    <n v="275"/>
    <n v="43"/>
    <n v="55"/>
    <s v="Pública"/>
    <s v="I.E. PRIMITIVO LEAL LA DOCTORA"/>
    <n v="2012"/>
    <m/>
    <s v="Sabaneta"/>
    <s v="Tecnólogo"/>
    <s v="BACHILLER"/>
    <s v="TIPO: Pública, INSTITUCION: I.E. PRIMITIVO LEAL LA DOCTORA, AÑO: 2012, CIUDAD: Sabaneta, TITULO: BACHILLER"/>
    <s v="11"/>
    <s v="Escala de 0 - 5"/>
    <s v="Escala de 0 - 5"/>
    <s v="3,4"/>
    <s v="4"/>
    <s v="4"/>
    <s v="3,4"/>
    <s v="3,4"/>
    <s v="3"/>
    <n v="3"/>
    <n v="4"/>
    <n v="4"/>
    <n v="4"/>
    <n v="4"/>
    <n v="5"/>
    <s v="4"/>
    <s v="4"/>
    <s v="3"/>
    <s v="4"/>
    <s v="4,5"/>
    <s v="4"/>
    <s v="4"/>
    <s v="4,5"/>
    <s v="5"/>
    <s v="De 9, 10 y 11"/>
    <n v="4"/>
    <s v="SI"/>
    <s v="TIPO: Pública, INSTITUCION: COLEGIO MAYOR DE ANTIOQUIA, AÑO: 2019, CIUDAD: Medellín, TITULO: TECNOLOGO EN DELINEANTE DE ARQUITECTURA E INGENIERIA (Medellín)"/>
    <s v="TECNOLOGIA"/>
    <s v=" TITULO: TECNOLOGO EN DELINEANTE DE ARQUITECTURA E INGENIERIA (Medellín)"/>
    <s v="No"/>
    <n v="50"/>
    <m/>
    <n v="50"/>
    <m/>
    <n v="50"/>
    <m/>
    <m/>
    <n v="50"/>
    <s v="Con detalle por componente"/>
    <s v="Ninguna"/>
    <s v="desarrollando una empresa que desarrolle proyectos urbanísticos enfocados a la humanidad y su calidad de vida"/>
    <s v="Otro"/>
    <s v="Por la oferta académica."/>
    <s v="Vocación."/>
    <n v="2"/>
    <s v="4"/>
    <s v="NO"/>
    <s v="NO"/>
    <s v="Entre 3 y 4 millones"/>
    <s v="No"/>
    <n v="0"/>
    <s v="SI"/>
    <s v="Crédito entidad externa"/>
    <n v="0"/>
    <m/>
    <s v="NO"/>
    <s v=""/>
    <s v=""/>
    <s v="Sin información"/>
    <n v="0"/>
    <m/>
    <m/>
    <m/>
    <s v=""/>
    <s v=""/>
    <m/>
    <s v=""/>
    <m/>
    <s v=""/>
    <m/>
    <m/>
    <s v="Nunca he convivido con el, aun que le respeto no somos cernos."/>
    <s v="Si"/>
    <s v="Blanca Patricia Yepes Montoya"/>
    <s v="Soltero"/>
    <s v="PRIMARIA"/>
    <s v="58"/>
    <s v="Pesionada"/>
    <s v="Pensionado"/>
    <s v="Pensionada"/>
    <s v="Pensionada"/>
    <n v="1423500"/>
    <s v="Si"/>
    <s v="NO"/>
    <s v="NO"/>
    <s v="Actualmente se dedica a aprender a vivir para ella"/>
    <n v="1423500"/>
    <s v="Si"/>
    <s v="Carolina Morales Yepes"/>
    <s v="Hermano / Hermana"/>
    <s v="26"/>
    <s v="Técnico forense"/>
    <s v="Instituto nacional de medicina legal y ciencias forenses"/>
    <n v="4743336"/>
    <s v="Si"/>
    <s v=""/>
    <s v=""/>
    <s v=""/>
    <s v=""/>
    <s v=""/>
    <m/>
    <s v=""/>
    <s v=""/>
    <s v=""/>
    <s v=""/>
    <s v=""/>
    <s v=""/>
    <m/>
    <s v=""/>
    <s v=""/>
    <n v="0"/>
    <n v="0"/>
    <n v="0"/>
    <n v="0"/>
    <n v="0"/>
    <s v="No"/>
    <s v=""/>
    <s v=""/>
    <n v="0"/>
    <s v="No"/>
    <s v=""/>
    <s v=""/>
    <n v="0"/>
    <s v="No"/>
    <s v=""/>
    <s v=""/>
    <s v=""/>
    <n v="0"/>
    <s v="La casa en que vivimos hace parte de una propiedad familiar lo impide un avaluó independiente"/>
    <n v="3"/>
    <n v="4"/>
    <n v="4"/>
    <n v="4"/>
    <n v="3"/>
    <n v="4"/>
    <n v="3"/>
    <n v="4"/>
    <n v="4"/>
    <n v="3"/>
    <n v="36"/>
    <s v="SI"/>
    <m/>
    <s v="SI, SON PRI"/>
    <s v="ok tienen todos los datos"/>
    <e v="#N/A"/>
    <e v="#N/A"/>
    <m/>
    <n v="2"/>
    <s v="NA"/>
    <s v="NA"/>
    <s v="NA"/>
    <s v="NA"/>
    <s v="NA"/>
    <s v="NA"/>
    <e v="#VALUE!"/>
    <e v="#VALUE!"/>
    <e v="#VALUE!"/>
    <s v="NCR"/>
    <m/>
    <s v="NA"/>
    <s v="NA"/>
    <s v="NA"/>
    <s v="NA"/>
    <s v="NA"/>
    <s v="NA"/>
    <s v="NA"/>
    <s v="NA"/>
    <e v="#VALUE!"/>
    <s v="NCR"/>
    <s v="Negado"/>
    <e v="#N/A"/>
    <m/>
    <m/>
    <n v="0"/>
    <m/>
    <m/>
    <s v="Diseño Urbano y Gesti Hábitat"/>
    <e v="#N/A"/>
    <m/>
    <s v="NCR"/>
  </r>
  <r>
    <s v="CC"/>
    <n v="1039470599"/>
    <s v="1000402498"/>
    <s v="NICOLAS ESPINAL FLOREZ"/>
    <s v="Transferencia Externa"/>
    <x v="2"/>
    <s v="No cumple, puntaje ICFES menor a 300"/>
    <m/>
    <s v="En publico objetivo"/>
    <s v="2da Cohorte"/>
    <s v="Admitido"/>
    <s v="nespinalf@eafit.edu.co"/>
    <s v="nespinalf@eafit.edu.co"/>
    <s v="nicolasespinal843@gmail.com"/>
    <s v="573142216838"/>
    <d v="2025-05-16T00:00:00"/>
    <s v="Activo en Programa"/>
    <s v="010-Ingeniería de Sistemas"/>
    <s v="E Ciencias Aplic e Ingeniería"/>
    <d v="1997-09-15T00:00:00"/>
    <n v="28"/>
    <s v="Antioquia"/>
    <s v="Itagui"/>
    <s v="Hombre"/>
    <s v="Soltero"/>
    <s v="SI"/>
    <s v="SI"/>
    <s v="Sopetrán"/>
    <s v="NO"/>
    <s v="NA"/>
    <s v="NO"/>
    <s v="NA"/>
    <s v="NO"/>
    <s v="NA"/>
    <s v="No"/>
    <s v="302/444-4522"/>
    <s v="573142216838"/>
    <s v="Estrato 1"/>
    <s v="CR 67#57 ASUR 16 IN 406"/>
    <s v="Antioquia"/>
    <s v="Itagui"/>
    <s v="No aplica, no soy foráneo"/>
    <s v="Familiar"/>
    <s v="SI"/>
    <s v="2014"/>
    <s v="AC201421717446"/>
    <n v="185"/>
    <n v="50"/>
    <n v="35"/>
    <s v="Pública"/>
    <s v="I.E. SAMUEL BARRIENTOS RESTREP"/>
    <n v="2015"/>
    <s v="Antioquia"/>
    <s v="Medellín"/>
    <s v="BACHILLER"/>
    <s v="ACAD"/>
    <s v="TIPO: Pública, INSTITUCION: I.E. SAMUEL BARRIENTOS RESTREP, AÑO: 2015, CIUDAD: Medellín, TITULO: BACHILLER"/>
    <n v="0"/>
    <n v="0"/>
    <s v="PCA TEX"/>
    <m/>
    <m/>
    <m/>
    <m/>
    <m/>
    <m/>
    <m/>
    <m/>
    <m/>
    <m/>
    <m/>
    <m/>
    <m/>
    <m/>
    <m/>
    <m/>
    <m/>
    <m/>
    <m/>
    <m/>
    <m/>
    <s v="Ver PCA TEX"/>
    <n v="4.5"/>
    <s v="SI"/>
    <s v="TIPO: Pública, INSTITUCION: UNIVERSIDAD EXTRANJERA, AÑO: 0, CIUDAD: Extranjero, TITULO: TÉCNICO ASISTENTE EN DESARROLLO DE SOFTWARE"/>
    <s v="TECNICA"/>
    <s v=" TITULO: TÉCNICO ASISTENTE EN DESARROLLO DE SOFTWARE"/>
    <s v="No"/>
    <n v="50"/>
    <m/>
    <n v="50"/>
    <m/>
    <n v="50"/>
    <m/>
    <m/>
    <n v="50"/>
    <s v="Con detalle por componente"/>
    <s v="Deportistas de alto rendimiento o representativo"/>
    <s v="Me visualizo ejerciendo la Ingeniería de Sistemas como un profesional comprometido con el desarrollo tecnológico y social de mi región. Desde muy joven he sentido una profunda curiosidad por la tecnología y cómo esta puede resolver problemas cotidianos. Por eso, elegí esta carrera con el objetivo de crear soluciones digitales que mejoren la calidad de vida de las comunidades, especialmente en zonas donde el acceso a herramientas tecnológicas aún es limitado._x000a__x000a_Mi propósito es liderar proyectos de transformación digital que promuevan la inclusión educativa, el acceso a la información y el emprendimiento tecnológico local. Quiero contribuir al desarrollo de aplicaciones y plataformas que acerquen el conocimiento a jóvenes como yo, que tienen el potencial, pero no siempre las oportunidades. Me motiva pensar en centros comunitarios con acceso a tecnología, cursos gratuitos de programación y redes de apoyo para emprendedores digitales en mi municipio._x000a__x000a_La obtención de esta beca representa mucho más que un apoyo económico: es la posibilidad de estudiar en una universidad de alto nivel como EAFIT, lo que potenciará mis capacidades y me permitirá acceder a redes de conocimiento que serían difíciles de alcanzar por mis propios medios. Esta beca sería el impulso necesario para formarme integralmente y devolverle a mi región todo lo que ha sembrado en mí._x000a__x000a_Sueño con ser un referente positivo para otros jóvenes de mi entorno, demostrando que con disciplina, visión y apoyo es posible transformar la realidad. Mi meta es no solo crecer como profesional, sino multiplicar las oportunidades para quienes vienen detrás de mí."/>
    <s v="Amigos"/>
    <s v="Por recomendación."/>
    <s v="Alta empleabilidad."/>
    <n v="5"/>
    <s v="4"/>
    <s v="SI"/>
    <s v="NO"/>
    <s v="Entre 1 y 2 millones"/>
    <s v="No"/>
    <n v="0"/>
    <s v="SI"/>
    <s v="Crédito entidad externa"/>
    <n v="0"/>
    <m/>
    <s v="SI"/>
    <s v="ESPUMAS PLASTICAS SAS"/>
    <s v="Auxiliar Logistico"/>
    <s v="Si"/>
    <s v="carlos enrique espinal rua"/>
    <s v="Soltero"/>
    <s v="BACHILLERATO"/>
    <s v="56"/>
    <s v="Desempleado"/>
    <s v="Desempleado (Se encuentra en la búsqueda activa de empleo)"/>
    <s v="No aplica"/>
    <s v="No aplica"/>
    <n v="0"/>
    <s v="No"/>
    <s v="NO"/>
    <s v="NO"/>
    <s v="complicado pero sigue siendo buen pádre"/>
    <s v="Si"/>
    <s v="Dora lilia florez garcia"/>
    <s v="Soltero"/>
    <s v="BACHILLERATO"/>
    <s v="53"/>
    <s v="ama de casa"/>
    <s v="Desempleado (Se encuentra en la búsqueda activa de empleo)"/>
    <s v="no aplica"/>
    <s v="NO APLICA"/>
    <n v="0"/>
    <s v="Si"/>
    <s v="NO"/>
    <s v="NO"/>
    <s v="la mejor mama del mundo"/>
    <n v="0"/>
    <s v="Si"/>
    <s v="Dylan castaño florez"/>
    <s v="Hermano / Hermana"/>
    <s v="13"/>
    <s v="Estudiante"/>
    <s v="institución educativa el limonar"/>
    <n v="0"/>
    <s v="No"/>
    <s v="Celeste perea espinal"/>
    <s v="sobrina"/>
    <s v="3"/>
    <s v="Guarderia-jardin"/>
    <s v="Buen comienzo"/>
    <n v="0"/>
    <s v="No"/>
    <s v="Andres felipe espinal florez"/>
    <s v="Hermano / Hermana"/>
    <s v="33"/>
    <s v="corte confección"/>
    <s v="INTIMATTI S.A.S"/>
    <n v="1800000"/>
    <s v="Si"/>
    <s v="Familia Unida"/>
    <n v="0"/>
    <n v="60000000"/>
    <n v="0"/>
    <n v="0"/>
    <n v="0"/>
    <s v="No"/>
    <s v=""/>
    <s v=""/>
    <n v="0"/>
    <s v="No"/>
    <s v=""/>
    <s v=""/>
    <n v="0"/>
    <s v="No"/>
    <s v=""/>
    <s v=""/>
    <s v=""/>
    <n v="0"/>
    <m/>
    <n v="3"/>
    <n v="4"/>
    <n v="1"/>
    <n v="4"/>
    <n v="3"/>
    <n v="3"/>
    <n v="3"/>
    <n v="4"/>
    <n v="3"/>
    <n v="4"/>
    <n v="32"/>
    <s v="SI"/>
    <m/>
    <s v="SI, SON TEX, EN LUGAR DE NOTAS TIENEN PCA"/>
    <s v="ok tienen todos los datos"/>
    <e v="#N/A"/>
    <e v="#N/A"/>
    <m/>
    <n v="3"/>
    <n v="6"/>
    <n v="6"/>
    <n v="0"/>
    <n v="20"/>
    <n v="10"/>
    <n v="20"/>
    <n v="18"/>
    <n v="18"/>
    <n v="74"/>
    <n v="0.5"/>
    <m/>
    <n v="3.5"/>
    <n v="3.5"/>
    <n v="8"/>
    <n v="3"/>
    <n v="3.5"/>
    <n v="3.5"/>
    <n v="8"/>
    <n v="3"/>
    <n v="74"/>
    <n v="0.6"/>
    <s v="Negado"/>
    <e v="#N/A"/>
    <m/>
    <m/>
    <n v="0"/>
    <m/>
    <m/>
    <s v="Ingeniería de Sistemas"/>
    <e v="#N/A"/>
    <m/>
    <e v="#N/A"/>
  </r>
  <r>
    <s v="CC"/>
    <n v="1039682146"/>
    <s v="1000407467"/>
    <s v="MARIA CLARA ZAPATA MARTINEZ"/>
    <s v="Transferencia Externa"/>
    <x v="1"/>
    <s v="No cumple, puntaje ICFES menor a 300"/>
    <m/>
    <s v="En publico objetivo"/>
    <s v="3ra Cohorte"/>
    <s v="Admitido"/>
    <s v="mczapatam1@eafit.edu.co"/>
    <e v="#N/A"/>
    <s v="maria.zapata128@soy.sena.edu.co"/>
    <s v="573136978415"/>
    <d v="2025-05-30T00:00:00"/>
    <s v="Activo en Programa"/>
    <s v="010-Ingeniería de Sistemas"/>
    <s v="E Ciencias Aplic e Ingeniería"/>
    <d v="2005-08-09T00:00:00"/>
    <n v="20"/>
    <s v="Antioquia"/>
    <s v="Puerto Berrío"/>
    <s v="Mujer"/>
    <s v="Soltero"/>
    <s v="SI"/>
    <s v="SI"/>
    <s v="Caicedo"/>
    <s v="NO"/>
    <s v="NA"/>
    <s v="NO"/>
    <s v="NA"/>
    <s v="NO"/>
    <s v="NA"/>
    <s v="No"/>
    <s v="313/697-8415"/>
    <s v="573136978415"/>
    <s v="Estrato 2"/>
    <s v="CR 7 B #43 E 104 IN 9901"/>
    <s v="Antioquia"/>
    <s v="Medellín"/>
    <s v="No aplica, no soy foráneo"/>
    <s v="Familiar"/>
    <s v="SI"/>
    <s v="2023"/>
    <s v="AC202310705061"/>
    <n v="283"/>
    <n v="57"/>
    <n v="58"/>
    <s v="Pública"/>
    <s v="INST EDUC JUAN MARIA CESPEDES"/>
    <n v="2022"/>
    <s v="Antioquia"/>
    <s v="Medellín"/>
    <s v="BACHILLER"/>
    <s v="ACAD"/>
    <s v="TIPO: Pública, INSTITUCION: INST EDUC JUAN MARIA CESPEDES, AÑO: 2022, CIUDAD: Medellín, TITULO: BACHILLER"/>
    <n v="0"/>
    <n v="0"/>
    <s v="PCA TEX"/>
    <m/>
    <m/>
    <m/>
    <m/>
    <m/>
    <m/>
    <m/>
    <m/>
    <m/>
    <m/>
    <m/>
    <m/>
    <m/>
    <m/>
    <m/>
    <m/>
    <m/>
    <m/>
    <m/>
    <m/>
    <m/>
    <s v="Ver PCA TEX"/>
    <n v="4.5"/>
    <s v="SI"/>
    <s v="TIPO: Pública, INSTITUCION: SERVICIO NACIONAL DE APRENDIZA, AÑO: 0, CIUDAD: Medellín, TITULO: TÉCNICO EN SERVICIOS FARMACÉUTICOS"/>
    <s v="TECNICA"/>
    <s v=" TITULO: TÉCNICO EN SERVICIOS FARMACÉUTICOS"/>
    <s v="No"/>
    <n v="35"/>
    <m/>
    <n v="35"/>
    <m/>
    <n v="40"/>
    <m/>
    <m/>
    <n v="36.666666666666664"/>
    <s v="Con detalle por componente"/>
    <s v="Ninguna"/>
    <s v="Como ingeniera en sistemas pretendo a través de mis herramientas ser un componente clave para el posicionamiento y desarrollo favorable de las pequeñas y medianas empresas, brindado una respuesta oportuna a todas las problemáticas asociadas, contribuyendo a la optimización de procesos y a la buena presencia de los emprendedores en el sector comercial"/>
    <s v="Página WEB"/>
    <s v="Por la calidad académica."/>
    <s v="Vocación."/>
    <n v="2"/>
    <s v="2"/>
    <s v="SI"/>
    <s v="NO"/>
    <s v="Entre 1 y 2 millones"/>
    <s v="No"/>
    <n v="0"/>
    <s v="NO"/>
    <m/>
    <s v="SI"/>
    <s v="Beca"/>
    <s v="NO"/>
    <s v=""/>
    <s v=""/>
    <s v="Si"/>
    <s v="Diego Fernando Zapata Builes"/>
    <s v="Soltero"/>
    <s v="BACHILLERATO"/>
    <s v="54"/>
    <s v="Obrero"/>
    <s v="Independiente (trabaja por cuenta propia)"/>
    <s v="Obrero de Construcción"/>
    <s v="N/A"/>
    <n v="1500000"/>
    <s v="Si"/>
    <s v="NO"/>
    <s v="NO"/>
    <s v="Ninguna"/>
    <s v="Si"/>
    <s v="Mariana Raquel Martinez Miranda"/>
    <s v="Soltero"/>
    <s v="BACHILLERATO"/>
    <s v="40"/>
    <s v="ama de casa"/>
    <s v="Desempleado (Se encuentra en la búsqueda activa de empleo)"/>
    <s v="Ama de casa"/>
    <s v="N/A"/>
    <n v="0"/>
    <s v="No"/>
    <s v="NO"/>
    <s v="NO"/>
    <s v="Ninguna"/>
    <n v="1500000"/>
    <s v="Si"/>
    <s v="Juan David Zapata Quintero"/>
    <s v="Hermano / Hermana"/>
    <s v="25"/>
    <s v="Vigilante"/>
    <s v="UNIVERSO SEGURIDAD LTDA"/>
    <n v="2131620"/>
    <s v="Si"/>
    <s v=""/>
    <s v=""/>
    <s v=""/>
    <s v=""/>
    <s v=""/>
    <m/>
    <s v=""/>
    <s v=""/>
    <s v=""/>
    <s v=""/>
    <s v=""/>
    <s v=""/>
    <m/>
    <s v=""/>
    <s v=""/>
    <n v="130529000"/>
    <n v="0"/>
    <n v="0"/>
    <n v="0"/>
    <n v="0"/>
    <s v="No"/>
    <s v=""/>
    <s v=""/>
    <n v="0"/>
    <s v="No"/>
    <s v=""/>
    <s v=""/>
    <n v="0"/>
    <s v="No"/>
    <s v=""/>
    <s v=""/>
    <s v=""/>
    <n v="0"/>
    <m/>
    <n v="2"/>
    <n v="4"/>
    <n v="4"/>
    <n v="4"/>
    <n v="2"/>
    <n v="3"/>
    <n v="2"/>
    <n v="3"/>
    <n v="3"/>
    <n v="3"/>
    <n v="30"/>
    <s v="SI"/>
    <m/>
    <s v="SI, SON TEX, EN LUGAR DE NOTAS TIENEN PCA"/>
    <s v="ok tienen todos los datos"/>
    <e v="#N/A"/>
    <e v="#N/A"/>
    <m/>
    <n v="3"/>
    <n v="10"/>
    <n v="10"/>
    <n v="0"/>
    <n v="20"/>
    <n v="10"/>
    <n v="5"/>
    <n v="17"/>
    <n v="17"/>
    <n v="62"/>
    <n v="0.5"/>
    <m/>
    <n v="3.5"/>
    <n v="3.5"/>
    <n v="8"/>
    <n v="2"/>
    <n v="3.5"/>
    <n v="3.5"/>
    <n v="8"/>
    <n v="2"/>
    <n v="62"/>
    <n v="0.6"/>
    <n v="0.4"/>
    <e v="#N/A"/>
    <s v="x icfes"/>
    <m/>
    <n v="0"/>
    <m/>
    <m/>
    <s v="Ingeniería de Sistemas"/>
    <e v="#N/A"/>
    <s v="010"/>
    <e v="#N/A"/>
  </r>
  <r>
    <s v="CC"/>
    <n v="1040573196"/>
    <s v="1000407028"/>
    <s v="LUNA SABINA MEJIA GARCIA"/>
    <s v="Transferencia Externa"/>
    <x v="1"/>
    <s v="No cumple, otros estudios de pregrado"/>
    <m/>
    <s v="En publico objetivo"/>
    <s v="2da Cohorte"/>
    <s v="Admitido"/>
    <s v="lsmejiag@eafit.edu.co"/>
    <e v="#N/A"/>
    <s v="luna.mejia006@gmail.com"/>
    <s v="573212801986"/>
    <d v="2025-05-16T00:00:00"/>
    <s v="Activo en Programa"/>
    <s v="112-Comunicación Social"/>
    <s v="Escuela de Artes y Humanidades"/>
    <d v="2006-12-04T00:00:00"/>
    <n v="19"/>
    <s v="Antioquia"/>
    <s v="Itagui"/>
    <s v="Mujer"/>
    <s v="Soltero"/>
    <s v="NO"/>
    <s v="NO"/>
    <n v="0"/>
    <s v="NO"/>
    <s v="NA"/>
    <s v="NO"/>
    <s v="NA"/>
    <s v="NO"/>
    <s v="NA"/>
    <s v="No"/>
    <s v="604/801-2266"/>
    <s v="573212801986"/>
    <s v="Estrato 2"/>
    <s v="CL 31#51 97"/>
    <s v="Antioquia"/>
    <s v="Itagui"/>
    <s v="No aplica, no soy foráneo"/>
    <s v="Propio"/>
    <s v="SI"/>
    <s v="2023"/>
    <s v="AC202345693775"/>
    <n v="320"/>
    <n v="59"/>
    <n v="68"/>
    <s v="Privada"/>
    <s v="COL PARROQ SN FCO. DE ASIS"/>
    <n v="2023"/>
    <s v="Antioquia"/>
    <s v="Medellín"/>
    <s v="BACHILLER"/>
    <s v="ACAD"/>
    <s v="TIPO: Privada, INSTITUCION: COL PARROQ SN FCO. DE ASIS, AÑO: 2023, CIUDAD: Bello, TITULO: BACHILLER"/>
    <n v="0"/>
    <n v="0"/>
    <s v="PCA TEX"/>
    <m/>
    <m/>
    <m/>
    <m/>
    <m/>
    <m/>
    <m/>
    <m/>
    <m/>
    <m/>
    <m/>
    <m/>
    <m/>
    <m/>
    <m/>
    <m/>
    <m/>
    <m/>
    <m/>
    <m/>
    <m/>
    <s v="Ver PCA TEX"/>
    <n v="4.4000000000000004"/>
    <s v="SI"/>
    <s v="TIPO: Privada, INSTITUCION: UNIVERSIDAD DE MEDELLIN, AÑO: 0, CIUDAD: Medellín, TITULO: COMUNICACIÓN Y RELACIONES CORPORATIVAS"/>
    <s v="PREGRADO"/>
    <s v=" TITULO: COMUNICACIÓN Y RELACIONES CORPORATIVAS"/>
    <s v="No"/>
    <n v="30"/>
    <m/>
    <n v="45"/>
    <m/>
    <n v="40"/>
    <m/>
    <m/>
    <n v="38.333333333333336"/>
    <s v="Con detalle por componente"/>
    <s v="Ninguna"/>
    <s v="Para mi es muy importante obtener la beca ya que así podre tener la oportunidad de estudiar el pregrado de Comunicación Social; y me visualizo ejerciendola de una manera consciente y sensible, buscando visibilizar más a las mujeres, para que ellas también logren tener oportunidades en diferentes áreas, buscando una transformación donde se valore mas el papel que ellas cumplen en la sociedad y en el poder que tienen. Tambien, por medio de la comunicación digital, acercarme mas a los jovenes para reforzar en ellos la importancia de vivir el presente de una forma mas consciente, utiizando las herramientas que me brinde la carrera."/>
    <s v="Estudiantes de EAFIT"/>
    <s v="Por la calidad académica."/>
    <s v="Vocación."/>
    <n v="1"/>
    <s v="1"/>
    <s v="NO"/>
    <s v="NO"/>
    <s v="Entre 2 y 3 millones"/>
    <s v="Si"/>
    <n v="0"/>
    <n v="0"/>
    <m/>
    <s v="SI"/>
    <s v="Beca"/>
    <s v="NO"/>
    <s v=""/>
    <s v=""/>
    <s v="Si"/>
    <s v="Héctor Gildardo Mejía Vásquez."/>
    <s v="Casado"/>
    <s v="TECNOLOGÍA"/>
    <s v="63"/>
    <s v="Técnico en Mecánica Industrial."/>
    <s v="Emprendedor (inicia un proyecto productivo o negocio propio)"/>
    <s v="Mecánico industrial."/>
    <s v="Repuestos y Servicios Metalmecánicos LyL SAS."/>
    <n v="1623500"/>
    <s v="Si"/>
    <s v="NO"/>
    <s v="NO"/>
    <s v="Mi papá tiene un negocio propio, que es un pequeño taller, él es el unico propietario, por eso en la carta aparece que es empleado porque así aparece en la seguridad social y allí tambien trabaja mi mamá."/>
    <s v="Si"/>
    <s v="Mabel Yanet García Cano."/>
    <s v="Casado"/>
    <s v="TECNOLOGÍA"/>
    <s v="52"/>
    <s v="Tecnóloga en Gestión del Talento Humano."/>
    <s v="Empleado (con contrato laboral)"/>
    <s v="Auxiliar administrativa."/>
    <s v="Repuestos y Servicios Metalmecánicos LyL SAS."/>
    <n v="1623500"/>
    <s v="No"/>
    <s v="NO"/>
    <s v="NO"/>
    <s v="Mis papás estan separados, yo en ocasiones me quedo amaneciendo con mi mamá, ya que me queda mas fácil estar con mi papá por el tema del transporte."/>
    <n v="3247000"/>
    <s v="No, solo vivo con mis padres"/>
    <s v=""/>
    <s v=""/>
    <s v=""/>
    <s v=""/>
    <s v=""/>
    <m/>
    <s v=""/>
    <s v=""/>
    <s v=""/>
    <s v=""/>
    <s v=""/>
    <s v=""/>
    <m/>
    <s v=""/>
    <s v=""/>
    <s v=""/>
    <s v=""/>
    <s v=""/>
    <s v=""/>
    <m/>
    <s v=""/>
    <s v=""/>
    <n v="200000000"/>
    <n v="0"/>
    <n v="0"/>
    <n v="0"/>
    <n v="0"/>
    <s v="No"/>
    <s v=""/>
    <s v=""/>
    <n v="0"/>
    <s v="No"/>
    <s v=""/>
    <s v=""/>
    <n v="0"/>
    <s v="No"/>
    <s v=""/>
    <s v=""/>
    <s v=""/>
    <n v="0"/>
    <s v="El valor que puse de la casa, es la de mi papá. La casa de mi mamá tiene una valor comercial de 250000000"/>
    <n v="4"/>
    <n v="4"/>
    <n v="4"/>
    <n v="4"/>
    <n v="4"/>
    <n v="3"/>
    <n v="4"/>
    <n v="3"/>
    <n v="3"/>
    <n v="4"/>
    <n v="37"/>
    <s v="SI"/>
    <m/>
    <s v="SI, SON TEX, EN LUGAR DE NOTAS TIENEN PCA"/>
    <s v="ok tienen todos los datos"/>
    <e v="#N/A"/>
    <e v="#N/A"/>
    <m/>
    <n v="2"/>
    <n v="10"/>
    <n v="10"/>
    <n v="5"/>
    <n v="15"/>
    <n v="15"/>
    <n v="10"/>
    <n v="14.5"/>
    <n v="14.5"/>
    <n v="69.5"/>
    <n v="0.4"/>
    <m/>
    <n v="2"/>
    <n v="2.5"/>
    <n v="8"/>
    <n v="2"/>
    <n v="2"/>
    <n v="2.5"/>
    <n v="8"/>
    <n v="2"/>
    <n v="69.5"/>
    <n v="0.5"/>
    <n v="0.4"/>
    <e v="#N/A"/>
    <m/>
    <m/>
    <n v="0"/>
    <m/>
    <m/>
    <s v="Comunicación Social"/>
    <e v="#N/A"/>
    <s v="112"/>
    <e v="#N/A"/>
  </r>
  <r>
    <s v="CC"/>
    <n v="1040870155"/>
    <s v="1000406156"/>
    <s v="SANTIAGO ANDRES GIRALDO BOTERO"/>
    <s v="Estudios por primera vez"/>
    <x v="1"/>
    <s v="Descartado por bajo icfes"/>
    <m/>
    <s v="En publico objetivo"/>
    <s v="3ra Cohorte"/>
    <s v="Admitido"/>
    <s v="sagiraldb1@eafit.edu.co"/>
    <e v="#N/A"/>
    <s v="santiagogb210@gmail.com"/>
    <s v="573017238234"/>
    <d v="2025-05-30T00:00:00"/>
    <s v="Activo en Programa"/>
    <s v="010-Ingeniería de Sistemas"/>
    <s v="E Ciencias Aplic e Ingeniería"/>
    <d v="2004-01-22T00:00:00"/>
    <n v="21"/>
    <s v="Antioquia"/>
    <s v="Rionegro"/>
    <s v="Hombre"/>
    <s v="Soltero"/>
    <s v="NO"/>
    <s v="NO"/>
    <n v="0"/>
    <s v="NO"/>
    <s v="NA"/>
    <s v="NO"/>
    <s v="NA"/>
    <s v="NO"/>
    <s v="NA"/>
    <s v="No"/>
    <s v="322/670-7750"/>
    <s v="573017238234"/>
    <s v="Estrato 2"/>
    <s v="CR 38 55 SUR 76"/>
    <s v="Antioquia"/>
    <s v="Sabaneta"/>
    <s v="No aplica, no soy foráneo"/>
    <s v="Familiar"/>
    <s v="SI"/>
    <s v="2021"/>
    <s v="AC202146015044"/>
    <n v="309"/>
    <n v="71"/>
    <n v="58"/>
    <s v="Pública"/>
    <s v="INST EDUC HERNAN TORO AGUDELO"/>
    <n v="2021"/>
    <s v="Antioquia"/>
    <s v="Medellín"/>
    <s v="BACHILLER"/>
    <s v="ACAD"/>
    <s v="TIPO: Pública, INSTITUCION: INST EDUC HERNAN TORO AGUDELO, AÑO: 2021, CIUDAD: Medellín, TITULO: BACHILLER"/>
    <s v="11"/>
    <s v="Escala de 0 - 5"/>
    <s v="Escala de 0 - 5"/>
    <s v="4,5"/>
    <s v="4"/>
    <m/>
    <s v="3,9"/>
    <s v="3,4"/>
    <m/>
    <n v="4.7"/>
    <n v="4.5999999999999996"/>
    <m/>
    <n v="3.8"/>
    <n v="4"/>
    <m/>
    <s v="4,7"/>
    <s v="4"/>
    <m/>
    <s v="4"/>
    <s v="4"/>
    <m/>
    <s v="4"/>
    <s v="4"/>
    <m/>
    <s v="De 9 y 10"/>
    <n v="4.2750000000000004"/>
    <s v="NO"/>
    <s v="NA"/>
    <n v="0"/>
    <n v="0"/>
    <s v="No"/>
    <n v="40"/>
    <m/>
    <n v="40"/>
    <m/>
    <n v="40"/>
    <m/>
    <m/>
    <n v="40"/>
    <s v="Con detalle por componente"/>
    <s v="Ninguna"/>
    <s v="Me visualizo como un ingeniero de sistemas comprometido con el desarrollo y la innovación tecnológica, aplicando mis conocimientos para resolver problemas reales y mejorar la calidad de vida en mi región, a través de soluciones digitales accesibles y efectivas._x000a__x000a_Obtener una beca representa una oportunidad invaluable para alcanzar esta meta. Con el respaldo académico y financiero necesario, podré acceder a una formación de alta calidad en áreas como inteligencia artificial, análisis de datos y desarrollo de software."/>
    <s v="Anuncio periódico impreso"/>
    <s v="Por recomendación."/>
    <s v="Vocación."/>
    <n v="3"/>
    <s v="0"/>
    <s v="SI"/>
    <s v="NO"/>
    <s v="Entre 2 y 3 millones"/>
    <s v="No"/>
    <n v="0"/>
    <n v="0"/>
    <m/>
    <s v="SI"/>
    <s v="Beca"/>
    <s v="NO"/>
    <s v=""/>
    <s v=""/>
    <s v="Sin información"/>
    <n v="0"/>
    <m/>
    <m/>
    <m/>
    <s v=""/>
    <s v=""/>
    <m/>
    <s v=""/>
    <m/>
    <s v=""/>
    <m/>
    <m/>
    <s v=""/>
    <s v="Si"/>
    <s v="Yessika Natalia Botero Botero"/>
    <s v="Soltero"/>
    <s v="UNIVERSITARIOS"/>
    <s v="37"/>
    <s v="Contadora publica"/>
    <s v="Independiente (trabaja por cuenta propia)"/>
    <s v="Contadora"/>
    <s v="Independiente"/>
    <n v="3000000"/>
    <s v="Si"/>
    <s v="NO"/>
    <s v="NO"/>
    <s v="Mi mamá es madre soltera y es la unica persona solventa económicamente la casa"/>
    <n v="3000000"/>
    <s v="Si"/>
    <s v="María Consuelo Botero Botero"/>
    <s v="Abuelo / Abuela"/>
    <s v="65"/>
    <s v="Ama de casa"/>
    <s v="Ama de casa"/>
    <n v="0"/>
    <s v="No"/>
    <s v="María Lucia Botero Botero"/>
    <s v="Tío / Tía"/>
    <s v="67"/>
    <s v="Ama de casa"/>
    <s v="Ama de casa"/>
    <n v="0"/>
    <s v="No"/>
    <s v=""/>
    <s v=""/>
    <s v=""/>
    <s v=""/>
    <s v=""/>
    <m/>
    <s v=""/>
    <s v=""/>
    <n v="0"/>
    <n v="130120284"/>
    <n v="0"/>
    <n v="0"/>
    <n v="0"/>
    <s v="No"/>
    <s v=""/>
    <s v=""/>
    <n v="0"/>
    <s v="No"/>
    <s v=""/>
    <s v=""/>
    <n v="0"/>
    <s v="No"/>
    <s v=""/>
    <s v=""/>
    <s v=""/>
    <n v="0"/>
    <m/>
    <n v="4"/>
    <n v="3"/>
    <n v="2"/>
    <n v="3"/>
    <n v="4"/>
    <n v="3"/>
    <n v="4"/>
    <n v="3"/>
    <n v="3"/>
    <n v="4"/>
    <n v="33"/>
    <s v="SI"/>
    <m/>
    <s v="SI, SON PRI"/>
    <s v="ok tienen todos los datos"/>
    <e v="#N/A"/>
    <e v="#N/A"/>
    <m/>
    <n v="3"/>
    <n v="10"/>
    <n v="10"/>
    <n v="5"/>
    <n v="15"/>
    <n v="10"/>
    <n v="10"/>
    <n v="17"/>
    <n v="17"/>
    <n v="67"/>
    <n v="0.5"/>
    <m/>
    <n v="3.5"/>
    <n v="3.5"/>
    <n v="8"/>
    <n v="2"/>
    <n v="3.5"/>
    <n v="3.5"/>
    <n v="8"/>
    <n v="2"/>
    <n v="67"/>
    <n v="0.6"/>
    <n v="0.5"/>
    <e v="#N/A"/>
    <m/>
    <m/>
    <n v="0"/>
    <m/>
    <m/>
    <s v="Ingeniería de Sistemas"/>
    <e v="#N/A"/>
    <s v="010"/>
    <e v="#N/A"/>
  </r>
  <r>
    <s v="CC"/>
    <n v="1040874320"/>
    <s v="1000407076"/>
    <s v="SAMANTHA CASTRO FRANCO"/>
    <s v="Estudios por primera vez"/>
    <x v="1"/>
    <s v="Descartado por ingresos altos"/>
    <m/>
    <s v="En publico objetivo"/>
    <s v="3ra Cohorte"/>
    <s v="Admitido"/>
    <s v="scastrof2@eafit.edu.co"/>
    <e v="#N/A"/>
    <s v="samantha.cf04@gmail.com"/>
    <s v="573053303268"/>
    <d v="2025-05-30T00:00:00"/>
    <s v="Activo en Programa"/>
    <s v="085-Ingeniería Diseño de Producto"/>
    <s v="E Ciencias Aplic e Ingeniería"/>
    <d v="2007-01-04T00:00:00"/>
    <n v="18"/>
    <s v="Antioquia"/>
    <s v="Rionegro"/>
    <s v="Mujer"/>
    <s v="Soltero"/>
    <s v="NO"/>
    <s v="NO"/>
    <n v="0"/>
    <s v="NO"/>
    <s v="NA"/>
    <s v="NO"/>
    <s v="NA"/>
    <s v="NO"/>
    <s v="NA"/>
    <s v="No"/>
    <s v="573146588823"/>
    <s v="573053303268"/>
    <s v="Estrato 3"/>
    <s v="CL 67#54 297"/>
    <s v="Antioquia"/>
    <s v="Rionegro"/>
    <s v="No aplica, no soy foráneo"/>
    <s v="Propio"/>
    <s v="SI"/>
    <s v="2024"/>
    <s v="AC202430104273"/>
    <n v="343"/>
    <n v="73"/>
    <n v="74"/>
    <s v="Privada"/>
    <s v="COLEGIO SEMINARIO CORAZONISTA"/>
    <n v="2024"/>
    <s v="Antioquia"/>
    <s v="Marinilla"/>
    <s v="BACHILLER"/>
    <s v="ACAD"/>
    <s v="TIPO: Privada, INSTITUCION: COLEGIO SEMINARIO CORAZONISTA, AÑO: 2024, CIUDAD: Marinilla, TITULO: BACHILLER"/>
    <s v="11"/>
    <s v="Escala de 0 - 10"/>
    <s v="Escala de 0 - 10"/>
    <s v="8"/>
    <s v="7,5"/>
    <m/>
    <s v="7,3"/>
    <s v="7,3"/>
    <m/>
    <n v="7.2"/>
    <n v="7.7"/>
    <m/>
    <n v="6.9"/>
    <n v="7.1"/>
    <m/>
    <s v="8"/>
    <s v="7"/>
    <m/>
    <s v="8"/>
    <s v="8"/>
    <m/>
    <s v="8"/>
    <s v="9"/>
    <m/>
    <s v="De 9 y 10"/>
    <n v="7.2249999999999996"/>
    <s v="NO"/>
    <s v="NA"/>
    <n v="0"/>
    <n v="0"/>
    <s v="No"/>
    <n v="40"/>
    <m/>
    <n v="40"/>
    <m/>
    <n v="40"/>
    <m/>
    <m/>
    <n v="40"/>
    <s v="Con detalle por componente"/>
    <s v="Artísticas o culturales"/>
    <s v="Me visualizo en un futuro muy dinámico y creativo, aplicando todos mis aprendizajes y conocimientos obtenidos en la universidad Eafit gracias al pregrado de Ingeniería de diseño de producto, rodeada de personas apasionadas y materializando conceptos innovadores en objetos tangibles que las personas puedan usar día a día sacándoles el máximo provecho y al mismo tiempo desarrollando y encontrando soluciones creativas a múltiples problemas cotidianos que a menudo pasan desapercibidos pero impactan en la calidad de vida de la población. Con mis aspiraciones y habilidades busco diseñar productos que no solo sean estéticos sino que vayan mas allá de la belleza y sean verdaderamente útiles. Al darme la beca me permitirían ser una portadora de conocimientos hacia la sociedad, no solo acumulando saber sino formando una profesional íntegra y dispuesta a ayudar a mi región y a la sociedad, lista para abordar desafíos complejos y capacitándome para compartir activamente lo aprendido a través de proyectos comunitarios que me permitan darle la oportunidad a personas que por falta de recursos no pudieron explotar sus talentos y capacidades; y en conjunto poder crear una empresa que no solo genere productos innovadores sino que nos aporte para construir un futuro mas equitativo para todos."/>
    <s v="A través del Colegio"/>
    <s v="Por la oferta académica."/>
    <s v="Vocación."/>
    <n v="2"/>
    <s v="1"/>
    <s v="SI"/>
    <s v="NO"/>
    <s v="Entre 3 y 4 millones"/>
    <s v="No"/>
    <s v="SI"/>
    <s v="SI"/>
    <s v="Crédito educativo propio"/>
    <s v="SI"/>
    <s v="Beca"/>
    <s v="NO"/>
    <s v=""/>
    <s v=""/>
    <s v="Si"/>
    <s v="Jose Wilson Castro Betancur"/>
    <s v="Casado"/>
    <s v="BACHILLERATO"/>
    <s v="53"/>
    <s v="Comerciante"/>
    <s v="Trabajador informal"/>
    <s v="Comerciante"/>
    <s v="N/A"/>
    <n v="1200000"/>
    <s v="No"/>
    <s v="NO"/>
    <s v="NO"/>
    <s v=""/>
    <s v="Si"/>
    <s v="Diana Marcela Franco Salazar"/>
    <s v="Casado"/>
    <s v="UNIVERSITARIOS"/>
    <s v="48"/>
    <s v="Contadora"/>
    <s v="Empleado (con contrato laboral)"/>
    <s v="Contadora"/>
    <s v="Colegio Seminario Corazonista"/>
    <n v="4196000"/>
    <s v="Si"/>
    <s v="NO"/>
    <s v="NO"/>
    <m/>
    <n v="5396000"/>
    <s v="Si"/>
    <s v="Jacobo Castro Franco"/>
    <s v="Hermano / Hermana"/>
    <s v="15"/>
    <s v="Estudiante"/>
    <s v="Colegio Campestre San Nicolás"/>
    <n v="0"/>
    <s v="No"/>
    <s v=""/>
    <s v=""/>
    <s v=""/>
    <s v=""/>
    <s v=""/>
    <m/>
    <s v=""/>
    <s v=""/>
    <s v=""/>
    <s v=""/>
    <s v=""/>
    <s v=""/>
    <m/>
    <s v=""/>
    <s v=""/>
    <n v="0"/>
    <n v="200000000"/>
    <n v="0"/>
    <n v="0"/>
    <n v="0"/>
    <s v="Si"/>
    <s v="Suzuki"/>
    <s v="2016"/>
    <n v="40000000"/>
    <s v="No"/>
    <s v=""/>
    <s v=""/>
    <n v="0"/>
    <s v="No"/>
    <s v=""/>
    <s v=""/>
    <s v=""/>
    <n v="0"/>
    <m/>
    <n v="4"/>
    <n v="4"/>
    <n v="4"/>
    <n v="4"/>
    <n v="4"/>
    <n v="4"/>
    <n v="4"/>
    <n v="4"/>
    <n v="4"/>
    <n v="4"/>
    <n v="40"/>
    <s v="SI"/>
    <m/>
    <s v="SI, SON PRI"/>
    <s v="ok tienen todos los datos"/>
    <e v="#N/A"/>
    <e v="#N/A"/>
    <m/>
    <n v="3"/>
    <n v="10"/>
    <n v="8"/>
    <n v="10"/>
    <n v="10"/>
    <n v="15"/>
    <n v="10"/>
    <n v="12.5"/>
    <n v="9.5"/>
    <n v="64.5"/>
    <n v="0.4"/>
    <m/>
    <n v="2"/>
    <n v="2.5"/>
    <n v="3"/>
    <n v="2"/>
    <n v="2"/>
    <n v="2.5"/>
    <n v="6"/>
    <n v="2"/>
    <n v="65.5"/>
    <n v="0.4"/>
    <n v="0.4"/>
    <e v="#N/A"/>
    <m/>
    <m/>
    <n v="0"/>
    <m/>
    <m/>
    <s v="Ingeniería Diseño de Producto"/>
    <e v="#N/A"/>
    <s v="085"/>
    <e v="#N/A"/>
  </r>
  <r>
    <s v="TI"/>
    <n v="1040875035"/>
    <s v="1000391525"/>
    <s v="SALOME GOMEZ ARIAS"/>
    <s v="Pasa de estudios gener a pregr"/>
    <x v="4"/>
    <s v="Descartado por ingresos altos"/>
    <m/>
    <s v="En publico objetivo"/>
    <s v="2da Cohorte"/>
    <s v="Admitido"/>
    <s v="sgomeza27@eafit.edu.co"/>
    <s v="sgomeza27@eafit.edu.co"/>
    <s v="sgomeza27@eafit.edu.co"/>
    <s v="573145323823"/>
    <d v="2025-05-16T00:00:00"/>
    <s v="Activo en Programa"/>
    <s v="001-Administración de Negocios"/>
    <s v="Escuela de Administración"/>
    <d v="2007-09-01T00:00:00"/>
    <n v="18"/>
    <s v="Antioquia"/>
    <s v="Rionegro"/>
    <s v="Mujer"/>
    <s v="Soltero"/>
    <s v="NO"/>
    <s v="NO"/>
    <n v="0"/>
    <s v="NO"/>
    <s v="NA"/>
    <s v="NO"/>
    <s v="NA"/>
    <s v="NO"/>
    <s v="NA"/>
    <s v="No"/>
    <s v="314/532-3823"/>
    <s v="573145323823"/>
    <s v="Estrato 3"/>
    <s v="EL CARMEN DE VIBORAL"/>
    <s v="Antioquia"/>
    <s v="El Carmen De Viboral"/>
    <s v="Si"/>
    <s v="Familiar"/>
    <s v="SI"/>
    <s v="2024"/>
    <s v="AC202430425728"/>
    <n v="363"/>
    <n v="78"/>
    <n v="72"/>
    <s v="Privada"/>
    <s v="C. MONS. ALFONSO URIBE JARAMIL"/>
    <n v="2024"/>
    <s v="Antioquia"/>
    <s v="Rionegro"/>
    <s v="BACHILLER"/>
    <s v="ACAD"/>
    <s v="TIPO: Privada, INSTITUCION: C. MONS. ALFONSO URIBE JARAMIL, AÑO: 2024, CIUDAD: Rionegro, TITULO: BACHILLER"/>
    <s v="11"/>
    <s v="Escala de 0 - 5"/>
    <s v="Escala de 0 - 5"/>
    <s v="1,5"/>
    <s v="3,4"/>
    <m/>
    <s v="1,5"/>
    <s v="4"/>
    <m/>
    <n v="4"/>
    <n v="3.4"/>
    <m/>
    <n v="4"/>
    <n v="4"/>
    <m/>
    <s v="4,5"/>
    <s v="4"/>
    <m/>
    <s v="3,4"/>
    <s v="3,4"/>
    <m/>
    <s v="3,8"/>
    <s v="4"/>
    <m/>
    <s v="De 9 y 10"/>
    <n v="3.85"/>
    <s v="NO"/>
    <s v="NA"/>
    <n v="0"/>
    <n v="0"/>
    <s v="No"/>
    <n v="50"/>
    <m/>
    <n v="50"/>
    <m/>
    <n v="50"/>
    <m/>
    <m/>
    <n v="50"/>
    <s v="Con detalle por componente"/>
    <s v="Ninguna"/>
    <s v="Dando paso a mis sueños transformadores_x000a_La sociedad se encuentra en constante evolución y cada vez está más necesitada de innovación; los nuevos sistemas administrativos y sociales han cambiado y se están transformando, lo que nos lleva a adaptarnos con determinación. Factores como estos me motivan a aprender y formarme como una profesional Íntegra y capaz de afrontar los retos actuales y futuros con mayor sentido crítico y humano, encontrando en la administración de negocios la base para desarrollar mis habilidades y pasiones para contribuir a mi empresa y región._x000a_Me gustaría estudiar Administración de Negocios en la Universidad EAFIT porque es una_x000a_universidad reconocida a nivel nacional e internacional por su excelencia académica y su enfoque_x000a_integral; sé de importantes empresas que han sido fundadas por egresados y se desempeñan con_x000a_mucho éxito profesional. Desde temprana edad he sido testigo del esfuerzo de mi familia en sus_x000a_negocios de venta de ropa, y con esto han contribuido al desarrollo local y generación de empleo._x000a_Mi meta es seguir el legado de la administración con lo aprendido en la formación_x000a_profesional en EAFIT que me darán un enfoque acorde a las necesidades del mercado actual. El pregrado de administración de negocios me brindará las herramientas para_x000a_desempeñarme en diferentes campos de acción como la administración de recursos, liderazgo,_x000a_planeación, dirección, coordinación y control de recurso humano, financiero y tecnológico._x000a_Además de mi inclinación por el ámbito empresarial, el deporte, especialmente el fútbol, ha sido_x000a_una parte esencial de mi vida. Practicar fútbol me ha enseñado a trabajar en equipo y ser perseverante, cualidades que considero fundamentales en el mundo de los negocios. Quiero participar en las actividades deportivas de EAFIT para desarrollar mi talento y mi pasión y poner en práctica el liderazgo empresarial y el deporte, y así crear un perfil profesional que combina disciplina, estrategia y habilidades interpersonales._x000a_Visualizo mi futuro como una profesional comprometida en liderar proyectos que promuevan la_x000a_innovación y el desarrollo sostenible, aplicando los conocimientos adquiridos en la universidad para potenciar mi empresa y, a la vez, generar empleo y oportunidades en mi región, el Oriente_x000a_Antioqueño, especialmente en El Carmen de Viboral. Aplicaré principios de responsabilidad social y empresarial, buscando que las organizaciones de mi región no solo sean rentables, sino también_x000a_responsables con el bienestar social y ambiental. Estoy convencida de que, con la educación que_x000a_recibiré a través de esta beca, podré ser una excelente empresaria y podré promover el desarrollo de mi región y su bienestar."/>
    <s v="A través del Colegio"/>
    <s v="Por la calidad académica."/>
    <s v="Alta proyección de ingresos."/>
    <n v="3"/>
    <s v="1"/>
    <s v="SI"/>
    <s v="NO"/>
    <s v="Entre 9 y 10 millones"/>
    <s v="Si"/>
    <s v="NO"/>
    <s v="SI"/>
    <s v="Crédito educativo propio"/>
    <n v="0"/>
    <m/>
    <s v="NO"/>
    <s v=""/>
    <s v=""/>
    <s v="Si"/>
    <s v="Elkin Alonso Gómez Alzate"/>
    <s v="Casado"/>
    <s v="TÉCNICA"/>
    <s v="49"/>
    <s v="Comerciante"/>
    <s v="Independiente (trabaja por cuenta propia)"/>
    <s v="Comerciante"/>
    <s v="Inversiones Balemo group SAS"/>
    <n v="5800000"/>
    <s v="Si"/>
    <s v="NO"/>
    <s v="NO"/>
    <s v=""/>
    <s v="Si"/>
    <s v="Liliana Elena Arias Tobón"/>
    <s v="Casado"/>
    <m/>
    <s v="48"/>
    <s v="Comerciante"/>
    <s v="Independiente (trabaja por cuenta propia)"/>
    <s v="Comerciante"/>
    <s v="Inversiones Balemo group SAS"/>
    <n v="5500000"/>
    <s v="Si"/>
    <s v="SI"/>
    <s v="NO"/>
    <m/>
    <n v="11300000"/>
    <s v="Si"/>
    <s v="Luciana Gomez Arias"/>
    <s v="Hermano / Hermana"/>
    <s v="10"/>
    <s v="Estudiante"/>
    <s v="Centro educativo los pioneros"/>
    <n v="0"/>
    <s v="No"/>
    <s v=""/>
    <s v=""/>
    <s v=""/>
    <s v=""/>
    <s v=""/>
    <m/>
    <s v=""/>
    <s v=""/>
    <s v=""/>
    <s v=""/>
    <s v=""/>
    <s v=""/>
    <m/>
    <s v=""/>
    <s v=""/>
    <n v="600000000"/>
    <n v="750000000"/>
    <n v="0"/>
    <n v="0"/>
    <n v="0"/>
    <s v="Si"/>
    <s v="Toyota"/>
    <s v="2012"/>
    <n v="120000000"/>
    <s v="No"/>
    <s v=""/>
    <s v=""/>
    <n v="0"/>
    <s v="No"/>
    <s v=""/>
    <s v=""/>
    <s v=""/>
    <n v="0"/>
    <m/>
    <n v="4"/>
    <n v="4"/>
    <n v="3"/>
    <n v="4"/>
    <n v="4"/>
    <n v="3"/>
    <n v="4"/>
    <n v="4"/>
    <n v="3"/>
    <n v="4"/>
    <n v="37"/>
    <s v="SI"/>
    <m/>
    <s v="SI, SON PRI"/>
    <s v="ok tienen todos los datos"/>
    <s v="Negada"/>
    <n v="20251"/>
    <m/>
    <n v="3"/>
    <n v="10"/>
    <n v="8"/>
    <n v="15"/>
    <n v="10"/>
    <n v="15"/>
    <n v="20"/>
    <n v="5.5"/>
    <n v="5.5"/>
    <n v="75.5"/>
    <n v="0.4"/>
    <m/>
    <n v="2"/>
    <n v="3.5"/>
    <n v="0"/>
    <n v="0"/>
    <n v="2"/>
    <n v="3.5"/>
    <n v="0"/>
    <n v="0"/>
    <n v="73.5"/>
    <n v="0.4"/>
    <s v="Negado"/>
    <e v="#N/A"/>
    <m/>
    <m/>
    <n v="0"/>
    <m/>
    <m/>
    <s v="Administración de Negocios"/>
    <e v="#N/A"/>
    <m/>
    <e v="#N/A"/>
  </r>
  <r>
    <s v="TI"/>
    <n v="1041229973"/>
    <s v="1000405790"/>
    <s v="JUAN ANDRES GONZALEZ HINCAPIE"/>
    <s v="Estudios por primera vez"/>
    <x v="1"/>
    <s v="Descartado por ingresos altos"/>
    <m/>
    <s v="En publico objetivo"/>
    <s v="3ra Cohorte"/>
    <s v="Admitido"/>
    <s v="jagonzalh2@eafit.edu.co"/>
    <e v="#N/A"/>
    <s v="juanhincapie1014@gmail.com"/>
    <s v="312/883-4295"/>
    <d v="2025-05-30T00:00:00"/>
    <s v="Activo en Programa"/>
    <s v="199-Finanzas"/>
    <s v="E.Finanzas, Economía, Gobierno"/>
    <d v="2007-10-14T00:00:00"/>
    <n v="18"/>
    <s v="Antioquia"/>
    <s v="El Peñol"/>
    <s v="Hombre"/>
    <s v="Soltero"/>
    <s v="NO"/>
    <s v="NO"/>
    <s v="El Peñol"/>
    <s v="NO"/>
    <s v="NA"/>
    <s v="NO"/>
    <s v="NA"/>
    <s v="NO"/>
    <s v="NA"/>
    <s v="No"/>
    <s v="310/732-1316"/>
    <s v="312/883-4295"/>
    <s v="Estrato 2"/>
    <s v="CR 22 #12 DD- 52"/>
    <s v="Antioquia"/>
    <s v="El Peñol"/>
    <s v="Si"/>
    <s v="Arriendo"/>
    <s v="SI"/>
    <s v="2025"/>
    <s v="AC202510375774"/>
    <n v="311"/>
    <n v="66"/>
    <n v="62"/>
    <s v="Privada"/>
    <s v="Instituto Iberoamericano"/>
    <n v="2024"/>
    <m/>
    <s v="El Peñol"/>
    <s v="Bachillerato"/>
    <s v="Académico"/>
    <m/>
    <s v="11"/>
    <s v="Escala de 0 - 10"/>
    <s v="Escala de 0 - 5"/>
    <s v="5"/>
    <s v="4,5"/>
    <m/>
    <s v="5"/>
    <s v="4,5"/>
    <m/>
    <n v="5"/>
    <n v="4"/>
    <m/>
    <n v="5"/>
    <n v="4.5"/>
    <m/>
    <s v="4,5"/>
    <s v="4,5"/>
    <m/>
    <s v="5"/>
    <s v="4,5"/>
    <m/>
    <s v="4"/>
    <s v="4"/>
    <m/>
    <s v="De 9 y 10"/>
    <n v="4.625"/>
    <s v="NO"/>
    <s v="NA"/>
    <n v="0"/>
    <n v="0"/>
    <s v="No"/>
    <n v="40"/>
    <s v="entrena baloncesto"/>
    <n v="40"/>
    <m/>
    <n v="40"/>
    <m/>
    <s v="Se graduó en el año 2024_x000a_Desde que se graduó ha estudiado y trabajando en gimnasio como entrenador_x000a_Vive en el Peñol"/>
    <n v="40"/>
    <s v="Con detalle por componente"/>
    <s v="Ninguna"/>
    <s v="Con mi formación en Finanzas podré generar grandes beneficios para mi región, aportando desde mi conocimiento para ayudar a tomar decisiones más acertadas sobre el uso del dinero, tanto en el ámbito público como en el privado. Traduciéndose esto en una mejor administración de los recursos, lo cual favorece el desarrollo económico de mi entorno. Adicional podré contribuir a que los presupuestos se usen de manera eficiente, apoyando proyectos que beneficien a la comunidad, como infraestructura, educación o salud, promoviendo la transparencia y el buen manejo de los fondos."/>
    <s v="Página WEB"/>
    <s v="Por la calidad académica."/>
    <s v="Alta proyección de ingresos."/>
    <n v="2"/>
    <s v="0"/>
    <s v="SI"/>
    <s v="NO"/>
    <s v="Entre 1 y 2 millones"/>
    <s v="No"/>
    <s v="Y"/>
    <n v="0"/>
    <m/>
    <s v="N"/>
    <m/>
    <s v="NO"/>
    <s v="NA"/>
    <s v="NA"/>
    <s v="Si"/>
    <s v="Sixto Alexander González Ospina"/>
    <s v="Casado"/>
    <s v="BACHILLERATO"/>
    <s v="43"/>
    <s v="Técnico electricista"/>
    <s v="Empleado (con contrato laboral)"/>
    <s v="Oficial electricista"/>
    <s v="Bragalux S.A"/>
    <n v="6327504"/>
    <s v="No"/>
    <s v="SI"/>
    <s v="NO"/>
    <s v="NA"/>
    <s v="Si"/>
    <s v="Maria Alejandra Hincapié García"/>
    <s v="Unión marital"/>
    <s v="UNIVERSITARIOS"/>
    <s v="35"/>
    <s v="Administración Ambiental"/>
    <s v="Labores del hogar y cuidado"/>
    <s v="NA"/>
    <s v="NA"/>
    <n v="0"/>
    <s v="Si"/>
    <s v="NO"/>
    <s v="NO"/>
    <s v="NA"/>
    <n v="6327504"/>
    <s v="No, solo vivo con mis padres"/>
    <s v=""/>
    <s v=""/>
    <s v=""/>
    <s v=""/>
    <s v=""/>
    <m/>
    <s v=""/>
    <s v=""/>
    <s v=""/>
    <s v=""/>
    <s v=""/>
    <s v=""/>
    <m/>
    <s v=""/>
    <s v=""/>
    <s v=""/>
    <s v=""/>
    <s v=""/>
    <s v=""/>
    <m/>
    <s v=""/>
    <s v=""/>
    <n v="0"/>
    <n v="0"/>
    <n v="0"/>
    <n v="0"/>
    <n v="0"/>
    <s v="No"/>
    <s v=""/>
    <s v=""/>
    <n v="0"/>
    <s v="No"/>
    <s v=""/>
    <s v=""/>
    <n v="0"/>
    <s v="Si"/>
    <s v="Moto"/>
    <s v="yamaha"/>
    <s v="2019"/>
    <n v="6000000"/>
    <s v="NA"/>
    <n v="4"/>
    <n v="4"/>
    <n v="4"/>
    <n v="3"/>
    <n v="4"/>
    <n v="4"/>
    <n v="3"/>
    <n v="3"/>
    <n v="4"/>
    <n v="4"/>
    <n v="37"/>
    <s v="SI"/>
    <s v="SI, ICFES"/>
    <s v="PRI SIN PUNTAJE ICFES Y GRADUACION ANTES DE 2025, NI TIPO IE"/>
    <s v="ok se subsana datos contra doc"/>
    <e v="#N/A"/>
    <e v="#N/A"/>
    <m/>
    <n v="2"/>
    <n v="10"/>
    <n v="10"/>
    <n v="5"/>
    <n v="20"/>
    <n v="15"/>
    <n v="10"/>
    <n v="13.5"/>
    <n v="13.5"/>
    <n v="73.5"/>
    <n v="0.4"/>
    <n v="0.4"/>
    <n v="2"/>
    <n v="4.5"/>
    <n v="3"/>
    <n v="4"/>
    <n v="2"/>
    <n v="4"/>
    <n v="3"/>
    <n v="4.5"/>
    <n v="73.5"/>
    <n v="0.4"/>
    <n v="0.4"/>
    <e v="#N/A"/>
    <m/>
    <m/>
    <s v="SI, ICFES"/>
    <m/>
    <m/>
    <s v="Finanzas"/>
    <e v="#N/A"/>
    <s v="199"/>
    <e v="#N/A"/>
  </r>
  <r>
    <s v="CC"/>
    <n v="1041631681"/>
    <s v="1000405075"/>
    <s v="LUIS ANGEL MONSALVE PALACIO"/>
    <s v="Transferencia Externa"/>
    <x v="1"/>
    <s v="Duda, cursando o graduado de tecnica o tecnologia"/>
    <m/>
    <s v="En publico objetivo"/>
    <s v="3ra Cohorte"/>
    <s v="Admitido"/>
    <s v="lamonsalvp@eafit.edu.co"/>
    <e v="#N/A"/>
    <s v="lmonsalvepalacio@gmail.com"/>
    <s v="573105254136"/>
    <d v="2025-05-30T00:00:00"/>
    <s v="Activo en Programa"/>
    <s v="010-Ingeniería de Sistemas"/>
    <s v="E Ciencias Aplic e Ingeniería"/>
    <d v="2006-06-08T00:00:00"/>
    <n v="19"/>
    <s v="Antioquia"/>
    <s v="Yarumal"/>
    <s v="Hombre"/>
    <s v="Soltero"/>
    <s v="SI"/>
    <s v="SI"/>
    <s v="Yarumal"/>
    <s v="NO"/>
    <s v="NA"/>
    <s v="NO"/>
    <s v="NA"/>
    <s v="NO"/>
    <s v="NA"/>
    <s v="No"/>
    <s v="31q6511253"/>
    <s v="573105254136"/>
    <s v="Estrato 3"/>
    <s v="DON MATÍAS"/>
    <s v="Antioquia"/>
    <s v="Don Matías"/>
    <s v="No"/>
    <s v="Propio"/>
    <s v="SI"/>
    <s v="2023"/>
    <s v="AC202344525226"/>
    <n v="332"/>
    <n v="68"/>
    <n v="61"/>
    <s v="Privada"/>
    <s v="COL. REINALDO ARROYAVE LOPERA"/>
    <n v="2023"/>
    <s v="Antioquia"/>
    <s v="Don Matías"/>
    <s v="BACHILLER"/>
    <s v="ACAD"/>
    <s v="TIPO: Privada, INSTITUCION: COL. REINALDO ARROYAVE LOPERA, AÑO: 2023, CIUDAD: Don Matías, TITULO: BACHILLER"/>
    <n v="0"/>
    <n v="0"/>
    <s v="PCA TEX"/>
    <m/>
    <m/>
    <m/>
    <m/>
    <m/>
    <m/>
    <m/>
    <m/>
    <m/>
    <m/>
    <m/>
    <m/>
    <m/>
    <m/>
    <m/>
    <m/>
    <m/>
    <m/>
    <m/>
    <m/>
    <m/>
    <s v="Ver PCA TEX"/>
    <n v="3.7"/>
    <s v="SI"/>
    <s v="TIPO: Pública, INSTITUCION: INST. TECNOLOGICO METROPOLITAN, AÑO: 0, CIUDAD: Medellín, TITULO: TECNOLOGO (A) EN DESARROLLO DE SOFTWARE (Medellín)"/>
    <s v="TECNOLOGIA"/>
    <s v=" TITULO: TECNOLOGO (A) EN DESARROLLO DE SOFTWARE (Medellín)"/>
    <s v="No"/>
    <n v="40"/>
    <m/>
    <n v="40"/>
    <m/>
    <n v="40"/>
    <m/>
    <m/>
    <n v="40"/>
    <s v="Con detalle por componente"/>
    <s v="Ninguna"/>
    <s v="me visualizo liderando proyectos tecnológicos e innovadores que implusen el desarrollo educativo y tecnologico de mi lugar de origen yarumal antioquia; me proyecto creando plataformas que optimicen procesos de concectividad, salud, educación y demás. Por medio de conocimiento incentivaria el aprendizajes de las tic en los jovenes en condiciones  rurales."/>
    <s v="Redes sociales"/>
    <s v="Proyección laboral."/>
    <s v="Nivel académico de docentes."/>
    <n v="2"/>
    <s v="0"/>
    <s v="SI"/>
    <s v="NO"/>
    <s v="Entre 1 y 2 millones"/>
    <s v="Si"/>
    <n v="0"/>
    <n v="0"/>
    <m/>
    <s v="SI"/>
    <s v="Beca"/>
    <s v="NO"/>
    <s v=""/>
    <s v=""/>
    <s v="Si"/>
    <s v="Luis Solano Monsalve Lopez"/>
    <s v="Casado"/>
    <s v="PRIMARIA"/>
    <s v="51"/>
    <s v="Comerciante"/>
    <s v="Empleado (con contrato laboral)"/>
    <s v="proveedor del hogar"/>
    <s v="variedades luluz"/>
    <n v="2000000"/>
    <s v="Si"/>
    <s v="NO"/>
    <s v="NO"/>
    <s v="fue victimia del conflicto armado en el 2009"/>
    <s v="Si"/>
    <s v="luz arnelly palacio roldan"/>
    <s v="Casado"/>
    <s v="BACHILLERATO"/>
    <s v="45"/>
    <s v="Comerciante"/>
    <s v="Independiente (trabaja por cuenta propia)"/>
    <s v="proveedora del hogar"/>
    <s v="variedades luluz"/>
    <n v="2000000"/>
    <s v="Si"/>
    <s v="NO"/>
    <s v="NO"/>
    <s v="fue victima de conflicto armado en el 2009"/>
    <n v="4000000"/>
    <s v="No, solo vivo con mis padres"/>
    <s v=""/>
    <s v=""/>
    <s v=""/>
    <s v=""/>
    <s v=""/>
    <m/>
    <s v=""/>
    <s v=""/>
    <s v=""/>
    <s v=""/>
    <s v=""/>
    <s v=""/>
    <m/>
    <s v=""/>
    <s v=""/>
    <s v=""/>
    <s v=""/>
    <s v=""/>
    <s v=""/>
    <m/>
    <s v=""/>
    <s v=""/>
    <n v="100000000"/>
    <n v="70000000"/>
    <n v="0"/>
    <n v="30000000"/>
    <n v="0"/>
    <s v="No"/>
    <s v=""/>
    <s v=""/>
    <n v="0"/>
    <s v="No"/>
    <s v=""/>
    <s v=""/>
    <n v="0"/>
    <s v="No"/>
    <s v=""/>
    <s v=""/>
    <s v=""/>
    <n v="0"/>
    <m/>
    <n v="3"/>
    <n v="4"/>
    <n v="3"/>
    <n v="4"/>
    <n v="4"/>
    <n v="3"/>
    <n v="4"/>
    <n v="3"/>
    <n v="3"/>
    <n v="4"/>
    <n v="35"/>
    <s v="SI"/>
    <m/>
    <s v="SI, SON TEX, EN LUGAR DE NOTAS TIENEN PCA"/>
    <s v="ok tienen todos los datos"/>
    <e v="#N/A"/>
    <e v="#N/A"/>
    <m/>
    <n v="3"/>
    <n v="10"/>
    <n v="8"/>
    <n v="10"/>
    <n v="10"/>
    <n v="15"/>
    <n v="10"/>
    <n v="11.5"/>
    <n v="10.5"/>
    <n v="65.5"/>
    <n v="0.4"/>
    <m/>
    <n v="2"/>
    <n v="2.5"/>
    <n v="6"/>
    <n v="0"/>
    <n v="2"/>
    <n v="2.5"/>
    <n v="7"/>
    <n v="0"/>
    <n v="64.5"/>
    <n v="0.4"/>
    <n v="0.4"/>
    <e v="#N/A"/>
    <m/>
    <m/>
    <n v="0"/>
    <m/>
    <m/>
    <s v="Ingeniería de Sistemas"/>
    <e v="#N/A"/>
    <s v="010"/>
    <e v="#N/A"/>
  </r>
  <r>
    <s v="CC"/>
    <n v="1042091197"/>
    <s v="1000409322"/>
    <s v="KAREN SIRLEY MOSQUERA CRUZ"/>
    <s v="Estudios por primera vez"/>
    <x v="1"/>
    <s v="Descartado por est 1 e ingresos bajos"/>
    <m/>
    <s v="En publico objetivo"/>
    <s v="3ra Cohorte"/>
    <s v="Admitido"/>
    <s v="ksmosquerc@eafit.edu.co"/>
    <e v="#N/A"/>
    <s v="karenmosquera3711@gmail.com"/>
    <s v="319/673-0107"/>
    <d v="2025-05-30T00:00:00"/>
    <s v="Activo en Programa"/>
    <s v="010-Ingeniería de Sistemas"/>
    <s v="E Ciencias Aplic e Ingeniería"/>
    <d v="2006-03-04T00:00:00"/>
    <n v="19"/>
    <s v="Antioquia"/>
    <s v="Vegachí"/>
    <s v="Mujer"/>
    <s v="Soltero"/>
    <s v="SI"/>
    <s v="SI"/>
    <s v="Vegachí"/>
    <s v="NO"/>
    <s v="NA"/>
    <s v="NO"/>
    <s v="NA"/>
    <s v="NO"/>
    <s v="NA"/>
    <s v="No"/>
    <s v="319/673-0107"/>
    <s v="319/673-0107"/>
    <s v="Estrato 1"/>
    <s v="CL 39 B CR 114 C- 63"/>
    <s v="Antioquia"/>
    <s v="Medellín"/>
    <s v="No aplica, no soy foráneo"/>
    <s v="Arriendo"/>
    <s v="SI"/>
    <s v="2024"/>
    <s v="AC202433269743"/>
    <n v="307"/>
    <n v="62"/>
    <n v="60"/>
    <s v="Pública"/>
    <s v="INST EDUC CEFA"/>
    <n v="2024"/>
    <s v="Antioquia"/>
    <s v="Medellín"/>
    <s v="BACHILLER"/>
    <s v="ACAD"/>
    <s v="TIPO: Pública, INSTITUCION: INST EDUC CEFA, AÑO: 2024, CIUDAD: Medellín, TITULO: BACHILLER"/>
    <s v="11"/>
    <s v="Escala de 0 - 5"/>
    <s v="Escala de 0 - 5"/>
    <s v="4"/>
    <s v="4,5"/>
    <m/>
    <s v="4"/>
    <s v="5"/>
    <m/>
    <n v="4"/>
    <n v="3.4"/>
    <m/>
    <n v="4"/>
    <n v="3.4"/>
    <m/>
    <s v="4"/>
    <s v="3,4"/>
    <m/>
    <s v="4"/>
    <s v="3,4"/>
    <m/>
    <s v="4"/>
    <s v="4"/>
    <m/>
    <s v="De 9 y 10"/>
    <n v="3.7"/>
    <s v="NO"/>
    <s v="NA"/>
    <n v="0"/>
    <n v="0"/>
    <s v="No"/>
    <n v="50"/>
    <m/>
    <n v="50"/>
    <m/>
    <n v="50"/>
    <m/>
    <m/>
    <n v="50"/>
    <s v="Con detalle por componente"/>
    <s v="Ninguna"/>
    <s v="Como futura ingeniera en sistemas, me visualizo como un agente de cambio que utiliza la tecnología para resolver problemas complejos y optimizar procesos en mi país. Mi enfoque no solo se centrará en el desarrollo de software, redes o inteligencia artificial, quiero hacer algo más que solo programar, quiero desarrollar soluciones que eviten tragedias. Me di cuenta de que esta profesión no consiste sólo en programar, sino de crear puentes entre la tecnología y las necesidades humanas._x000a_Obtener esta beca significa para mi seguir con mi modelo de sueño de estar en EAFIT y hacer parte de su programa de sostenibilidad, su énfasis en la tecnología para la paz y proyectos como el Laboratorio de Innovación Social coinciden con mi deseo de desarrollar sistemas para proteger a las comunidades vulnerables. Además el enfoque en el aprendizaje me dará la oportunidad en el futuro de desarrollar plataformas accesibles, lo que es crucial en un país donde el 40% de las víctimas del conflicto aún no tienen acceso a herramientas digitales para reconstruir sus vidas._x000a_En el futuro, quiero dirigir una empresa de tecnología social que desarrolle herramientas accesibles para comunidades vulnerables. Me imagino aplicaciones que traduzcan lenguas indígenas al español en tiempo real para preservar conocimientos ancestrales, o redes de blockchain que garanticen pagos justos a campesinos. Colombia necesita ingenieros que no repitan modelos ajenos, sino que entiendan sus raíces y las conviertan en innovaciones._x000a_Mi meta es formarme con excelencia, aplicar el conocimiento en iniciativas locales y capacitar a otros para que se sumen a esta transformación. Así la beca no solo impulsará mi carrera, sino que se convertirá en un impulso para una región más inclusiva, unida y tecnológicamente empoderada."/>
    <s v="A través del Colegio"/>
    <s v="Por la oferta académica."/>
    <s v="Vocación."/>
    <n v="1"/>
    <s v="1"/>
    <s v="NO"/>
    <s v="NO"/>
    <s v="Entre 1 y 2 millones"/>
    <s v="No"/>
    <n v="0"/>
    <n v="0"/>
    <m/>
    <s v="SI"/>
    <s v="Beca"/>
    <s v="NO"/>
    <s v=""/>
    <s v=""/>
    <s v="No, fallecido"/>
    <n v="0"/>
    <m/>
    <m/>
    <m/>
    <s v=""/>
    <s v=""/>
    <m/>
    <s v=""/>
    <m/>
    <s v=""/>
    <m/>
    <m/>
    <s v="Mi padre fue militar, me acompaño hasta los 3 años y desgraciadamente murió a causa de los conflictos que hay en el país cuando estaba su momento de descanso."/>
    <s v="Si"/>
    <s v="Ana Teresa Cruz Gonzalez"/>
    <s v="Otro"/>
    <s v="PRIMARIA"/>
    <s v="45"/>
    <s v="Aseo integrado"/>
    <s v="Empleado (con contrato laboral)"/>
    <s v="Servicio de limpieza"/>
    <s v="Uno A"/>
    <n v="1423500"/>
    <s v="No"/>
    <s v="NO"/>
    <s v="NO"/>
    <m/>
    <n v="1423500"/>
    <s v="Si"/>
    <s v="Yulisa Fernanda Cifuentes Cruz"/>
    <s v="Hermano / Hermana"/>
    <s v="28"/>
    <s v="Secretaria"/>
    <s v="Multiceramicas"/>
    <n v="1423500"/>
    <s v="No"/>
    <s v="David Rueda Rafael Arturo"/>
    <s v="Amigo"/>
    <s v="42"/>
    <s v="Vigilante"/>
    <s v="Civitec"/>
    <n v="1423500"/>
    <s v="Si"/>
    <s v=""/>
    <s v=""/>
    <s v=""/>
    <s v=""/>
    <s v=""/>
    <m/>
    <s v=""/>
    <s v=""/>
    <n v="0"/>
    <n v="0"/>
    <n v="0"/>
    <n v="0"/>
    <n v="0"/>
    <s v="No"/>
    <s v=""/>
    <s v=""/>
    <n v="0"/>
    <s v="No"/>
    <s v=""/>
    <s v=""/>
    <n v="0"/>
    <s v="No"/>
    <s v=""/>
    <s v=""/>
    <s v=""/>
    <n v="0"/>
    <m/>
    <n v="4"/>
    <n v="4"/>
    <n v="3"/>
    <n v="4"/>
    <n v="3"/>
    <n v="4"/>
    <n v="4"/>
    <n v="4"/>
    <n v="3"/>
    <n v="4"/>
    <n v="37"/>
    <s v="SI"/>
    <m/>
    <s v="SI, SON PRI"/>
    <s v="ok tienen todos los datos"/>
    <s v="Negada"/>
    <n v="20251"/>
    <m/>
    <n v="3"/>
    <n v="6"/>
    <n v="6"/>
    <n v="5"/>
    <n v="10"/>
    <n v="15"/>
    <n v="20"/>
    <n v="20"/>
    <n v="20"/>
    <n v="76"/>
    <s v="80 - 100%"/>
    <m/>
    <n v="3.5"/>
    <n v="4.5"/>
    <n v="8"/>
    <n v="4"/>
    <n v="3.5"/>
    <n v="4"/>
    <n v="8"/>
    <n v="4.5"/>
    <n v="76"/>
    <s v="80 - 100%"/>
    <n v="0.8"/>
    <e v="#N/A"/>
    <m/>
    <m/>
    <n v="0"/>
    <m/>
    <m/>
    <s v="Ingeniería de Sistemas"/>
    <e v="#N/A"/>
    <s v="010"/>
    <e v="#N/A"/>
  </r>
  <r>
    <s v="CC"/>
    <n v="1042151250"/>
    <s v="1000404791"/>
    <s v="JUAN JOSE RUDA RODRIGUEZ"/>
    <s v="Estudios por primera vez"/>
    <x v="1"/>
    <s v="No cumple, puntaje ICFES menor a 300"/>
    <m/>
    <s v="En publico objetivo"/>
    <s v="1er Cohorte"/>
    <s v="Admitido"/>
    <s v="jjrudar@eafit.edu.co"/>
    <e v="#N/A"/>
    <s v="juanjoserudarodriguez@gmail.com"/>
    <s v="573122173281"/>
    <d v="2025-04-25T00:00:00"/>
    <s v="Activo en Programa"/>
    <s v="010-Ingeniería de Sistemas"/>
    <s v="E Ciencias Aplic e Ingeniería"/>
    <d v="2006-06-19T00:00:00"/>
    <n v="19"/>
    <s v="Antioquia"/>
    <s v="Yarumal"/>
    <s v="Hombre"/>
    <s v="Soltero"/>
    <s v="NO"/>
    <s v="NO"/>
    <n v="0"/>
    <s v="NO"/>
    <s v="NA"/>
    <s v="NO"/>
    <s v="NA"/>
    <s v="NO"/>
    <s v="NA"/>
    <s v="No"/>
    <s v="312/217-3281"/>
    <s v="573122173281"/>
    <s v="Estrato 2"/>
    <s v="CORREGIMIENTO DE YARUMAL"/>
    <s v="Antioquia"/>
    <s v="Yarumal"/>
    <s v="Si"/>
    <s v="Propio"/>
    <s v="SI"/>
    <s v="2023"/>
    <s v="AC202340818401"/>
    <n v="275"/>
    <n v="60"/>
    <n v="57"/>
    <s v="Pública"/>
    <s v="I. E. CEDEÑO"/>
    <n v="2023"/>
    <s v="Antioquia"/>
    <s v="Yarumal"/>
    <s v="BACHILLER"/>
    <s v="ACAD"/>
    <s v="TIPO: Pública, INSTITUCION: I. E. CEDEÑO, AÑO: 2023, CIUDAD: Yarumal, TITULO: BACHILLER"/>
    <s v="11"/>
    <s v="Escala de 0 - 5"/>
    <s v="Escala de 0 - 5"/>
    <s v="4,5"/>
    <s v="4,5"/>
    <m/>
    <s v="4,5"/>
    <s v="4,5"/>
    <m/>
    <n v="4"/>
    <n v="4"/>
    <m/>
    <n v="4.5"/>
    <n v="4"/>
    <m/>
    <s v="5"/>
    <s v="4,5"/>
    <m/>
    <s v="4,5"/>
    <s v="4,5"/>
    <m/>
    <s v="4"/>
    <s v="5"/>
    <m/>
    <s v="De 9 y 10"/>
    <n v="4.125"/>
    <s v="NO"/>
    <s v="NA"/>
    <n v="0"/>
    <n v="0"/>
    <s v="No"/>
    <n v="45"/>
    <m/>
    <n v="50"/>
    <m/>
    <n v="50"/>
    <m/>
    <m/>
    <n v="48.333333333333336"/>
    <s v="Con detalle por componente"/>
    <s v="Deportistas de alto rendimiento o representativo,Trabajo social o comunitario"/>
    <s v="Me visualizo interactuando en una variedad de escenarios, siempre en busca de optimizar recursos e implementar soluciones innovadoras en el ámbito tecnológico, aplicar habilidades para diseñar sistemas informáticos, asesorar diferentes organizaciones sobre la adopción de nuevas tecnologías."/>
    <s v="Página WEB"/>
    <s v="Por la calidad académica."/>
    <s v="Alta empleabilidad."/>
    <n v="1"/>
    <s v="1"/>
    <s v="NO"/>
    <s v="NO"/>
    <s v="Entre 5 y 6 millones"/>
    <s v="No"/>
    <s v="SI"/>
    <s v="NO"/>
    <m/>
    <s v="SI"/>
    <m/>
    <s v="NO"/>
    <s v=""/>
    <s v=""/>
    <s v="Sin información"/>
    <s v="JOSÉ MOISES RUDA VERGARA"/>
    <s v="Unión marital"/>
    <s v="TÉCNICA"/>
    <s v="59"/>
    <s v=""/>
    <s v=""/>
    <m/>
    <s v=""/>
    <m/>
    <s v=""/>
    <s v="NO"/>
    <s v="NO"/>
    <s v="Tengo poco contacto con mi padre, por lo tanto no tengo mucha información de él"/>
    <s v="Si"/>
    <s v="Marisela Rodriguez Hernandez"/>
    <s v="Otro"/>
    <s v="MAESTRÍA"/>
    <s v="46"/>
    <s v="Docente- Magister"/>
    <s v="Empleado (con contrato laboral)"/>
    <s v="Docente"/>
    <s v="Seduca"/>
    <n v="5454620"/>
    <s v="Si"/>
    <s v="NO"/>
    <s v="NO"/>
    <s v="Madre cabeza de familia"/>
    <n v="5454620"/>
    <s v="No, solo vivo con mis padres"/>
    <s v=""/>
    <s v=""/>
    <s v=""/>
    <s v=""/>
    <s v=""/>
    <m/>
    <s v=""/>
    <s v=""/>
    <s v=""/>
    <s v=""/>
    <s v=""/>
    <s v=""/>
    <m/>
    <s v=""/>
    <s v=""/>
    <s v=""/>
    <s v=""/>
    <s v=""/>
    <s v=""/>
    <m/>
    <s v=""/>
    <s v=""/>
    <n v="90923000"/>
    <n v="0"/>
    <n v="0"/>
    <n v="0"/>
    <n v="12043500"/>
    <s v="No"/>
    <s v=""/>
    <s v=""/>
    <n v="0"/>
    <s v="No"/>
    <s v=""/>
    <s v=""/>
    <n v="0"/>
    <s v="Si"/>
    <s v="Moto"/>
    <s v="yamaha"/>
    <s v="2021"/>
    <n v="14700000"/>
    <s v="Ninguna"/>
    <n v="4"/>
    <n v="4"/>
    <n v="4"/>
    <n v="4"/>
    <n v="4"/>
    <n v="4"/>
    <n v="4"/>
    <n v="3"/>
    <n v="4"/>
    <n v="4"/>
    <n v="39"/>
    <s v="SI"/>
    <m/>
    <s v="SI, SON PRI"/>
    <s v="ok tienen todos los datos"/>
    <e v="#N/A"/>
    <e v="#N/A"/>
    <m/>
    <n v="3"/>
    <n v="10"/>
    <n v="10"/>
    <n v="0"/>
    <n v="15"/>
    <n v="15"/>
    <n v="20"/>
    <n v="15"/>
    <n v="12"/>
    <n v="72"/>
    <n v="0.4"/>
    <m/>
    <n v="3.5"/>
    <n v="2.5"/>
    <n v="3"/>
    <n v="3"/>
    <n v="3.5"/>
    <n v="2.5"/>
    <n v="6"/>
    <n v="3"/>
    <n v="75"/>
    <n v="0.5"/>
    <n v="0.4"/>
    <e v="#N/A"/>
    <s v="x icfes"/>
    <m/>
    <n v="0"/>
    <m/>
    <m/>
    <s v="Ingeniería de Sistemas"/>
    <e v="#N/A"/>
    <s v="010"/>
    <e v="#N/A"/>
  </r>
  <r>
    <s v="TI"/>
    <n v="1042151832"/>
    <s v="1000406569"/>
    <s v="LAURA GUTIERREZ RESTREPO"/>
    <s v="Estudios por primera vez"/>
    <x v="7"/>
    <s v="Descartado por ingresos altos"/>
    <m/>
    <s v="En publico objetivo"/>
    <s v="2da Cohorte"/>
    <s v="Admitido"/>
    <s v="lgutierrr2@eafit.edu.co"/>
    <e v="#N/A"/>
    <s v="lgutierrez0419@gmail.com"/>
    <s v="573105259114"/>
    <d v="2025-05-16T00:00:00"/>
    <s v="Activo en Programa"/>
    <s v="237-Diseño Interactivo"/>
    <s v="Escuela de Artes y Humanidades"/>
    <d v="2007-08-19T00:00:00"/>
    <n v="18"/>
    <s v="Antioquia"/>
    <s v="Yarumal"/>
    <s v="Mujer"/>
    <s v="Soltero"/>
    <s v="NO"/>
    <s v="NO"/>
    <n v="0"/>
    <s v="NO"/>
    <s v="NA"/>
    <s v="NO"/>
    <s v="NA"/>
    <s v="NO"/>
    <s v="NA"/>
    <s v="No"/>
    <s v="No hay"/>
    <s v="573105259114"/>
    <s v="Estrato 3"/>
    <s v="CL 24#18 05"/>
    <s v="Antioquia"/>
    <s v="Yarumal"/>
    <s v="Si"/>
    <s v="Familiar"/>
    <s v="SI"/>
    <s v="2024"/>
    <s v="AC202437197197"/>
    <n v="316"/>
    <n v="59"/>
    <n v="63"/>
    <s v="Privada"/>
    <s v="COLEGIO CATOLICO LA INMACULADA"/>
    <n v="2024"/>
    <s v="Antioquia"/>
    <s v="Yarumal"/>
    <s v="BACHILLER"/>
    <s v="ACAD"/>
    <s v="TIPO: Privada, INSTITUCION: COLEGIO CATOLICO LA INMACULADA, AÑO: 2024, CIUDAD: Yarumal, TITULO: BACHILLER"/>
    <s v="11"/>
    <s v="Escala Desempeño"/>
    <s v="Escala de 0 - 5"/>
    <s v="5"/>
    <s v="5"/>
    <m/>
    <s v="5"/>
    <s v="5"/>
    <m/>
    <n v="4.5"/>
    <n v="5"/>
    <m/>
    <n v="5"/>
    <n v="5"/>
    <m/>
    <s v="4,5"/>
    <s v="4,5"/>
    <m/>
    <s v="4,5"/>
    <s v="4,5"/>
    <m/>
    <s v="5"/>
    <s v="4,5"/>
    <m/>
    <s v="De 9 y 10"/>
    <n v="4.875"/>
    <s v="NO"/>
    <s v="NA"/>
    <n v="0"/>
    <n v="0"/>
    <s v="No"/>
    <n v="40"/>
    <m/>
    <n v="40"/>
    <m/>
    <n v="45"/>
    <m/>
    <m/>
    <n v="41.666666666666664"/>
    <s v="Con detalle por componente"/>
    <s v="Artísticas o culturales,Otras (por ejemplo, un talento extraordinario)"/>
    <s v="Crecí siendo una niña observadora y callada, pero también era muy activa, creativa y con una imaginación que no conocía los limites; constantemente me ponía en situaciones que me ayudaron a comprender que los demás necesitaban un empujoncito para tomar acción en algo que querían. Mas grande, entendí la realidad de que los jóvenes no tienen claro su propósito y muchos deben enfrentarse a decisiones difíciles, terminando en caminos que parecen salidas, pero en realidad no lo son. _x000a_Yo vengo de Yarumal, Antioquia, un pueblo lleno de talento e historia, que está marcado por retos sociales que influyen las oportunidades de los jóvenes._x000a_Veo el diseño interactivo como un puente entre lo que imagino y lo que puedo crear para otros, quiero llevar a los lugares mas olvidados de nosotros mismos la posibilidad de sanar, conectar y sembrar oportunidades; la tecnología me ofrece una manera de hacer tangible un proyecto que nos haga consientes de que el cambio comienza en nuestro interior y con una decisión diaria de querer mejorar._x000a_Muchas veces seguí el ritmo de otros, mientras descubría mi voz y comenzaba por escuchar lo que yo tenia para aportar. Hoy he comprendido que el liderazgo también nace desde la intención de transformar. Esta beca representa para mi una oportunidad clave: me permitirá acceder a educación de excelente calidad, rodearme de personas que me inspiren y me ayuden a fortalecer mi visión como profesional. Estoy comprometida con aprender y devolver a mi comunidad todo lo que esta oportunidad me brinda. Quiero ser una profesional que encienda ideas, haga que te cuestiones y deje huellas en los corazones, quiero ser una líder que inspira, acompaña y que transforma desde la empatía."/>
    <s v="Página WEB"/>
    <s v="Por recomendación."/>
    <s v="Vocación."/>
    <n v="5"/>
    <s v="1"/>
    <s v="SI"/>
    <s v="NO"/>
    <s v="Entre 9 y 10 millones"/>
    <s v="Si"/>
    <s v="SI"/>
    <n v="0"/>
    <m/>
    <s v="SI"/>
    <s v="Beca"/>
    <s v="NO"/>
    <s v=""/>
    <s v=""/>
    <s v="Si"/>
    <s v="Davier Humberto Gutiérrez Mejía"/>
    <s v="Casado"/>
    <s v="UNIVERSITARIOS"/>
    <s v="58"/>
    <s v="Productor de leche y comercializador de ganado"/>
    <s v="Independiente (trabaja por cuenta propia)"/>
    <s v="Administrador"/>
    <s v="Finca Ganadera"/>
    <n v="6800000"/>
    <s v="Si"/>
    <s v="SI"/>
    <s v="NO"/>
    <s v="Los ingresos provienen de fincas arrendadas"/>
    <s v="Si"/>
    <s v="Liliana Restrepo Yepes"/>
    <s v="Casado"/>
    <s v="ESPECIALIZACIÓN"/>
    <s v="48"/>
    <s v="Productora de leche, comercializadora de ganado y empleada"/>
    <s v="Empleado (con contrato laboral)"/>
    <s v="Empleada"/>
    <s v="Cooperativa de Yarumal"/>
    <n v="12600000"/>
    <s v="Si"/>
    <s v="NO"/>
    <s v="NO"/>
    <m/>
    <n v="19400000"/>
    <s v="Si"/>
    <s v="Oliverio de Jesús Restrepo Arango"/>
    <s v="Abuelo / Abuela"/>
    <s v="83"/>
    <s v="No tiene"/>
    <s v="N/A"/>
    <n v="0"/>
    <s v="No"/>
    <s v="Ana Maria Gutierrez Restrepo"/>
    <s v="Hermano / Hermana"/>
    <s v="14"/>
    <s v="Estudiante"/>
    <s v="colegio católico la inmaculada"/>
    <n v="0"/>
    <s v="No"/>
    <s v=""/>
    <s v=""/>
    <s v=""/>
    <s v=""/>
    <s v=""/>
    <m/>
    <s v=""/>
    <s v=""/>
    <n v="200000000"/>
    <n v="0"/>
    <n v="0"/>
    <n v="0"/>
    <n v="0"/>
    <s v="Si"/>
    <s v="KIA"/>
    <s v="2012"/>
    <n v="65000000"/>
    <s v="No"/>
    <s v=""/>
    <s v=""/>
    <n v="0"/>
    <s v="No"/>
    <s v=""/>
    <s v=""/>
    <s v=""/>
    <n v="0"/>
    <m/>
    <n v="3"/>
    <n v="4"/>
    <n v="4"/>
    <n v="3"/>
    <n v="4"/>
    <n v="3"/>
    <n v="4"/>
    <n v="4"/>
    <n v="4"/>
    <n v="4"/>
    <n v="37"/>
    <s v="SI"/>
    <m/>
    <s v="SI, SON PRI"/>
    <s v="ok tienen todos los datos"/>
    <e v="#N/A"/>
    <e v="#N/A"/>
    <m/>
    <n v="3"/>
    <n v="10"/>
    <n v="8"/>
    <n v="5"/>
    <n v="20"/>
    <n v="15"/>
    <n v="10"/>
    <n v="7.5"/>
    <n v="7.5"/>
    <n v="67.5"/>
    <n v="0.4"/>
    <m/>
    <n v="2"/>
    <n v="3.5"/>
    <n v="0"/>
    <n v="2"/>
    <n v="2"/>
    <n v="3.5"/>
    <n v="0"/>
    <n v="2"/>
    <n v="65.5"/>
    <n v="0.4"/>
    <s v="Negado"/>
    <e v="#N/A"/>
    <m/>
    <m/>
    <n v="0"/>
    <m/>
    <m/>
    <s v="Diseño Interactivo"/>
    <e v="#N/A"/>
    <m/>
    <e v="#N/A"/>
  </r>
  <r>
    <s v="TI"/>
    <n v="1042252284"/>
    <s v="1000404150"/>
    <s v="RAFAEL ANTONIO ALVAREZ BARROS"/>
    <s v="Estudios por primera vez"/>
    <x v="9"/>
    <s v="No cumple, estrato 5 o 6"/>
    <m/>
    <s v="En publico objetivo"/>
    <s v="1er Cohorte"/>
    <s v="Admitido"/>
    <s v="raalvarezb@eafit.edu.co"/>
    <e v="#N/A"/>
    <s v="rafaelalvarezb5@gmail.com"/>
    <s v="573005033783"/>
    <d v="2025-04-25T00:00:00"/>
    <s v="Activo en Programa"/>
    <s v="199-Finanzas"/>
    <s v="E.Finanzas, Economía, Gobierno"/>
    <d v="2007-05-03T00:00:00"/>
    <n v="18"/>
    <s v="Atlántico"/>
    <s v="Barranquilla"/>
    <s v="Hombre"/>
    <s v="Soltero"/>
    <s v="NO"/>
    <s v="NO"/>
    <n v="0"/>
    <s v="NO"/>
    <s v="NA"/>
    <s v="NO"/>
    <s v="NA"/>
    <s v="NO"/>
    <s v="NA"/>
    <s v="No"/>
    <s v="300/503-3783"/>
    <s v="573005033783"/>
    <s v="Estrato 5"/>
    <s v="CL 28 SUR 27 201"/>
    <s v="Antioquia"/>
    <s v="Envigado"/>
    <s v="Si"/>
    <s v="Familiar"/>
    <s v="SI"/>
    <s v="2025"/>
    <s v="AC202511077429"/>
    <n v="379"/>
    <n v="82"/>
    <n v="66"/>
    <s v="Privada"/>
    <s v="COLEGIO CANADIENSE"/>
    <n v="2025"/>
    <s v="Antioquia"/>
    <s v="La Estrella"/>
    <s v="BACHILLER"/>
    <s v="ACAD"/>
    <s v="TIPO: Privada, INSTITUCION: COLEGIO CANADIENSE, AÑO: 2025, CIUDAD: La Estrella, TITULO: BACHILLER"/>
    <s v="12"/>
    <s v="Escala de 0 - 100"/>
    <s v="Escala de 0 - 100"/>
    <s v="100"/>
    <s v="99"/>
    <m/>
    <s v="100"/>
    <s v="100"/>
    <m/>
    <n v="100"/>
    <n v="96"/>
    <m/>
    <n v="90"/>
    <n v="90"/>
    <m/>
    <s v="90"/>
    <s v="90"/>
    <m/>
    <s v="89"/>
    <s v="89"/>
    <m/>
    <s v="95"/>
    <s v="95"/>
    <m/>
    <s v="De 9 y 10"/>
    <n v="94"/>
    <s v="NO"/>
    <s v="NA"/>
    <n v="0"/>
    <n v="0"/>
    <s v="No"/>
    <n v="45"/>
    <s v="Baloncesto"/>
    <n v="50"/>
    <m/>
    <n v="50"/>
    <m/>
    <s v="Vive con los padres_x000a_Quiere gerenciar la empresa familiar"/>
    <n v="48.333333333333336"/>
    <s v="Con detalle por componente"/>
    <s v="Trabajo social o comunitario,Deportistas de alto rendimiento o representativo,Espacios de liderazgo o representación social"/>
    <s v="Me visualizo como un profesional en Finanzas, capaz de analizar, estructurar y tomar decisiones estratégicas que impulsen el desarrollo económico de la ciudad, dejando huella en el sector empresarial. Aspiro a trabajar en el sector financiero, donde pueda combinar el análisis técnico con una visión humana, especialmente orientada a la transformación de regiones como la Caribe, de donde provengo, a través del altruismo e impulsando a jóvenes emprendedores con grandes ideas._x000a_Mi meta es especializarme en finanzas corporativas y sostenibles para apoyar el crecimiento de pequeñas y medianas empresas en la región, muchas de las cuales operan de manera informal o con acceso limitado al crédito. Me gustaría brindarles el apoyo y el conocimiento necesarios para propulsar a esos grandes soñadores. Porque, al apoyar a estas mentes con una sólida base financiera, se pueden desarrollar proyectos de alto impacto que contribuyan positivamente al progreso de la región Caribe y a su desarrollo económico._x000a_Personalmente, me entusiasma la idea de crear una consultora que les ofrezca herramientas para formalizarse, acceder a financiamiento, optimizar recursos y generar empleo digno en la región. Desde este rol, podré conectar la teoría financiera con las verdaderas necesidades de la comunidad._x000a_La obtención de esta beca me permitirá estudiar en Medellín como foráneo, sin que las dificultades económicas de vivir lejos de mi familia en Barranquilla frenen mi formación. Más allá de mi desarrollo personal, la beca representa una oportunidad para multiplicar conocimiento, compartir esta inversión social llevando educación financiera a barrios vulnerables del Atlántico, promoviendo una cultura de ahorro, inversión y planeación económica._x000a_Con esta beca no solo se apoya mi sueño profesional, sino también una visión de transformación para la región Caribe, donde las finanzas pueden ser una poderosa herramienta de progreso."/>
    <s v="Amigos"/>
    <s v="Universidad reconocida."/>
    <s v="Vocación."/>
    <n v="4"/>
    <s v="1"/>
    <s v="SI"/>
    <s v="NO"/>
    <s v="Entre 10 y 11 millones"/>
    <s v="No"/>
    <n v="0"/>
    <s v="SI"/>
    <s v="Crédito entidad externa"/>
    <n v="0"/>
    <m/>
    <s v="NO"/>
    <s v=""/>
    <s v=""/>
    <s v="Si"/>
    <s v="Rafael Alvarez"/>
    <s v="Unión marital"/>
    <s v="ESPECIALIZACIÓN"/>
    <s v="48"/>
    <s v="Independiente"/>
    <s v="Independiente (trabaja por cuenta propia)"/>
    <s v="Contratista de alimentos"/>
    <s v="Elisa Arrieta"/>
    <n v="5000000"/>
    <s v="No"/>
    <s v="NO"/>
    <s v="NO"/>
    <s v=""/>
    <s v="Si"/>
    <s v="Alba Barros"/>
    <s v="Unión marital"/>
    <s v="ESPECIALIZACIÓN"/>
    <s v="49"/>
    <s v="Ingeniera industrial"/>
    <s v="Empleado (con contrato laboral)"/>
    <s v="Gerente de zona"/>
    <s v="Dermavan"/>
    <n v="900000"/>
    <s v="No"/>
    <s v="SI"/>
    <s v="NO"/>
    <m/>
    <n v="5900000"/>
    <s v="No, vivo solo"/>
    <s v=""/>
    <s v=""/>
    <s v=""/>
    <s v=""/>
    <s v=""/>
    <m/>
    <s v=""/>
    <s v=""/>
    <s v=""/>
    <s v=""/>
    <s v=""/>
    <s v=""/>
    <m/>
    <s v=""/>
    <s v=""/>
    <s v=""/>
    <s v=""/>
    <s v=""/>
    <s v=""/>
    <m/>
    <s v=""/>
    <s v=""/>
    <n v="0"/>
    <n v="300000000"/>
    <n v="0"/>
    <n v="0"/>
    <n v="0"/>
    <s v="Si"/>
    <s v="Fiat"/>
    <s v="2023"/>
    <n v="89000000"/>
    <s v="No"/>
    <s v=""/>
    <s v=""/>
    <n v="0"/>
    <s v="No"/>
    <s v=""/>
    <s v=""/>
    <s v=""/>
    <n v="0"/>
    <m/>
    <n v="4"/>
    <n v="3"/>
    <n v="3"/>
    <n v="4"/>
    <n v="4"/>
    <n v="3"/>
    <n v="4"/>
    <n v="3"/>
    <n v="3"/>
    <n v="4"/>
    <n v="35"/>
    <s v="SI"/>
    <m/>
    <s v="SI, SON PRI"/>
    <s v="ok tienen todos los datos"/>
    <e v="#N/A"/>
    <e v="#N/A"/>
    <m/>
    <n v="2"/>
    <s v="NA"/>
    <s v="NA"/>
    <s v="NA"/>
    <s v="NA"/>
    <s v="NA"/>
    <s v="NA"/>
    <e v="#VALUE!"/>
    <e v="#VALUE!"/>
    <e v="#VALUE!"/>
    <s v="NCR"/>
    <m/>
    <s v="NA"/>
    <s v="NA"/>
    <s v="NA"/>
    <s v="NA"/>
    <s v="NA"/>
    <s v="NA"/>
    <s v="NA"/>
    <s v="NA"/>
    <e v="#VALUE!"/>
    <s v="NCR"/>
    <s v="Negado"/>
    <e v="#N/A"/>
    <m/>
    <m/>
    <n v="0"/>
    <m/>
    <m/>
    <s v="Finanzas"/>
    <e v="#N/A"/>
    <m/>
    <s v="NCR"/>
  </r>
  <r>
    <s v="CC"/>
    <n v="1042581970"/>
    <s v="1000048974"/>
    <s v="JUANITA SERRANO CAMACHO"/>
    <s v="Estudios por primera vez"/>
    <x v="4"/>
    <s v="No cumple, estrato 4"/>
    <m/>
    <s v="En publico objetivo"/>
    <s v="2da Cohorte"/>
    <s v="Admitido"/>
    <s v="jserranoc@eafit.edu.co"/>
    <s v="jserranoc@eafit.edu.co"/>
    <s v="juanitasc.1411@outlook.com"/>
    <s v="300/766-9010"/>
    <d v="2025-05-16T00:00:00"/>
    <s v="Activo en Programa"/>
    <s v="169-Mercadeo"/>
    <s v="Escuela de Administración"/>
    <d v="2006-11-14T00:00:00"/>
    <n v="19"/>
    <s v="Antioquia"/>
    <s v="Envigado"/>
    <s v="Mujer"/>
    <s v="Soltero"/>
    <s v="NO"/>
    <s v="NO"/>
    <n v="0"/>
    <s v="NO"/>
    <s v="NA"/>
    <s v="NO"/>
    <s v="NA"/>
    <s v="NO"/>
    <s v="NA"/>
    <s v="No"/>
    <s v="300/766-9010"/>
    <s v="NA"/>
    <s v="Estrato 4"/>
    <s v="CR 27 AA #36 SUR- 160"/>
    <s v="Antioquia"/>
    <s v="Envigado"/>
    <s v="No aplica, no soy foráneo"/>
    <s v="Propio"/>
    <s v="SI"/>
    <s v="2023"/>
    <s v="AC202341648278"/>
    <n v="333"/>
    <n v="68"/>
    <n v="66"/>
    <s v="Privada"/>
    <s v="COLEGIO PALERMO DE SAN JOSE"/>
    <n v="2023"/>
    <s v="Antioquia"/>
    <s v="Medellín"/>
    <s v="BACHILLER"/>
    <s v="ACAD"/>
    <s v="TIPO: Privada, INSTITUCION: COLEGIO PALERMO DE SAN JOSE, AÑO: 2023, CIUDAD: Medellín, TITULO: BACHILLER"/>
    <s v="11"/>
    <s v="Escala de 0 - 5"/>
    <s v="Escala de 0 - 5"/>
    <s v="5"/>
    <s v="4,6"/>
    <m/>
    <s v="4,6"/>
    <s v="4,5"/>
    <m/>
    <n v="4.5999999999999996"/>
    <n v="4"/>
    <m/>
    <n v="4.7"/>
    <n v="4"/>
    <m/>
    <s v="4,7"/>
    <s v="4"/>
    <m/>
    <s v="4,5"/>
    <s v="4,3"/>
    <m/>
    <s v="5"/>
    <s v="4,7"/>
    <m/>
    <s v="De 9 y 10"/>
    <n v="4.3250000000000002"/>
    <s v="NO"/>
    <s v="NA"/>
    <n v="0"/>
    <n v="0"/>
    <s v="No"/>
    <n v="50"/>
    <m/>
    <n v="50"/>
    <m/>
    <n v="50"/>
    <m/>
    <s v="Excelente aspirante."/>
    <n v="50"/>
    <s v="Con detalle por componente"/>
    <s v="Deportistas de alto rendimiento o representativo,Trabajo social o comunitario,Artísticas o culturales"/>
    <s v="Me visualizo ejerciendo el Mercadeo como una herramienta para transformar ideas en realidades, impulsando tanto proyectos sociales como emprendimientos que merecen ser visibles. Mi interés está en aportar soluciones reales que impulsen el crecimiento de proyectos con propósito. Me apasiona ver cómo una buena estrategia puede cambiarle la vida a alguien, y eso es lo que busco lograr con mi carrera._x000a__x000a_La obtención de esta beca sería un apoyo fundamental para mi familia, ya que actualmente mis padres asumen el pago de la universidad de mi hermana, además de una hipoteca por el apartamento en el que residimos actualmente. Este respaldo económico aliviaría la carga financiera del hogar y me permitiría acceder a una formación de calidad, desarrollar habilidades clave y tener la estabilidad necesaria para concentrarme en mi desarrollo profesional._x000a__x000a_Con los conocimientos adquiridos, quiero aportar al fortalecimiento del ecosistema emprendedor en Medellín, liderando campañas efectivas y creando estrategias que generen valor a largo plazo. A través del Mercadeo, es posible transformar no solo negocios, sino también economías locales, y esa es la contribución que espero hacer a mi región."/>
    <s v="Redes sociales"/>
    <s v="Por la calidad académica."/>
    <s v="Vocación."/>
    <n v="3"/>
    <s v="1"/>
    <s v="NO"/>
    <s v="NO"/>
    <s v="Más de 16 millones"/>
    <s v="No"/>
    <n v="0"/>
    <n v="0"/>
    <m/>
    <s v="SI"/>
    <s v="Beca"/>
    <s v="NO"/>
    <s v=""/>
    <s v=""/>
    <s v="Si"/>
    <s v="Mauricio Serrano Sedano"/>
    <s v="Casado"/>
    <s v="ESPECIALIZACIÓN"/>
    <s v="48"/>
    <s v="Militar"/>
    <s v="Pensionado"/>
    <s v="Pensionado"/>
    <s v="No aplica"/>
    <n v="9200000"/>
    <s v="Si"/>
    <s v="NO"/>
    <s v="NO"/>
    <s v=""/>
    <s v="Si"/>
    <s v="Carolina Camacho Daza"/>
    <s v="Otro"/>
    <s v="UNIVERSITARIOS"/>
    <s v="45"/>
    <s v="Ingeniera Sanitaria y Ambiental"/>
    <s v="Empleado (con contrato laboral)"/>
    <s v="COORDINADOR(A) GO TO MARKET CENSOS Y PROSPECCION"/>
    <s v="Cementos Argos"/>
    <n v="3998000"/>
    <s v="Si"/>
    <s v="NO"/>
    <s v="SI"/>
    <m/>
    <n v="13198000"/>
    <s v="Si"/>
    <s v="Gabriela Serrano Camacho"/>
    <s v="Hermano / Hermana"/>
    <s v="20"/>
    <s v="Estudiante"/>
    <s v="Universidad San Buenaventura"/>
    <n v="0"/>
    <s v="No"/>
    <s v=""/>
    <s v=""/>
    <s v=""/>
    <s v=""/>
    <s v=""/>
    <m/>
    <s v=""/>
    <s v=""/>
    <s v=""/>
    <s v=""/>
    <s v=""/>
    <s v=""/>
    <m/>
    <s v=""/>
    <s v=""/>
    <n v="0"/>
    <n v="650000000"/>
    <n v="0"/>
    <n v="0"/>
    <n v="0"/>
    <s v="Si"/>
    <s v="Toyota"/>
    <s v="2023"/>
    <n v="100000000"/>
    <s v="No"/>
    <s v=""/>
    <s v=""/>
    <n v="0"/>
    <s v="No"/>
    <s v=""/>
    <s v=""/>
    <s v=""/>
    <n v="0"/>
    <m/>
    <n v="4"/>
    <n v="4"/>
    <n v="4"/>
    <n v="4"/>
    <n v="4"/>
    <n v="4"/>
    <n v="4"/>
    <n v="3"/>
    <n v="4"/>
    <n v="4"/>
    <n v="39"/>
    <s v="SI"/>
    <m/>
    <s v="SI, SON PRI"/>
    <s v="ok tienen todos los datos"/>
    <e v="#N/A"/>
    <e v="#N/A"/>
    <m/>
    <n v="3"/>
    <n v="4"/>
    <n v="4"/>
    <n v="10"/>
    <n v="15"/>
    <n v="15"/>
    <n v="20"/>
    <n v="4.5"/>
    <n v="4.5"/>
    <n v="68.5"/>
    <n v="0.4"/>
    <m/>
    <n v="2"/>
    <n v="2.5"/>
    <n v="0"/>
    <n v="0"/>
    <n v="2"/>
    <n v="2.5"/>
    <n v="0"/>
    <n v="0"/>
    <n v="68.5"/>
    <n v="0.4"/>
    <s v="Negado"/>
    <e v="#N/A"/>
    <m/>
    <m/>
    <n v="0"/>
    <m/>
    <m/>
    <s v="Mercadeo"/>
    <e v="#N/A"/>
    <m/>
    <e v="#N/A"/>
  </r>
  <r>
    <s v="TI"/>
    <n v="1043675330"/>
    <s v="1000391286"/>
    <s v="LAURA VIVIANA HERNANDEZ MENA"/>
    <s v="Estudios por primera vez"/>
    <x v="5"/>
    <s v="Cumple Nutresa"/>
    <s v="Madre profesional"/>
    <s v="En publico objetivo"/>
    <s v="2da Cohorte"/>
    <s v="Admitido"/>
    <s v="lvhernandm@eafit.edu.co"/>
    <s v="lvhernandm@eafit.edu.co"/>
    <s v="laurahm2008@gmail.com"/>
    <s v="573017613539"/>
    <d v="2025-05-16T00:00:00"/>
    <s v="Activo en Programa"/>
    <s v="002-Negocios Internacionales"/>
    <s v="Escuela de Administración"/>
    <d v="2008-02-28T00:00:00"/>
    <n v="17"/>
    <s v="Atlántico"/>
    <s v="Barranquilla"/>
    <s v="Mujer"/>
    <s v="Soltero"/>
    <s v="NO"/>
    <s v="NO"/>
    <n v="0"/>
    <s v="NO"/>
    <s v="NA"/>
    <s v="NO"/>
    <s v="NA"/>
    <s v="NO"/>
    <s v="NA"/>
    <s v="No"/>
    <s v="301 761 3539"/>
    <s v="573017613539"/>
    <s v="Estrato 3"/>
    <s v="CL 28 84 195"/>
    <s v="Antioquia"/>
    <s v="Medellín"/>
    <s v="No aplica, no soy foráneo"/>
    <s v="Arriendo"/>
    <s v="SI"/>
    <s v="2024"/>
    <s v="AC202434093019"/>
    <n v="378"/>
    <n v="76"/>
    <n v="79"/>
    <s v="Privada"/>
    <s v="LIC SALAZAR Y HERRERA"/>
    <n v="2024"/>
    <s v="Antioquia"/>
    <s v="Medellín"/>
    <s v="BACHILLER"/>
    <s v="ACAD"/>
    <s v="TIPO: Privada, INSTITUCION: LIC SALAZAR Y HERRERA, AÑO: 2024, CIUDAD: Medellín, TITULO: BACHILLER"/>
    <s v="11"/>
    <s v="Escala de 0 - 5"/>
    <s v="Escala de 0 - 5"/>
    <s v="4,5"/>
    <s v="4,3"/>
    <m/>
    <s v="4,5"/>
    <s v="4,3"/>
    <m/>
    <n v="4.5999999999999996"/>
    <n v="4.7"/>
    <m/>
    <n v="4.5999999999999996"/>
    <n v="4.5999999999999996"/>
    <m/>
    <s v="5"/>
    <s v="5"/>
    <m/>
    <s v="4,8"/>
    <s v="4,8"/>
    <m/>
    <s v="4,5"/>
    <s v="4,7"/>
    <m/>
    <s v="De 9 y 10"/>
    <n v="4.625"/>
    <s v="NO"/>
    <s v="NA"/>
    <n v="0"/>
    <n v="0"/>
    <s v="No"/>
    <n v="45"/>
    <m/>
    <n v="45"/>
    <m/>
    <n v="50"/>
    <m/>
    <m/>
    <n v="46.666666666666664"/>
    <s v="Con detalle por componente"/>
    <s v="Espacios de liderazgo o representación social"/>
    <s v="Me visualizo ejerciendo la carrera de Negocios Internacionales como una profesional íntegra, soñadora y resiliente, que ante las diferencias encuentra similitudes que abren el camino hacia el éxito. Estudiar en la universidad EAFIT representa para mí la oportunidad de cumplir mis sueños a cabalidad, gracias a su formación de calidad, su creencia en el poder transformador de la educación y la visión global que esta universidad ofrece. Dichas características me ayudarán a liderar proyectos con impacto positivo en mi comunidad y lugar de residencia, es decir, Medellín. Pretendo a través de mi profesión ayudar y abrirle la puerta al mundo a aquellas ideas autóctonas de las etnias que históricamente han sido ignoradas en nuestro país, logrando que sus sueños se cumplan y sean conocidos no solo por Colombia, sino por todo el mundo._x000a__x000a_Al obtener la beca, podré dedicarme de lleno a mi formación profesional y adquirir las herramientas necesarias para impulsar iniciativas que conecten a las personas con el mercado internacional, promoviendo productos y emprendimientos locales con valor social. Mi aspiración es poder trabajar en ideas que empoderen a las mujeres, sobre todo, madres cabeza de hogar y jóvenes emprendedores, ofreciéndoles acompañamiento para que sus ideas tengan proyección global y sobre todo, que impulsen el modelo de sostenibilidad._x000a__x000a_Sé que los negocios no solo se tratan de cifras, sino también de culturas, personas y sueños. Por eso mi enfoque es humano y responsable, valorando el entendimiento mutuo a través de la comunicación y el lenguaje. Aprovechar esta beca es más que una ayuda económica, es el punto de partida para aportar a la construcción de un futuro donde pueda devolverle a mi país lo que ha sembrado en mí. Tengo la convicción que con educación, visión y compromiso, puedo ser un agente de cambio para mi región."/>
    <s v="Amigos"/>
    <s v="Internacionalización."/>
    <s v="Alta empleabilidad."/>
    <n v="2"/>
    <s v="4"/>
    <s v="NO"/>
    <s v="NO"/>
    <s v="Entre 4 y 5 millones"/>
    <s v="No"/>
    <s v="NO"/>
    <s v="SI"/>
    <m/>
    <s v="SI"/>
    <s v="Beca"/>
    <s v="NO"/>
    <s v=""/>
    <s v=""/>
    <s v="Si"/>
    <s v="Jaime Guillermo Hernández Trüten"/>
    <s v="Casado"/>
    <s v="BACHILLERATO"/>
    <s v="74"/>
    <s v="Administración de Empresas"/>
    <s v="Pensionado"/>
    <s v="NA"/>
    <s v="NA"/>
    <n v="4064967"/>
    <s v="Si"/>
    <s v="SI"/>
    <s v="NO"/>
    <s v=""/>
    <s v="Si"/>
    <s v="Bibiana Patricia Mena Calvo"/>
    <s v="Otro"/>
    <s v="UNIVERSITARIOS"/>
    <s v="46"/>
    <s v="Administración de Negocios Internacionales"/>
    <s v="Desempleado (Se encuentra en la búsqueda activa de empleo)"/>
    <s v="NA"/>
    <s v="NA"/>
    <n v="0"/>
    <s v="Si"/>
    <s v="NO"/>
    <s v="SI"/>
    <m/>
    <n v="4064967"/>
    <s v="No, solo vivo con mis padres"/>
    <s v=""/>
    <s v=""/>
    <s v=""/>
    <s v=""/>
    <s v=""/>
    <m/>
    <s v=""/>
    <s v=""/>
    <s v=""/>
    <s v=""/>
    <s v=""/>
    <s v=""/>
    <m/>
    <s v=""/>
    <s v=""/>
    <s v=""/>
    <s v=""/>
    <s v=""/>
    <s v=""/>
    <m/>
    <s v=""/>
    <s v=""/>
    <n v="0"/>
    <n v="0"/>
    <n v="0"/>
    <n v="0"/>
    <n v="0"/>
    <s v="No"/>
    <s v=""/>
    <s v=""/>
    <n v="0"/>
    <s v="No"/>
    <s v=""/>
    <s v=""/>
    <n v="0"/>
    <s v="Si"/>
    <s v="Moto"/>
    <s v="Suzuki Vivax"/>
    <s v="2006"/>
    <n v="1500000"/>
    <m/>
    <n v="4"/>
    <n v="4"/>
    <n v="3"/>
    <n v="4"/>
    <n v="4"/>
    <n v="3"/>
    <n v="4"/>
    <n v="3"/>
    <n v="4"/>
    <n v="4"/>
    <n v="37"/>
    <s v="SI"/>
    <m/>
    <s v="SI, SON PRI"/>
    <s v="ok tienen todos los datos"/>
    <s v="Negada"/>
    <n v="20251"/>
    <m/>
    <n v="3"/>
    <n v="10"/>
    <n v="8"/>
    <n v="15"/>
    <n v="20"/>
    <n v="15"/>
    <n v="20"/>
    <n v="17.5"/>
    <n v="16.5"/>
    <n v="96.5"/>
    <n v="0.5"/>
    <m/>
    <n v="2"/>
    <n v="4.5"/>
    <n v="6"/>
    <n v="4"/>
    <n v="2"/>
    <n v="4"/>
    <n v="7"/>
    <n v="4.5"/>
    <n v="95.5"/>
    <n v="0.6"/>
    <n v="0.7"/>
    <s v="LAURA VIVIANA HERNANDEZ MENA"/>
    <m/>
    <m/>
    <n v="0"/>
    <s v="EN ORDEN"/>
    <n v="0"/>
    <s v="Negocios Internacionales"/>
    <s v="Pres. para revision docs nutresa"/>
    <m/>
    <s v="NUTRESA"/>
  </r>
  <r>
    <s v="CC"/>
    <n v="1043964106"/>
    <s v="1000405665"/>
    <s v="JUAN DAVID DE LA CRUZ RAMOS"/>
    <s v="Estudios por primera vez"/>
    <x v="1"/>
    <s v="Descartado por ingresos altos"/>
    <m/>
    <s v="En publico objetivo"/>
    <s v="1er Cohorte"/>
    <s v="Admitido"/>
    <s v="jdlac@eafit.edu.co"/>
    <e v="#N/A"/>
    <s v="juandadelacruz2004@hotmail.com"/>
    <s v="573012331272"/>
    <d v="2025-04-28T00:00:00"/>
    <s v="Activo en Programa"/>
    <s v="199-Finanzas"/>
    <s v="E.Finanzas, Economía, Gobierno"/>
    <d v="2004-11-10T00:00:00"/>
    <n v="21"/>
    <s v="Bolívar"/>
    <s v="Cartagena"/>
    <s v="Hombre"/>
    <s v="Soltero"/>
    <s v="NO"/>
    <s v="NO"/>
    <n v="0"/>
    <s v="NO"/>
    <s v="NA"/>
    <s v="NO"/>
    <s v="NA"/>
    <s v="NO"/>
    <s v="NA"/>
    <s v="No"/>
    <s v="300/660-5444"/>
    <s v="573012331272"/>
    <s v="Estrato 2"/>
    <s v="BLAS DE LEZO ETAPA 4 MZNA 24 LT 6"/>
    <s v="Bolívar"/>
    <s v="Cartagena"/>
    <s v="Si"/>
    <s v="Familiar"/>
    <s v="SI"/>
    <s v="2021"/>
    <s v="AC202142490902"/>
    <n v="338"/>
    <n v="64"/>
    <n v="67"/>
    <s v="Privada"/>
    <s v="CIUDAD ESCOLAR DE COMFENALCO"/>
    <n v="2021"/>
    <s v="Bolívar"/>
    <s v="Cartagena"/>
    <s v="BACHILLER"/>
    <s v="ACAD"/>
    <s v="TIPO: Privada, INSTITUCION: CIUDAD ESCOLAR DE COMFENALCO, AÑO: 2021, CIUDAD: Cartagena, TITULO: BACHILLER"/>
    <s v="11"/>
    <s v="Escala de 0 - 5"/>
    <s v="Escala de 0 - 5"/>
    <s v="3,95"/>
    <s v="3,95"/>
    <m/>
    <s v="4,22"/>
    <s v="4,22"/>
    <m/>
    <n v="3.53"/>
    <n v="3.85"/>
    <m/>
    <n v="3.21"/>
    <n v="3.94"/>
    <m/>
    <s v="3,55"/>
    <s v="4,33"/>
    <m/>
    <s v="3,65"/>
    <s v="3,65"/>
    <m/>
    <s v="3,55"/>
    <s v="4,28"/>
    <m/>
    <s v="De 9 y 10"/>
    <n v="3.6324999999999998"/>
    <s v="NO"/>
    <s v="NA"/>
    <n v="0"/>
    <n v="0"/>
    <s v="No"/>
    <n v="40"/>
    <m/>
    <n v="40"/>
    <m/>
    <n v="45"/>
    <m/>
    <s v="Ya se graduó en el año 2021 y estaba estudiando Ingeniería de Sistemas en Cartagena _x000a_Está muy interesado en Finanzas y en la universidad Eafit_x000a_Está estudiando Inglés actualmente_x000a_Saber 11 puntaje 333"/>
    <n v="41.666666666666664"/>
    <s v="Con detalle por componente"/>
    <s v="Deportistas de alto rendimiento o representativo,Trabajo social o comunitario"/>
    <s v="Desde muy joven me ha interesado comprender cómo se generan y administran los recursos en el mundo. Por eso, elegí estudiar Finanzas, me apasiona la posibilidad de convertirme en un gestor de riesgos o inversionista, ayudando a personas y organizaciones a planificar un futuro más sólido y seguro._x000a__x000a_Contar con esta beca representaría una oportunidad invaluable para dedicarme plenamente a mi formación sin imponer una carga económica sobre mi familia, especialmente ahora que mis padres se acercan a la edad de retiro. Poder aliviar esa presión y retribuirles su esfuerzo es una de mis mayores motivaciones._x000a__x000a_Además, uno de mis proyectos a largo plazo es convertirme en un comunicador de portafolios: alguien que enseñe a las personas a diversificar sus inversiones y a mirar más allá de los bienes raíces, que suelen estar sobrevalorados en nuestra cultura. Quiero derribar prejuicios sobre la inversión y acercar herramientas financieras modernas a quienes más las necesitan._x000a__x000a_Mi meta es regresar a mi región y usar mi conocimiento para impulsar el desarrollo económico local, ofreciendo asesoramiento financiero accesible y ayudando a mejorar la calidad de vida de muchas familias."/>
    <s v="Amigos"/>
    <s v="Por la calidad académica."/>
    <s v="Vocación."/>
    <n v="3"/>
    <s v="1"/>
    <s v="NO"/>
    <s v="NO"/>
    <s v="Menos de 1millón"/>
    <s v="No"/>
    <n v="0"/>
    <s v="NO"/>
    <m/>
    <s v="SI"/>
    <s v="Beca"/>
    <s v="NO"/>
    <s v=""/>
    <s v=""/>
    <s v="Si"/>
    <s v="TEOBALDO DE LA CRUZ CARREAZO"/>
    <s v="Casado"/>
    <s v="UNIVERSITARIOS"/>
    <s v="63"/>
    <s v="Ingeniero de Software"/>
    <s v="Pensionado"/>
    <s v="Desarrollador de Software"/>
    <s v="Colpensiones"/>
    <n v="5600000"/>
    <s v="Si"/>
    <s v="NO"/>
    <s v="NO"/>
    <s v=""/>
    <s v="Si"/>
    <s v="CLAUDIA PATRICIA RAMOS CABEZA"/>
    <s v="Casado"/>
    <s v="UNIVERSITARIOS"/>
    <s v="50"/>
    <s v="Contador Publica"/>
    <s v="Empleado (con contrato laboral)"/>
    <s v="Auxiliar contable"/>
    <s v="ARMADA DE COLOMBIA UNIDAD - ESCUELA NAVAL DE CADETES ALMIRANTE PADILLA"/>
    <n v="2935000"/>
    <s v="Si"/>
    <s v="NO"/>
    <s v="NO"/>
    <m/>
    <n v="8535000"/>
    <s v="Si"/>
    <s v="KAREN PATRICIA DE LA CRUZ RAMOS"/>
    <s v="Hermano / Hermana"/>
    <s v="25"/>
    <s v="Estudiante de Enfermeria Profesional"/>
    <s v="Universidad de Cartagena"/>
    <n v="0"/>
    <s v="No"/>
    <s v=""/>
    <s v=""/>
    <s v=""/>
    <s v=""/>
    <s v=""/>
    <m/>
    <s v=""/>
    <s v=""/>
    <s v=""/>
    <s v=""/>
    <s v=""/>
    <s v=""/>
    <m/>
    <s v=""/>
    <s v=""/>
    <n v="0"/>
    <n v="169771000"/>
    <n v="0"/>
    <n v="0"/>
    <n v="0"/>
    <s v="No"/>
    <s v=""/>
    <s v=""/>
    <n v="0"/>
    <s v="No"/>
    <s v=""/>
    <s v=""/>
    <n v="0"/>
    <s v="No"/>
    <s v=""/>
    <s v=""/>
    <s v=""/>
    <n v="0"/>
    <m/>
    <n v="4"/>
    <n v="4"/>
    <n v="3"/>
    <n v="4"/>
    <n v="4"/>
    <n v="4"/>
    <n v="4"/>
    <n v="4"/>
    <n v="4"/>
    <n v="4"/>
    <n v="39"/>
    <s v="SI"/>
    <m/>
    <s v="SI, SON PRI"/>
    <s v="ok tienen todos los datos"/>
    <e v="#N/A"/>
    <e v="#N/A"/>
    <m/>
    <n v="2"/>
    <n v="10"/>
    <n v="10"/>
    <n v="10"/>
    <n v="10"/>
    <n v="15"/>
    <n v="10"/>
    <n v="8.5"/>
    <n v="8.5"/>
    <n v="63.5"/>
    <n v="0.4"/>
    <m/>
    <n v="2"/>
    <n v="3.5"/>
    <n v="1"/>
    <n v="2"/>
    <n v="2"/>
    <n v="3.5"/>
    <n v="1"/>
    <n v="2"/>
    <n v="63.5"/>
    <n v="0.4"/>
    <n v="0.4"/>
    <e v="#N/A"/>
    <m/>
    <m/>
    <n v="0"/>
    <m/>
    <m/>
    <s v="Finanzas"/>
    <e v="#N/A"/>
    <s v="199"/>
    <e v="#N/A"/>
  </r>
  <r>
    <s v="TI"/>
    <n v="1043974803"/>
    <s v="1000404582"/>
    <s v="JUAN CAMILO BARRERA TABOADA"/>
    <s v="Estudios por primera vez"/>
    <x v="1"/>
    <s v="Descartado por ingresos altos"/>
    <s v="Madre profesional"/>
    <s v="En publico objetivo"/>
    <s v="1er Cohorte"/>
    <s v="Admitido"/>
    <s v="jcbarrerat@eafit.edu.co"/>
    <e v="#N/A"/>
    <s v="barrerataboadajuancamilo@gmail.com"/>
    <s v="573219500609"/>
    <d v="2025-04-25T00:00:00"/>
    <s v="Activo en Programa"/>
    <s v="169-Mercadeo"/>
    <s v="Escuela de Administración"/>
    <d v="2007-09-07T00:00:00"/>
    <n v="18"/>
    <s v="Bolívar"/>
    <s v="Cartagena"/>
    <s v="Hombre"/>
    <s v="Soltero"/>
    <s v="NO"/>
    <s v="NO"/>
    <n v="0"/>
    <s v="NO"/>
    <s v="NA"/>
    <s v="NO"/>
    <s v="NA"/>
    <s v="NO"/>
    <s v="NA"/>
    <s v="No"/>
    <s v="310/726-7298"/>
    <s v="573219500609"/>
    <s v="Estrato 2"/>
    <s v="CR 3 AW N 22 14 P 1 B-EL AMPARO"/>
    <s v="Córdoba"/>
    <s v="Montería"/>
    <s v="Si"/>
    <s v="Propio"/>
    <s v="SI"/>
    <s v="2024"/>
    <s v="AC202432992329"/>
    <n v="320"/>
    <n v="63"/>
    <n v="60"/>
    <s v="Privada"/>
    <s v="GIMNASIO VALLE GRANDE"/>
    <n v="2024"/>
    <s v="Córdoba"/>
    <s v="Montería"/>
    <s v="BACHILLER"/>
    <s v="ACAD"/>
    <s v="TIPO: Privada, INSTITUCION: GIMNASIO VALLE GRANDE, AÑO: 2024, CIUDAD: Montería, TITULO: BACHILLER"/>
    <s v="11"/>
    <s v="Escala de 0 - 100"/>
    <s v="Escala de 0 - 100"/>
    <s v="98"/>
    <s v="90"/>
    <m/>
    <s v="98"/>
    <s v="90"/>
    <m/>
    <n v="87"/>
    <n v="81"/>
    <m/>
    <n v="97"/>
    <n v="95"/>
    <m/>
    <s v="97"/>
    <s v="95"/>
    <m/>
    <s v="90"/>
    <s v="90"/>
    <m/>
    <s v="100"/>
    <s v="100"/>
    <m/>
    <s v="De 9 y 10"/>
    <n v="90"/>
    <s v="NO"/>
    <s v="NA"/>
    <n v="0"/>
    <n v="0"/>
    <s v="No"/>
    <n v="50"/>
    <m/>
    <n v="50"/>
    <m/>
    <n v="50"/>
    <m/>
    <s v="El esta aplicando a una beca - en ese sentido lo recomiendo mucho por su excelente entrevista y el perfil que considero adecuado para recibir este tipo de ayudas y beneficios."/>
    <n v="50"/>
    <s v="Con detalle por componente"/>
    <s v="Deportistas de alto rendimiento o representativo,Espacios de liderazgo o representación social,Trabajo social o comunitario"/>
    <s v="Como joven orgullosamente cordobés y caribeño, me visualizo ejerciendo el Mercadeo no solo como una profesión, sino como una herramienta de transformación social. Quiero crear estrategias que conecten el talento local con oportunidades globales, que impulsen el desarrollo sostenible de mi región y potencien a Córdoba como un epicentro de innovación y emprendimiento desde el Caribe colombiano._x000a__x000a_El Mercadeo tiene el poder de contar historias, de visibilizar lo invisible, y esa es mi misión: posicionar los productos, servicios y saberes de nuestra tierra con identidad y competitividad. En diez años, me veo liderando una agencia de impacto social, que trabaje con emprendedores rurales, mujeres cabeza de hogar y jóvenes creativos para llevar sus iniciativas al mercado nacional e internacional._x000a__x000a_La beca EAFIT representa para mí más que un apoyo financiero: es un puente hacia la realización de un propósito mayor. Con ella, podré acceder a una formación de excelencia, fortalecer mis habilidades y multiplicar su impacto en quienes más lo necesitan. Como estudiante integral, bachiller distinguido, deportista y líder comunitario, he aprendido que el conocimiento se comparte y se convierte en transformación real cuando se pone al servicio del otro._x000a__x000a_Desde mi rol en una Fundación donde acompaño a niños y jóvenes de mi departamento, he visto cómo una oportunidad puede cambiar vidas. Esta beca será ese impulso que me permitirá devolverle a mi región todo lo que me ha dado, no solo como profesional, sino como agente de cambio, como un hijo del Caribe que no olvida sus raíces y que trabaja cada día por enaltecerlas."/>
    <s v="Estudiantes de EAFIT"/>
    <s v="Por la calidad académica."/>
    <s v="Alta empleabilidad."/>
    <n v="2"/>
    <s v="1"/>
    <s v="NO"/>
    <s v="NO"/>
    <s v="Entre 1 y 2 millones"/>
    <s v="No"/>
    <n v="0"/>
    <n v="0"/>
    <m/>
    <s v="SI"/>
    <s v="Beca"/>
    <s v="NO"/>
    <s v=""/>
    <s v=""/>
    <s v="Sin información"/>
    <n v="0"/>
    <m/>
    <m/>
    <m/>
    <s v=""/>
    <s v=""/>
    <m/>
    <s v=""/>
    <m/>
    <s v=""/>
    <m/>
    <m/>
    <s v="Ningún vinculo con el padre."/>
    <s v="Si"/>
    <s v="Gricel Del Rosario Taboada Díaz"/>
    <s v="Soltero"/>
    <s v="UNIVERSITARIOS"/>
    <s v="57"/>
    <s v="Independiente"/>
    <s v="Independiente (trabaja por cuenta propia)"/>
    <s v="Comerciante administrativo"/>
    <s v="Independiente"/>
    <n v="1800000"/>
    <s v="Si"/>
    <s v="NO"/>
    <s v="NO"/>
    <s v="Yo, Gricel Del Rosario Taboada Díaz, CC 34996003 soy la responsable a cargo del aspirante Juan Camilo Barrera Taboada, TI 1043974803."/>
    <n v="1800000"/>
    <s v="Si"/>
    <s v="José David Barrera Taboada"/>
    <s v="Hermano / Hermana"/>
    <s v="20"/>
    <s v="Estudiante"/>
    <s v="Universidad de Córdoba"/>
    <n v="0"/>
    <s v="No"/>
    <s v=""/>
    <s v=""/>
    <s v=""/>
    <s v=""/>
    <s v=""/>
    <m/>
    <s v=""/>
    <s v=""/>
    <s v=""/>
    <s v=""/>
    <s v=""/>
    <s v=""/>
    <m/>
    <s v=""/>
    <s v=""/>
    <n v="96447000"/>
    <n v="0"/>
    <n v="0"/>
    <n v="0"/>
    <n v="0"/>
    <s v="No"/>
    <s v=""/>
    <s v=""/>
    <n v="0"/>
    <s v="No"/>
    <s v=""/>
    <s v=""/>
    <n v="0"/>
    <s v="Si"/>
    <s v="Moto"/>
    <s v="yamaha"/>
    <s v="2013"/>
    <n v="2000000"/>
    <s v="Ninguna observación."/>
    <n v="4"/>
    <n v="4"/>
    <n v="3"/>
    <n v="4"/>
    <n v="4"/>
    <n v="3"/>
    <n v="4"/>
    <n v="4"/>
    <n v="4"/>
    <n v="4"/>
    <n v="38"/>
    <s v="SI"/>
    <m/>
    <s v="SI, SON PRI"/>
    <s v="ok tienen todos los datos"/>
    <e v="#N/A"/>
    <e v="#N/A"/>
    <m/>
    <n v="3"/>
    <n v="10"/>
    <n v="10"/>
    <n v="5"/>
    <n v="20"/>
    <n v="15"/>
    <n v="20"/>
    <n v="15.5"/>
    <n v="15.5"/>
    <n v="85.5"/>
    <n v="0.4"/>
    <m/>
    <n v="2"/>
    <n v="2.5"/>
    <n v="8"/>
    <n v="3"/>
    <n v="2"/>
    <n v="2.5"/>
    <n v="8"/>
    <n v="3"/>
    <n v="85.5"/>
    <n v="0.5"/>
    <n v="0.5"/>
    <e v="#N/A"/>
    <m/>
    <m/>
    <n v="0"/>
    <s v="EN ORDEN"/>
    <s v="el predial es de 2011"/>
    <s v="Mercadeo"/>
    <s v="Pres. para revision docs nutresa"/>
    <s v="169"/>
    <e v="#N/A"/>
  </r>
  <r>
    <s v="TI"/>
    <n v="1044987276"/>
    <s v="1000407033"/>
    <s v="VALERIA FORONDA OCHOA"/>
    <s v="Estudios por primera vez"/>
    <x v="1"/>
    <s v="Descartado por bajo icfes"/>
    <m/>
    <s v="En publico objetivo"/>
    <s v="2da Cohorte"/>
    <s v="Admitido"/>
    <s v="vforondao@eafit.edu.co"/>
    <e v="#N/A"/>
    <s v="valeriaforondaochoa00@gmail.com"/>
    <s v="313/678-2736"/>
    <d v="2025-05-16T00:00:00"/>
    <s v="Activo en Programa"/>
    <s v="085-Ingeniería Diseño de Producto"/>
    <s v="E Ciencias Aplic e Ingeniería"/>
    <d v="2007-05-24T00:00:00"/>
    <n v="18"/>
    <s v="Antioquia"/>
    <s v="Santa Rosa De Osos"/>
    <s v="Mujer"/>
    <s v="Soltero"/>
    <s v="NO"/>
    <s v="NO"/>
    <n v="0"/>
    <s v="NO"/>
    <s v="NA"/>
    <s v="NO"/>
    <s v="NA"/>
    <s v="NO"/>
    <s v="NA"/>
    <s v="No"/>
    <s v="310/408-2880"/>
    <s v="313/678-2736"/>
    <s v="Estrato 2"/>
    <s v="TV 8 DG 4 122 (INTERIOR 303 )"/>
    <s v="Antioquia"/>
    <s v="Entrerrios"/>
    <s v="Si"/>
    <s v="Propio"/>
    <s v="SI"/>
    <s v="2024"/>
    <s v="AC202436683361"/>
    <n v="300"/>
    <n v="65"/>
    <n v="61"/>
    <s v="Pública"/>
    <s v="I. E. ENTRERRIOS"/>
    <n v="2024"/>
    <s v="Antioquia"/>
    <s v="Entrerrios"/>
    <s v="BACHILLER"/>
    <s v="ACAD"/>
    <s v="TIPO: Pública, INSTITUCION: I. E. ENTRERRIOS, AÑO: 2024, CIUDAD: Entrerrios, TITULO: BACHILLER"/>
    <s v="11"/>
    <s v="Escala de 0 - 5"/>
    <s v="Escala de 0 - 5"/>
    <s v="4"/>
    <s v="4,5"/>
    <m/>
    <s v="1,5"/>
    <s v="4,5"/>
    <m/>
    <n v="4.3"/>
    <n v="4"/>
    <m/>
    <n v="4.5"/>
    <n v="4"/>
    <m/>
    <s v="4"/>
    <s v="4,3"/>
    <m/>
    <s v="1,5"/>
    <s v="4"/>
    <m/>
    <s v="4,5"/>
    <s v="3,9"/>
    <m/>
    <s v="De 9 y 10"/>
    <n v="4.2"/>
    <s v="NO"/>
    <s v="NA"/>
    <n v="0"/>
    <n v="0"/>
    <s v="No"/>
    <n v="50"/>
    <m/>
    <n v="50"/>
    <m/>
    <n v="50"/>
    <m/>
    <s v="Admitida al programa que se inscribió"/>
    <n v="50"/>
    <s v="Con detalle por componente"/>
    <s v="Artísticas o culturales,Deportistas de alto rendimiento o representativo,Espacios de liderazgo o representación social"/>
    <s v="Me visualizo siendo una ingeniera de diseño de producto que dedica su carrera a responder a las necesidades reales de personas con alguna discapacidad física, sensorial o cognitiva. Me veo desarrollando tecnologías accesibles y mobiliario adaptado, pensado siempre para incluir y no para excluir. Visualizo mis días escuchando miles de historias, entendiendo cada uno de las diversas necesidades y transformándolas en productos que generen comodidad y bienestar. Quiero ejercer mi profesión recorriendo comunidades, realizando talleres colaborativos donde las personas con discapacidad también participen activamente en el proceso creativo, porque creo fielmente que por medio del diseño podemos crear una sociedad mas justa y empática. _x000a_Con la obtención de la beca podré transformar a mi región convirtiéndola en un lugar mas inclusivo, donde todas las personas se sientan realmente tomadas en cuenta, ya que en la mayoría de veces no tienen acceso a productos o herramientas las cuales se adapten a las necesidades de su vida; y se que con buenas ideas y un buen diseño, se pueden crear soluciones que cambien su día a día. También me encantaría trabajar y conversar con ellos para poder así entenderlos y ayudarles de una manera mas precisa, ya que cada persona es diferente y se merece soluciones hechas a su medida. _x000a_Soy consiente que con la obtención de la beca no solo creceré como profesional, sino que también podre transformar la vida de millones de personas, y hacer de mi comunidad un lugar mas humano, empático y sobre todo lleno de oportunidades para cada uno de nosotros."/>
    <s v="Estudiantes de EAFIT"/>
    <s v="Por la calidad académica."/>
    <s v="Vocación."/>
    <n v="1"/>
    <s v="1"/>
    <s v="SI"/>
    <s v="NO"/>
    <s v="Entre 2 y 3 millones"/>
    <s v="No"/>
    <n v="0"/>
    <n v="0"/>
    <m/>
    <s v="SI"/>
    <s v="Beca"/>
    <s v="NO"/>
    <s v=""/>
    <s v=""/>
    <s v="Si"/>
    <s v="Javier Alonso Foronda Serna"/>
    <s v="Soltero"/>
    <s v="BACHILLERATO"/>
    <s v="49"/>
    <s v="Operario de granja"/>
    <s v="Empleado (con contrato laboral)"/>
    <s v="Operario de granja"/>
    <s v="Solla S.A"/>
    <n v="1609000"/>
    <s v="No"/>
    <s v="SI"/>
    <s v="NO"/>
    <s v=""/>
    <s v="Si"/>
    <s v="Claudia Milena Ochoa Marin"/>
    <s v="Soltero"/>
    <s v="BACHILLERATO"/>
    <s v="47"/>
    <s v="Auxiliar servicios generales"/>
    <s v="Empleado (con contrato laboral)"/>
    <s v="Auxiliar servicios generales"/>
    <s v="Dimap"/>
    <n v="1452000"/>
    <s v="Si"/>
    <s v="NO"/>
    <s v="NO"/>
    <m/>
    <n v="3061000"/>
    <s v="No, solo vivo con mis padres"/>
    <s v=""/>
    <s v=""/>
    <s v=""/>
    <s v=""/>
    <s v=""/>
    <m/>
    <s v=""/>
    <s v=""/>
    <s v=""/>
    <s v=""/>
    <s v=""/>
    <s v=""/>
    <m/>
    <s v=""/>
    <s v=""/>
    <s v=""/>
    <s v=""/>
    <s v=""/>
    <s v=""/>
    <m/>
    <s v=""/>
    <s v=""/>
    <n v="0"/>
    <n v="71872000"/>
    <n v="0"/>
    <n v="0"/>
    <n v="0"/>
    <s v="No"/>
    <s v=""/>
    <s v=""/>
    <n v="0"/>
    <s v="No"/>
    <s v=""/>
    <s v=""/>
    <n v="0"/>
    <s v="Si"/>
    <s v="Moto"/>
    <s v="BOXER CT"/>
    <s v="100"/>
    <n v="6099000"/>
    <m/>
    <n v="4"/>
    <n v="4"/>
    <n v="4"/>
    <n v="4"/>
    <n v="4"/>
    <n v="4"/>
    <n v="4"/>
    <n v="4"/>
    <n v="4"/>
    <n v="4"/>
    <n v="40"/>
    <s v="SI"/>
    <m/>
    <s v="SI, SON PRI"/>
    <s v="ok tienen todos los datos"/>
    <s v="Negada"/>
    <n v="20251"/>
    <m/>
    <n v="3"/>
    <n v="10"/>
    <n v="10"/>
    <n v="5"/>
    <n v="15"/>
    <n v="15"/>
    <n v="20"/>
    <n v="17"/>
    <n v="17"/>
    <n v="82"/>
    <n v="0.5"/>
    <m/>
    <n v="3.5"/>
    <n v="2.5"/>
    <n v="8"/>
    <n v="3"/>
    <n v="3.5"/>
    <n v="2.5"/>
    <n v="8"/>
    <n v="3"/>
    <n v="82"/>
    <n v="0.6"/>
    <n v="1"/>
    <e v="#N/A"/>
    <s v="se sube para tener 1 beca del 80% en el pregrado"/>
    <m/>
    <n v="0"/>
    <m/>
    <m/>
    <s v="Ingeniería Diseño de Producto"/>
    <e v="#N/A"/>
    <s v="085"/>
    <e v="#N/A"/>
  </r>
  <r>
    <s v="CC"/>
    <n v="1045606842"/>
    <s v="1000408007"/>
    <s v="ANLLY MELISSA RODRIGUEZ"/>
    <s v="Estudios por primera vez"/>
    <x v="2"/>
    <s v="No cumple, puntaje ICFES menor a 300"/>
    <m/>
    <s v="En publico objetivo"/>
    <s v="2da Cohorte"/>
    <s v="Admitido"/>
    <s v="amrodrigu@eafit.edu.co"/>
    <e v="#N/A"/>
    <s v="anyimelissarodriguez528@gmail.com"/>
    <s v="573207001642"/>
    <d v="2025-05-16T00:00:00"/>
    <s v="Activo en Programa"/>
    <s v="001-Administración de Negocios"/>
    <s v="Escuela de Administración"/>
    <d v="2006-09-22T00:00:00"/>
    <n v="19"/>
    <s v="Antioquia"/>
    <s v="Yolombó"/>
    <s v="Mujer"/>
    <s v="Soltero"/>
    <s v="NO"/>
    <s v="NO"/>
    <n v="0"/>
    <s v="NO"/>
    <s v="NA"/>
    <s v="NO"/>
    <s v="NA"/>
    <s v="NO"/>
    <s v="NA"/>
    <s v="No"/>
    <s v="320/700-1642"/>
    <s v="573207001642"/>
    <s v="Estrato 2"/>
    <s v="EN MEDELLÍN"/>
    <s v="Antioquia"/>
    <s v="Medellín"/>
    <s v="Si"/>
    <s v="Arriendo"/>
    <s v="SI"/>
    <s v="2024"/>
    <s v="AC202433207677"/>
    <n v="202"/>
    <n v="26"/>
    <n v="45"/>
    <s v="Pública"/>
    <s v="IE JOSE ANTONIO GALAN"/>
    <n v="2024"/>
    <m/>
    <s v="Medellín"/>
    <s v="Bachillerato"/>
    <s v="Técnico"/>
    <m/>
    <s v="11"/>
    <s v="Escala Desempeño"/>
    <s v="Escala de 0 - 5"/>
    <s v="5"/>
    <s v="4"/>
    <m/>
    <s v="5"/>
    <s v="4"/>
    <m/>
    <n v="5"/>
    <n v="4.5"/>
    <m/>
    <n v="5"/>
    <n v="4.5"/>
    <m/>
    <s v="4,5"/>
    <s v="4"/>
    <m/>
    <s v="4,5"/>
    <s v="4"/>
    <m/>
    <s v="4,5"/>
    <s v="4"/>
    <m/>
    <s v="De 9 y 10"/>
    <n v="4.75"/>
    <s v="NO"/>
    <s v="NA"/>
    <n v="0"/>
    <n v="0"/>
    <s v="No"/>
    <n v="45"/>
    <m/>
    <n v="45"/>
    <m/>
    <n v="45"/>
    <m/>
    <s v="Estudió en el SENA, Le gusta Administración porque tiene varios saberes que le permiten desarrollarse en varios campos,"/>
    <n v="45"/>
    <s v="Con detalle por componente"/>
    <s v="Trabajo social o comunitario"/>
    <s v="Sueño con convertirme en una líder empresarial exitosa, capaz de impulsar el crecimiento y la innovación en mi propia empresa o en una organización dinámica. Quiero utilizar mis habilidades en Administración de Negocios para tomar decisiones estratégicas y mi pasión por triunfar me impulsan a dar lo mejor de mi en cada oportunidad nueva."/>
    <s v="Redes sociales"/>
    <s v="Por la oferta académica."/>
    <s v="Alta empleabilidad."/>
    <n v="0"/>
    <s v="2"/>
    <s v="SI"/>
    <s v="NO"/>
    <s v="Entre 1 y 2 millones"/>
    <s v="No"/>
    <n v="0"/>
    <n v="0"/>
    <m/>
    <s v="SI"/>
    <s v="Beca"/>
    <s v="SI"/>
    <s v="IMPULSO URBANO SAS"/>
    <s v="Impulsadora de parquimetro"/>
    <s v="No, fallecido"/>
    <n v="0"/>
    <m/>
    <m/>
    <m/>
    <s v=""/>
    <s v=""/>
    <m/>
    <s v=""/>
    <m/>
    <s v=""/>
    <m/>
    <m/>
    <s v="No tuve el honor de conocerlo, falleció cuando estaba muy pequeña por lo que no tengo conocimiento de el."/>
    <s v="Si"/>
    <s v="Claudia Patricia Rodriguez"/>
    <s v="Casado"/>
    <s v="BACHILLERATO"/>
    <s v="37"/>
    <s v="ama de casa"/>
    <s v="Labores del hogar y cuidado"/>
    <s v="Mi madre trabaja en una finca ganadera se dedica a las labores del campo"/>
    <s v="N/A"/>
    <n v="0"/>
    <s v="No"/>
    <s v="NO"/>
    <s v="NO"/>
    <s v="Mi madre es una mujer de campo, actualmente no vivo con ella pero cuento con su apoyo"/>
    <n v="0"/>
    <s v="No, vivo solo"/>
    <s v=""/>
    <s v=""/>
    <s v=""/>
    <s v=""/>
    <s v=""/>
    <m/>
    <s v=""/>
    <s v=""/>
    <s v=""/>
    <s v=""/>
    <s v=""/>
    <s v=""/>
    <m/>
    <s v=""/>
    <s v=""/>
    <s v=""/>
    <s v=""/>
    <s v=""/>
    <s v=""/>
    <m/>
    <s v=""/>
    <s v=""/>
    <n v="0"/>
    <n v="0"/>
    <n v="0"/>
    <n v="0"/>
    <n v="0"/>
    <s v="No"/>
    <s v=""/>
    <s v=""/>
    <n v="0"/>
    <s v="No"/>
    <s v=""/>
    <s v=""/>
    <n v="0"/>
    <s v="No"/>
    <s v=""/>
    <s v=""/>
    <s v=""/>
    <n v="0"/>
    <s v="No tengo bienes ni vehículos familiares porque he tenido que trabajar desde muy joven para sostenerme y costear mis estudios. Mi situación económica ha sido un desafío, pero me ha enseñado a ser resiliente y a valorar cada oportunidad que se me presenta."/>
    <n v="4"/>
    <n v="3"/>
    <n v="4"/>
    <n v="4"/>
    <n v="3"/>
    <n v="4"/>
    <n v="3"/>
    <n v="4"/>
    <n v="4"/>
    <n v="3"/>
    <n v="36"/>
    <s v="SI"/>
    <s v="SI, TIPO IE"/>
    <s v="PRI SIN TIPO IE"/>
    <s v="pendiente tipo ie"/>
    <e v="#N/A"/>
    <e v="#N/A"/>
    <m/>
    <n v="3"/>
    <n v="10"/>
    <n v="10"/>
    <n v="0"/>
    <n v="20"/>
    <n v="15"/>
    <n v="15"/>
    <n v="20"/>
    <n v="20"/>
    <n v="80"/>
    <s v="80 - 100%"/>
    <m/>
    <n v="3.5"/>
    <n v="4.5"/>
    <n v="8"/>
    <n v="4"/>
    <n v="3.5"/>
    <n v="4"/>
    <n v="8"/>
    <n v="4.5"/>
    <n v="80"/>
    <s v="80 - 100%"/>
    <s v="Negado"/>
    <e v="#N/A"/>
    <m/>
    <m/>
    <s v="SI, TIPO IE"/>
    <m/>
    <m/>
    <s v="Administración de Negocios"/>
    <e v="#N/A"/>
    <m/>
    <e v="#N/A"/>
  </r>
  <r>
    <s v="TI"/>
    <n v="1045686687"/>
    <s v="1000403343"/>
    <s v="KEYSHA LOREEN MANTILLA TORRES"/>
    <s v="Estudios por primera vez"/>
    <x v="1"/>
    <s v="Descartado por bajo icfes"/>
    <m/>
    <s v="En publico objetivo"/>
    <s v="1er Cohorte"/>
    <s v="Admitido"/>
    <s v="klmantillt@eafit.edu.co"/>
    <s v="klmantillt@eafit.edu.co"/>
    <s v="yessi24_ok@hotmail.com"/>
    <s v="573007588695"/>
    <d v="2025-04-25T00:00:00"/>
    <s v="Activo en Programa"/>
    <s v="199-Finanzas"/>
    <s v="E.Finanzas, Economía, Gobierno"/>
    <d v="2008-01-12T00:00:00"/>
    <n v="17"/>
    <s v="Atlántico"/>
    <s v="Barranquilla"/>
    <s v="Mujer"/>
    <s v="Soltero"/>
    <s v="NO"/>
    <s v="NO"/>
    <n v="0"/>
    <s v="NO"/>
    <s v="NA"/>
    <s v="NO"/>
    <s v="NA"/>
    <s v="NO"/>
    <s v="NA"/>
    <s v="No"/>
    <s v="321/378-9539"/>
    <s v="573007588695"/>
    <s v="Estrato 2"/>
    <s v="SAN ANDRÉS"/>
    <s v="San Andrés"/>
    <s v="San Andrés"/>
    <s v="Si"/>
    <s v="Familiar"/>
    <s v="SI"/>
    <s v="2024"/>
    <s v="AC202433551561"/>
    <n v="312"/>
    <n v="62"/>
    <n v="70"/>
    <s v="Pública"/>
    <s v="institucion educativa de la sagrada familia"/>
    <n v="2024"/>
    <m/>
    <s v="San Andrés"/>
    <s v="Bachillerato"/>
    <s v="Académico"/>
    <m/>
    <s v="11"/>
    <s v="Escala Desempeño"/>
    <s v="Escala de 0 - 5"/>
    <s v="3,6"/>
    <s v="3,1"/>
    <m/>
    <s v="3,9"/>
    <s v="3,8"/>
    <m/>
    <n v="4.0999999999999996"/>
    <n v="4.0999999999999996"/>
    <m/>
    <n v="3.8"/>
    <n v="3.5"/>
    <m/>
    <s v="4"/>
    <s v="3,3"/>
    <m/>
    <s v="3,5"/>
    <s v="3,5"/>
    <m/>
    <s v="4,2"/>
    <s v="3,8"/>
    <m/>
    <s v="De 9 y 10"/>
    <n v="3.875"/>
    <s v="NO"/>
    <s v="NA"/>
    <n v="0"/>
    <n v="0"/>
    <s v="No"/>
    <n v="40"/>
    <m/>
    <n v="45"/>
    <m/>
    <n v="40"/>
    <m/>
    <s v="Vive en San Andrés Islas_x000a_Se graduó el año pasado y está estudiando inglés"/>
    <n v="41.666666666666664"/>
    <s v="Con detalle por componente"/>
    <s v="Artísticas o culturales,Trabajo social o comunitario"/>
    <s v="Deseo estudiar en la universidad  Eafit, porque es reconocida por su excelencia académica y su dedicación con la calidad de la educación en la formación de profesionales capaces de generar impacto en la sociedad. Me atrae la oportunidad de estudiar en esta universidad que tiene una fuerte conexión con la industria financiera  y que ofrece oportunidades de práctica y empleo para los estudiantes._x000a__x000a_Mi interés por estudiar finanzas es porque me apasiona el entorno de los negocios y la economía. Me interesa saber cómo funcionan los mercados financieros, como se toman las decisiones   de inversión y como se gestionan los riesgos de esta. Además,  me parece que las finanzas son muy importantes para el desarrollo económico y social del país y quiero ser parte de eso._x000a__x000a_Una de mis motivaciones  por esta universidad, es que ofrece una alta excelencia educativa  en el campo de las finanzas, lo que me permite desarrollar las habilidades y conocimientos necesarios para tener éxito en esta área gracias a sus buenos profesores._x000a__x000a_Me veo como una profesional en finanzas, trabajando en una empresa o institución financiera reconocida, como los Bancos, donde pueda aplicar mis habilidades y conocimientos  para tomar decisiones informadas y estratégicas. Mi objetivo es ocupar un rol de liderazgo en esta área, donde pueda contribuir al éxito de una empresa, y generar una influencia positiva en la industria. Puedo al crecimiento económico de mi región generando empleo y aumentado la productividad, mejorando la calidad de vida de los habitantes de mi región. Puedo promover  el desarrollo sostenible en la región, apoyando proyectos que promuevan el medio ambiente."/>
    <s v="Redes sociales"/>
    <s v="Por estar acreditada."/>
    <s v="Nivel académico de docentes."/>
    <n v="3"/>
    <s v="1"/>
    <s v="SI"/>
    <s v="NO"/>
    <s v="Entre 1 y 2 millones"/>
    <s v="No"/>
    <n v="0"/>
    <s v="NO"/>
    <m/>
    <s v="SI"/>
    <s v="Beca"/>
    <s v="NO"/>
    <s v=""/>
    <s v=""/>
    <s v="Si"/>
    <s v="kevin Mantilla Pinzon"/>
    <s v="Unión marital"/>
    <s v="BACHILLERATO"/>
    <s v="42"/>
    <s v="mecanico - monta llanta"/>
    <s v="Independiente (trabaja por cuenta propia)"/>
    <s v="mecanico - monta llanta"/>
    <s v="Llantería the cool"/>
    <n v="2100000"/>
    <s v="No"/>
    <s v="SI"/>
    <s v="NO"/>
    <s v=""/>
    <s v="Si"/>
    <s v="yessica patricia torres gomez"/>
    <s v="Unión marital"/>
    <s v="TECNOLOGÍA"/>
    <s v="39"/>
    <s v="tecnica en contabilidad"/>
    <s v="Independiente (trabaja por cuenta propia)"/>
    <s v="auxiliar de tesorería"/>
    <s v="Universidad Nacional"/>
    <n v="2400000"/>
    <s v="Si"/>
    <s v="NO"/>
    <s v="NO"/>
    <m/>
    <n v="4500000"/>
    <s v="Si"/>
    <s v="kleyder mantilla torres"/>
    <s v="Hermano / Hermana"/>
    <s v="12"/>
    <s v="Estudiante"/>
    <s v="colegio la sagrada familia"/>
    <n v="0"/>
    <s v="No"/>
    <s v=""/>
    <s v=""/>
    <s v=""/>
    <s v=""/>
    <s v=""/>
    <m/>
    <s v=""/>
    <s v=""/>
    <s v=""/>
    <s v=""/>
    <s v=""/>
    <s v=""/>
    <m/>
    <s v=""/>
    <s v=""/>
    <n v="7500000"/>
    <n v="0"/>
    <n v="0"/>
    <n v="0"/>
    <n v="0"/>
    <s v="No"/>
    <s v=""/>
    <s v=""/>
    <n v="0"/>
    <s v="No"/>
    <s v=""/>
    <s v=""/>
    <n v="0"/>
    <s v="Si"/>
    <s v="Moto"/>
    <s v="bwis 125 modelo 2017"/>
    <s v="2017"/>
    <n v="7500000"/>
    <m/>
    <n v="4"/>
    <n v="4"/>
    <n v="3"/>
    <n v="4"/>
    <n v="4"/>
    <n v="4"/>
    <n v="4"/>
    <n v="4"/>
    <n v="3"/>
    <n v="3"/>
    <n v="37"/>
    <s v="SI"/>
    <s v="SI, TIPO IE"/>
    <s v="PRI SIN TIPO IE"/>
    <s v="pendiente tipo ie"/>
    <e v="#N/A"/>
    <e v="#N/A"/>
    <m/>
    <n v="2"/>
    <n v="10"/>
    <n v="10"/>
    <n v="5"/>
    <n v="10"/>
    <n v="15"/>
    <n v="10"/>
    <n v="18.5"/>
    <n v="16"/>
    <n v="66"/>
    <n v="0.5"/>
    <m/>
    <n v="3.5"/>
    <n v="3.5"/>
    <n v="6"/>
    <n v="3"/>
    <n v="3.5"/>
    <n v="3.5"/>
    <n v="7"/>
    <n v="4.5"/>
    <n v="68.5"/>
    <n v="0.7"/>
    <n v="0.6"/>
    <e v="#N/A"/>
    <m/>
    <m/>
    <s v="SI, TIPO IE"/>
    <m/>
    <m/>
    <s v="Finanzas"/>
    <e v="#N/A"/>
    <s v="199"/>
    <e v="#N/A"/>
  </r>
  <r>
    <s v="TI"/>
    <n v="1046339379"/>
    <s v="1000386040"/>
    <s v="SAMUEL JOSE MARTINEZ TORRES"/>
    <s v="Cupo Reservado"/>
    <x v="1"/>
    <s v="Descartado por bajo icfes"/>
    <m/>
    <s v="En publico objetivo"/>
    <s v="1er Cohorte"/>
    <s v="Admitido"/>
    <s v="sjmartinet@eafit.edu.co"/>
    <s v="sjmartinet@eafit.edu.co"/>
    <s v="sjmartinet@eafit.edu.co"/>
    <s v="310/736-6068"/>
    <d v="2025-04-25T00:00:00"/>
    <s v="Activo en Programa"/>
    <s v="010-Ingeniería de Sistemas"/>
    <s v="E Ciencias Aplic e Ingeniería"/>
    <d v="2009-10-13T00:00:00"/>
    <n v="16"/>
    <s v="Atlántico"/>
    <s v="Santa Lucía"/>
    <s v="Hombre"/>
    <s v="Soltero"/>
    <s v="NO"/>
    <s v="NO"/>
    <n v="0"/>
    <s v="NO"/>
    <s v="NA"/>
    <s v="NO"/>
    <s v="NA"/>
    <s v="NO"/>
    <s v="NA"/>
    <s v="No"/>
    <s v="304/650-7850"/>
    <s v="310/736-6068"/>
    <s v="Estrato 3"/>
    <s v="100 D SUR- 189 CR 50 LA ESTRELLA ANTIOQUIA"/>
    <s v="Antioquia"/>
    <s v="Medellín"/>
    <s v="Si"/>
    <s v="Arriendo"/>
    <s v="SI"/>
    <n v="2024"/>
    <s v="AC202434446258"/>
    <n v="307"/>
    <n v="71"/>
    <n v="62"/>
    <s v="Pública"/>
    <s v="INSTITUCION EDUCATIVA SANTA LU"/>
    <n v="2024"/>
    <m/>
    <s v="Santa Lucía"/>
    <n v="0"/>
    <s v="BACHILLER"/>
    <s v="TIPO: Pública, INSTITUCION: INSTITUCION EDUCATIVA SANTA LU, AÑO: 2024, CIUDAD: Santa Lucía, TITULO: BACHILLER | TIPO: Pública, INSTITUCION: INSTITUCION EDUCATIVA SANTA LU, AÑO: 2024, CIUDAD: Santa Lucía, TITULO: BACHILLER | TIPO: Pública, INSTITUCION: INSTITUCION EDUCATIVA SANTA LU, AÑO: 2024, CIUDAD: Santa Lucía, TITULO: BACHILLER"/>
    <n v="0"/>
    <n v="0"/>
    <s v="Escala de 0 - 5"/>
    <m/>
    <m/>
    <s v="4"/>
    <m/>
    <m/>
    <s v="4"/>
    <m/>
    <n v="3.8"/>
    <n v="4.2"/>
    <m/>
    <n v="3.6"/>
    <n v="4.3"/>
    <m/>
    <m/>
    <s v="4"/>
    <m/>
    <m/>
    <s v="3"/>
    <m/>
    <m/>
    <s v="5"/>
    <s v="De 10 y 11"/>
    <n v="3.9749999999999996"/>
    <s v="NA"/>
    <s v="NA"/>
    <n v="0"/>
    <n v="0"/>
    <s v="No"/>
    <s v="Sin informacion"/>
    <s v="Sin informacion"/>
    <s v="Sin informacion"/>
    <s v="Sin informacion"/>
    <s v="Sin informacion"/>
    <s v="Sin informacion"/>
    <s v="Descartado por foraneo con bajos ingresos"/>
    <n v="35"/>
    <s v="Cupo reservado"/>
    <s v="Artísticas o culturales"/>
    <s v="Me veo ejerciendo mi carrera como un agente de cambio en mi comunidad, llevando el desarrollo a través de soluciones tecnológicas que respondan a las necesidades reales de las personas, además liderando proyectos de transformación digital que impulsen el desarrollo económico, educativo y social de mi región. Mi meta es implementar plataformas digitales accesibles que mejoren la calidad de los servicios públicos, optimicen procesos en pequeñas empresas y fomenten la inclusión tecnológica en zonas rurales._x000a_Obtener esta beca para mi representa una oportunidad invaluable para acceder a una educación de calidad, adquirir conocimientos especializados y fortalecer mis habilidades técnicas y de liderazgo. Gracias a esta formación, estaré en capacidad de emprender iniciativas como centros de innovación comunitaria, programas de alfabetización digital y desarrollo de software con impacto social._x000a_Mi región posee un gran potencial, pero enfrenta limitaciones en infraestructura tecnológica y acceso a la educación superior. Mediante esta beca, no solo podré superar barreras personales, sino también convertir mi preparación en un puente que conecte a mi comunidad con el futuro. Quiero inspirar a otros jóvenes a ver la tecnología como una herramienta para transformar su realidad y contribuir al progreso colectivo._x000a_Con pasión, compromiso y visión, estoy decidido a devolver a mi comunidad mucho más de lo que reciba, demostrando que la ingeniería de sistemas no solo construye software, sino también oportunidades."/>
    <s v="Amigos"/>
    <s v="Proyección laboral."/>
    <s v="Recomendación."/>
    <n v="2"/>
    <s v="Sin informacion"/>
    <s v="Sin informacion"/>
    <s v="Sin informacion"/>
    <s v="Sin informacion"/>
    <s v="No"/>
    <s v="SI"/>
    <s v="SI"/>
    <s v="Crédito ICETEX"/>
    <s v="SI"/>
    <s v="Beca"/>
    <s v="NO"/>
    <s v=""/>
    <s v=""/>
    <s v="Si"/>
    <s v="Edwin Martinez Niño"/>
    <s v="Casado"/>
    <s v="BACHILLERATO"/>
    <s v="40"/>
    <s v="Gerente de proyectos"/>
    <s v="Empleado (con contrato laboral)"/>
    <s v="Gerente de Proyectos"/>
    <s v="EDBLAD S.A.S"/>
    <n v="2550000"/>
    <s v="Si"/>
    <s v="SI"/>
    <s v="NO"/>
    <s v="Mi padre siempre se ha esforzado por darnos lo mejor"/>
    <s v="Si"/>
    <s v="Tayana Torres Niño"/>
    <s v="Casado"/>
    <s v="TÉCNICA"/>
    <s v="37"/>
    <s v="Asistencia Administrativa"/>
    <s v="Empleado (con contrato laboral)"/>
    <s v="Asistente operativa"/>
    <s v="GESTION DEL CONOCIMIENTO"/>
    <n v="1423500"/>
    <s v="No"/>
    <s v="NO"/>
    <s v="NO"/>
    <s v="Mi mama es nuestro pilar, siempre nos ha inculcado valores y actualmente no vive con nosotros por cuestiones laborales."/>
    <n v="3973500"/>
    <s v="No, solo vivo con mis padres"/>
    <s v=""/>
    <s v=""/>
    <s v=""/>
    <s v=""/>
    <s v=""/>
    <m/>
    <s v=""/>
    <s v=""/>
    <s v=""/>
    <s v=""/>
    <s v=""/>
    <s v=""/>
    <m/>
    <s v=""/>
    <s v=""/>
    <s v=""/>
    <s v=""/>
    <s v=""/>
    <s v=""/>
    <m/>
    <s v=""/>
    <s v=""/>
    <n v="0"/>
    <n v="0"/>
    <n v="0"/>
    <n v="0"/>
    <n v="0"/>
    <s v="No"/>
    <s v=""/>
    <s v=""/>
    <n v="0"/>
    <s v="No"/>
    <s v=""/>
    <s v=""/>
    <n v="0"/>
    <s v="No"/>
    <s v=""/>
    <s v=""/>
    <s v=""/>
    <n v="0"/>
    <s v="Ninguna"/>
    <n v="4"/>
    <n v="4"/>
    <n v="3"/>
    <n v="4"/>
    <n v="4"/>
    <n v="3"/>
    <n v="4"/>
    <n v="4"/>
    <n v="4"/>
    <n v="4"/>
    <n v="38"/>
    <s v="SI"/>
    <s v="SI, CRE"/>
    <s v="Son CRE, sin tipo de vivienda, nada del ICFES, sin nada de entrevista, y con solo 1 nota del colegio"/>
    <s v="sin info de entrevista, fue descartado en 20251"/>
    <s v="Negada"/>
    <n v="20251"/>
    <m/>
    <n v="3"/>
    <n v="10"/>
    <n v="8"/>
    <n v="5"/>
    <n v="10"/>
    <n v="15"/>
    <n v="5"/>
    <n v="19"/>
    <n v="18"/>
    <n v="63"/>
    <n v="0.5"/>
    <m/>
    <n v="3.5"/>
    <n v="4.5"/>
    <n v="6"/>
    <n v="4"/>
    <n v="3.5"/>
    <n v="4"/>
    <n v="7"/>
    <n v="4.5"/>
    <n v="62"/>
    <n v="0.7"/>
    <n v="0.6"/>
    <e v="#N/A"/>
    <m/>
    <m/>
    <s v="SI, CRE"/>
    <m/>
    <m/>
    <s v="Ingeniería de Sistemas"/>
    <e v="#N/A"/>
    <s v="010"/>
    <e v="#N/A"/>
  </r>
  <r>
    <s v="TI"/>
    <n v="1046537213"/>
    <s v="1000302303"/>
    <s v="JUAN ESTEBAN MONROY DUQUE"/>
    <s v="Estudios por primera vez"/>
    <x v="1"/>
    <s v="No cumple, estrato 4"/>
    <s v="Rescatado"/>
    <s v="En publico objetivo"/>
    <s v="3ra Cohorte"/>
    <s v="Admitido"/>
    <s v="jemonroyd@eafit.edu.co"/>
    <s v="jemonroyd@eafit.edu.co"/>
    <s v="jemd2006@gmail.com"/>
    <s v="310/547-4708"/>
    <d v="2025-05-30T00:00:00"/>
    <s v="Activo en Programa"/>
    <s v="013-Ingeniería Civil"/>
    <s v="E Ciencias Aplic e Ingeniería"/>
    <d v="2006-11-23T00:00:00"/>
    <n v="19"/>
    <s v="Antioquia"/>
    <s v="Turbo"/>
    <s v="Hombre"/>
    <s v="Soltero"/>
    <s v="NO"/>
    <s v="NO"/>
    <n v="0"/>
    <s v="NO"/>
    <s v="NA"/>
    <s v="NO"/>
    <s v="NA"/>
    <s v="NO"/>
    <s v="NA"/>
    <s v="No"/>
    <s v="310/547-4708"/>
    <s v="310/547-4708"/>
    <s v="Estrato 4"/>
    <s v="CL 77 SUR 50 A- 184"/>
    <s v="Antioquia"/>
    <s v="La Estrella"/>
    <s v="No aplica, no soy foráneo"/>
    <s v="Propio"/>
    <s v="SI"/>
    <s v="2024"/>
    <s v="AC202434397279"/>
    <n v="283"/>
    <n v="59"/>
    <n v="49"/>
    <s v="Privada"/>
    <s v="INSTITUTO IBEROAMERICANO"/>
    <n v="2024"/>
    <m/>
    <s v="Turbaco"/>
    <s v="Bachillerato"/>
    <s v="Académico"/>
    <m/>
    <s v="11"/>
    <s v="Escala Desempeño"/>
    <s v="Escala de 0 - 5"/>
    <s v="4"/>
    <s v="4"/>
    <m/>
    <s v="5"/>
    <s v="5"/>
    <m/>
    <n v="4"/>
    <n v="4.5"/>
    <m/>
    <n v="4.5"/>
    <n v="5"/>
    <m/>
    <s v="4"/>
    <s v="4,5"/>
    <m/>
    <s v="4"/>
    <s v="4"/>
    <m/>
    <s v="4"/>
    <s v="5"/>
    <m/>
    <s v="De 9 y 10"/>
    <n v="4.5"/>
    <s v="NO"/>
    <s v="NA"/>
    <n v="0"/>
    <n v="0"/>
    <s v="No"/>
    <n v="40"/>
    <m/>
    <n v="45"/>
    <m/>
    <n v="50"/>
    <m/>
    <s v="El aspirante es admitido al programa de Ingeniería Civil"/>
    <n v="45"/>
    <s v="Con detalle por componente"/>
    <s v="Deportistas de alto rendimiento o representativo,Trabajo social o comunitario"/>
    <s v="Juan Esteban Monroy Duque se visualiza como transformador de vidas por medio de la ejecución de proyectos de ingeniería civil sostenibles para el medio ambiente de mi comunidad._x000a__x000a_Al ser de la región del Urabá deseo contribuir al desarrollo de la misma y por ende el crecimiento de su población por medio de la construcción de vías, aporte al puerto Antioquia, construcción de viviendas, es decir todo lo relacionado a la ingeniería civil._x000a__x000a_Como es mi mayor anhelo ser ingeniero civil y ser egresado de la universidad Eafit por eso aspiro a la beca talento ya que no cuento con los recursos económicos suficientes para ser un referente en este campo y ser recordado por los diferentes proyectos que pueda ejecutar._x000a__x000a_Como es de mi gran satisfacción escuchar a mi familiar (Tío materno) proyectos en los que ha participado y egresado de esta universidad, participación en proyectos como el intercambio vial de la Aguacatala, pavimentación de la 65 y remodelación en campus universitarios de la ciudad, esto me llena de orgullo y pasos a seguir."/>
    <s v="Otro"/>
    <s v="Por estar acreditada."/>
    <s v="Vocación."/>
    <n v="3"/>
    <s v="1"/>
    <s v="SI"/>
    <s v="NO"/>
    <s v="Entre 10 y 11 millones"/>
    <s v="No"/>
    <s v="SI"/>
    <n v="0"/>
    <m/>
    <n v="0"/>
    <m/>
    <s v="SI"/>
    <s v="CONCEPT BPO"/>
    <s v="Asesor de ventas"/>
    <s v="Si"/>
    <s v="Marlon Jaime Monroy Morales"/>
    <s v="Unión marital"/>
    <s v="UNIVERSITARIOS"/>
    <s v="51"/>
    <s v="Medico general"/>
    <s v="Empleado (con contrato laboral)"/>
    <s v="Medico general en urgencias"/>
    <s v="Metrosalud"/>
    <n v="8799423"/>
    <s v="Si"/>
    <s v="NO"/>
    <s v="NO"/>
    <s v=""/>
    <s v="Si"/>
    <s v="Tatiana Duque Lopez"/>
    <s v="Unión marital"/>
    <s v="UNIVERSITARIOS"/>
    <s v="44"/>
    <s v="Contadora publica"/>
    <s v="Labores del hogar y cuidado"/>
    <s v="Ama de casa"/>
    <s v="N/A"/>
    <n v="0"/>
    <s v="Si"/>
    <s v="NO"/>
    <s v="SI"/>
    <m/>
    <n v="8799423"/>
    <s v="Si"/>
    <s v="Santiago Monroy Duque"/>
    <s v="Hermano / Hermana"/>
    <s v="10"/>
    <s v="Estudiante"/>
    <s v="Colegio Benedictinos de Santa Maria"/>
    <n v="0"/>
    <s v="No"/>
    <s v=""/>
    <s v=""/>
    <s v=""/>
    <s v=""/>
    <s v=""/>
    <m/>
    <s v=""/>
    <s v=""/>
    <s v=""/>
    <s v=""/>
    <s v=""/>
    <s v=""/>
    <m/>
    <s v=""/>
    <s v=""/>
    <n v="0"/>
    <n v="0"/>
    <n v="0"/>
    <n v="0"/>
    <n v="0"/>
    <s v="Si"/>
    <s v="Toyota"/>
    <s v="2007"/>
    <n v="20000000"/>
    <s v="No"/>
    <s v=""/>
    <s v=""/>
    <n v="0"/>
    <s v="Si"/>
    <s v="Moto"/>
    <s v="Honda"/>
    <s v="2022"/>
    <n v="8000000"/>
    <m/>
    <n v="4"/>
    <n v="3"/>
    <n v="2"/>
    <n v="4"/>
    <n v="3"/>
    <n v="3"/>
    <n v="4"/>
    <n v="3"/>
    <n v="4"/>
    <n v="4"/>
    <n v="34"/>
    <s v="SI"/>
    <s v="SI, TIPO IE"/>
    <s v="PRI SIN TIPO IE"/>
    <s v="ok se subsana datos contra doc"/>
    <e v="#N/A"/>
    <e v="#N/A"/>
    <m/>
    <n v="2"/>
    <n v="4"/>
    <n v="4"/>
    <n v="0"/>
    <n v="20"/>
    <n v="10"/>
    <n v="15"/>
    <n v="9"/>
    <n v="8.5"/>
    <n v="57.5"/>
    <n v="0.4"/>
    <m/>
    <n v="2"/>
    <n v="2.5"/>
    <n v="1"/>
    <n v="3"/>
    <n v="2"/>
    <n v="2.5"/>
    <n v="1"/>
    <n v="3.5"/>
    <n v="58"/>
    <n v="0.4"/>
    <n v="0.4"/>
    <e v="#N/A"/>
    <m/>
    <m/>
    <s v="SI, TIPO IE"/>
    <m/>
    <m/>
    <s v="Ingeniería Civil"/>
    <e v="#N/A"/>
    <s v="013"/>
    <e v="#N/A"/>
  </r>
  <r>
    <s v="TI"/>
    <n v="1047044098"/>
    <s v="1000405264"/>
    <s v="MARIA JOSE BARRANCO ARAGON"/>
    <s v="Estudios por primera vez"/>
    <x v="1"/>
    <s v="Descartado por ingresos altos"/>
    <m/>
    <s v="En publico objetivo"/>
    <s v="2da Cohorte"/>
    <s v="Admitido"/>
    <s v="mjbarranca@eafit.edu.co"/>
    <e v="#N/A"/>
    <s v="mariabarrancoaragon@hotmail.com"/>
    <s v="322/536-3372"/>
    <d v="2025-05-16T00:00:00"/>
    <s v="Activo en Programa"/>
    <s v="169-Mercadeo"/>
    <s v="Escuela de Administración"/>
    <d v="2007-09-20T00:00:00"/>
    <n v="18"/>
    <s v="Atlántico"/>
    <s v="Barranquilla"/>
    <s v="Mujer"/>
    <s v="Soltero"/>
    <s v="NO"/>
    <s v="NO"/>
    <n v="0"/>
    <s v="NO"/>
    <s v="NA"/>
    <s v="NO"/>
    <s v="NA"/>
    <s v="NO"/>
    <s v="NA"/>
    <s v="No"/>
    <s v="322/536-3372"/>
    <s v="322/536-3372"/>
    <s v="Estrato 3"/>
    <s v="Carrera 21B #51-60"/>
    <s v="Atlántico"/>
    <s v="Barranquilla"/>
    <s v="Si"/>
    <s v="Propio"/>
    <s v="SI"/>
    <s v="2024"/>
    <s v="AC202430963124"/>
    <n v="352"/>
    <n v="73"/>
    <n v="65"/>
    <s v="Pública"/>
    <s v="IE DTTAL. ALEXANDER VON HUMBOL"/>
    <n v="2024"/>
    <s v="Atlántico"/>
    <s v="Barranquilla"/>
    <s v="BACHILLER"/>
    <s v="ACAD"/>
    <s v="TIPO: Pública, INSTITUCION: IE DTTAL. ALEXANDER VON HUMBOL, AÑO: 2024, CIUDAD: Barranquilla, TITULO: BACHILLER"/>
    <s v="11"/>
    <s v="Escala de 0 - 100"/>
    <s v="Escala de 0 - 100"/>
    <s v="90"/>
    <s v="88"/>
    <m/>
    <s v="84"/>
    <s v="81"/>
    <m/>
    <n v="91"/>
    <n v="80"/>
    <m/>
    <n v="85"/>
    <n v="83"/>
    <m/>
    <s v="90"/>
    <s v="86"/>
    <m/>
    <s v="85"/>
    <s v="85"/>
    <m/>
    <s v="78"/>
    <s v="81"/>
    <m/>
    <s v="De 9 y 10"/>
    <n v="84.75"/>
    <s v="NO"/>
    <s v="NA"/>
    <n v="0"/>
    <n v="0"/>
    <s v="No"/>
    <n v="50"/>
    <m/>
    <n v="50"/>
    <m/>
    <n v="50"/>
    <m/>
    <m/>
    <n v="50"/>
    <s v="Con detalle por componente"/>
    <s v="Trabajo social o comunitario,Otras (por ejemplo, un talento extraordinario),Espacios de liderazgo o representación social"/>
    <s v="Me visualizo investigando el mercado y analizando el comportamiento del consumidor para diseñar estrategias que no solo vendan productos, sino que transmitan valores sociales, políticos y culturales. Aspiro a impulsar marcas con propósito, innovar en la forma de conectar con comunidades a través de redes sociales y lograr que cada acción estratégica deje una huella emocional, algo que las personas recuerden y compartan con su familia o amigos._x000a__x000a_Actualmente manejo las redes sociales del colegio del que me gradué, lo que me ha permitido desarrollar habilidades en comunicación digital, creación de contenido creativo y conexión con una comunidad educativa. Esta experiencia ha afianzado mi interés por el Mercadeo como una herramienta de transformación social y así aplicar los conocimientos que obtendré en esta carrera para apoyar empresas y actividades culturales colombianas, conectándolas con el mundo._x000a__x000a_Sueño con crear mi propia empresa y liderar campañas, como eventos tradicionales colombianos para lograr su reconocimiento a nivel nacional e internacional. Deseo apoyar a emprendedores y contribuir a que nuestras tradiciones sigan vivas, conectando generaciones y fortaleciendo nuestra identidad cultural._x000a__x000a_Por eso, esta beca representa una oportunidad clave para fortalecer mis capacidades y, con ellas, aportar ideas creativas, humanas y viables. Quiero generar confianza, conectar con las personas y transformar cada marca colombiana con la que colabore, para que no solo crezca, sino que también inspire."/>
    <s v="Amigos"/>
    <s v="Por la calidad académica."/>
    <s v="Vocación."/>
    <n v="3"/>
    <s v="1"/>
    <s v="NO"/>
    <s v="NO"/>
    <s v="Entre 10 y 11 millones"/>
    <s v="Si"/>
    <s v="SI"/>
    <s v="SI"/>
    <s v="Crédito educativo propio"/>
    <s v="SI"/>
    <s v="Beca"/>
    <s v="NO"/>
    <s v=""/>
    <s v=""/>
    <s v="Si"/>
    <s v="Jose Luis Barranco Riqueth"/>
    <s v="Casado"/>
    <s v="ESPECIALIZACIÓN"/>
    <s v="48"/>
    <s v="Ingeniero Eléctrico"/>
    <s v="Desempleado (Se encuentra en la búsqueda activa de empleo)"/>
    <s v="Ganadería"/>
    <s v="No aplica"/>
    <n v="1600000"/>
    <s v="Si"/>
    <s v="NO"/>
    <s v="NO"/>
    <s v=""/>
    <s v="Si"/>
    <s v="Martha Isabel Aragon Salazar"/>
    <s v="Soltero"/>
    <s v="MAESTRÍA"/>
    <s v="47"/>
    <s v="Psicología"/>
    <s v="Empleado (con contrato laboral)"/>
    <s v="Docente de aula"/>
    <s v="INSTITUCION EDUCATIVA DISTRITAL LOS ROSALES"/>
    <n v="7987557"/>
    <s v="Si"/>
    <s v="SI"/>
    <s v="NO"/>
    <m/>
    <n v="9587557"/>
    <s v="Si"/>
    <s v="Angelica Maria Barranco Aragón"/>
    <s v="Hermano / Hermana"/>
    <s v="25"/>
    <s v="Ingeniería Electrónica"/>
    <s v="Dynatrace"/>
    <n v="7000000"/>
    <s v="No"/>
    <s v=""/>
    <s v=""/>
    <s v=""/>
    <s v=""/>
    <s v=""/>
    <m/>
    <s v=""/>
    <s v=""/>
    <s v=""/>
    <s v=""/>
    <s v=""/>
    <s v=""/>
    <m/>
    <s v=""/>
    <s v=""/>
    <n v="310000000"/>
    <n v="0"/>
    <n v="55000000"/>
    <n v="0"/>
    <n v="0"/>
    <s v="Si"/>
    <s v="Volkswagen Amarok"/>
    <s v="2012"/>
    <n v="50000000"/>
    <s v="No"/>
    <s v=""/>
    <s v=""/>
    <n v="0"/>
    <s v="No"/>
    <s v=""/>
    <s v=""/>
    <s v=""/>
    <n v="0"/>
    <m/>
    <n v="4"/>
    <n v="4"/>
    <n v="3"/>
    <n v="4"/>
    <n v="4"/>
    <n v="3"/>
    <n v="4"/>
    <n v="3"/>
    <n v="3"/>
    <n v="4"/>
    <n v="36"/>
    <s v="SI"/>
    <m/>
    <s v="SI, SON PRI"/>
    <s v="ok tienen todos los datos"/>
    <s v="Negada"/>
    <n v="20251"/>
    <m/>
    <n v="3"/>
    <n v="10"/>
    <n v="8"/>
    <n v="10"/>
    <n v="15"/>
    <n v="15"/>
    <n v="20"/>
    <n v="8"/>
    <n v="8"/>
    <n v="78"/>
    <n v="0.4"/>
    <m/>
    <n v="3.5"/>
    <n v="2.5"/>
    <n v="1"/>
    <n v="1"/>
    <n v="3.5"/>
    <n v="2.5"/>
    <n v="1"/>
    <n v="1"/>
    <n v="76"/>
    <n v="0.4"/>
    <n v="0.4"/>
    <e v="#N/A"/>
    <m/>
    <m/>
    <n v="0"/>
    <m/>
    <m/>
    <s v="Mercadeo"/>
    <e v="#N/A"/>
    <s v="169"/>
    <e v="#N/A"/>
  </r>
  <r>
    <s v="TI"/>
    <n v="1047994957"/>
    <s v="1000318557"/>
    <s v="JUAN MANUEL BARRERA HERNADEZ"/>
    <s v="Estudios por primera vez"/>
    <x v="1"/>
    <s v="No cumple, puntaje ICFES menor a 300"/>
    <m/>
    <s v="En publico objetivo"/>
    <s v="3ra Cohorte"/>
    <s v="Admitido"/>
    <s v="jmbarrerah@eafit.edu.co"/>
    <s v="jmbarrerah@eafit.edu.co"/>
    <s v="juanmanuelbarrrahernandez@gmail.com"/>
    <s v="573135096217"/>
    <d v="2025-05-30T00:00:00"/>
    <s v="Activo en Programa"/>
    <s v="260-Ingeniería Industrial"/>
    <s v="E Ciencias Aplic e Ingeniería"/>
    <d v="2007-09-03T00:00:00"/>
    <n v="18"/>
    <s v="Antioquia"/>
    <s v="Titiribí"/>
    <s v="Hombre"/>
    <s v="Soltero"/>
    <s v="NO"/>
    <s v="NO"/>
    <n v="0"/>
    <s v="NO"/>
    <s v="NA"/>
    <s v="NO"/>
    <s v="NA"/>
    <s v="NO"/>
    <s v="NA"/>
    <s v="No"/>
    <s v="313 5096217"/>
    <s v="573135096217"/>
    <s v="Estrato 2"/>
    <s v="CL URIBE URIBE"/>
    <s v="Antioquia"/>
    <s v="Titiribí"/>
    <s v="Si"/>
    <s v="Arriendo"/>
    <s v="SI"/>
    <s v="2024"/>
    <s v="AC202433834363"/>
    <n v="298"/>
    <n v="57"/>
    <n v="65"/>
    <s v="Pública"/>
    <s v="I. E. SANTO TOMAS DE AQUINO"/>
    <n v="2024"/>
    <m/>
    <s v="Titiribí"/>
    <s v="Bachillerato"/>
    <s v="BACHILLER"/>
    <s v="TIPO: Pública, INSTITUCION: I. E. SANTO TOMAS DE AQUINO, AÑO: 2024, CIUDAD: Titiribí, TITULO: BACHILLER"/>
    <s v="11"/>
    <s v="Escala de 0 - 5"/>
    <s v="Escala de 0 - 5"/>
    <s v="3,4"/>
    <s v="3,2"/>
    <m/>
    <s v="4"/>
    <s v="4"/>
    <m/>
    <n v="4"/>
    <n v="3.4"/>
    <m/>
    <n v="4"/>
    <n v="4"/>
    <m/>
    <s v="4"/>
    <s v="4,2"/>
    <m/>
    <s v="4,2"/>
    <s v="4,2"/>
    <m/>
    <s v="3"/>
    <s v="3,3"/>
    <m/>
    <s v="De 9 y 10"/>
    <n v="3.85"/>
    <s v="NO"/>
    <s v="NA"/>
    <n v="0"/>
    <n v="0"/>
    <s v="No"/>
    <n v="50"/>
    <m/>
    <n v="35"/>
    <m/>
    <n v="45"/>
    <m/>
    <s v="Estudiante bastante activo en actividades extracurriculares, muestra actividades que dan cuenta de aptitudes de liderazgo, quiere complementar Ingeniería con Negocios Internacionales._x000a__x000a_Sin embargo puede haber un asunto de querer transferirse a Negocios en un futuro."/>
    <n v="43.333333333333336"/>
    <s v="Con detalle por componente"/>
    <s v="Artísticas o culturales"/>
    <s v="Me visualizo pudiendo liderar proyectos en cuanto a la mejora de eficiencia se refiere en muchas empresas, las cuales en mi pueblo son pequeñas y tal vez no utilizan sus recursos de una manera adecuada. Gracias a la beca sería una gran oportunidad de estudio sin limitaciones económicas además de permitirme un mayor enfoque en mi estudio comprometiéndome a devolver este apoyo a mi comunidad con conocimientos y buen nivel de liderazgo, ética y vocación. La beca es una gran oportunidad para ser un nuevo agente de cambio en mi entorno"/>
    <s v="Empleados o profesores EAFIT"/>
    <s v="Por la calidad académica."/>
    <s v="Recomendación."/>
    <n v="4"/>
    <s v="2"/>
    <s v="NO"/>
    <s v="NO"/>
    <s v="Entre 1 y 2 millones"/>
    <s v="Si"/>
    <n v="0"/>
    <n v="0"/>
    <m/>
    <s v="Y"/>
    <m/>
    <s v="NO"/>
    <s v="NA"/>
    <s v="NA"/>
    <s v="Si"/>
    <s v="Víctor Julián Barrera Palacio"/>
    <s v="Casado"/>
    <s v="BACHILLERATO"/>
    <s v="41"/>
    <s v="Comerciante"/>
    <s v="Emprendedor (inicia un proyecto productivo o negocio propio)"/>
    <s v="Panadero"/>
    <s v="Panadería “Los Juanchos”"/>
    <n v="2000000"/>
    <s v="Si"/>
    <s v="SI"/>
    <s v="NO"/>
    <s v=""/>
    <s v="Si"/>
    <s v="Sandra Milena Hernández Rodríguez"/>
    <s v="Otro"/>
    <s v="BACHILLERATO"/>
    <s v="43"/>
    <s v="ama de casa"/>
    <s v="Ama de casa"/>
    <s v="Ama de casa"/>
    <s v="NINGUNA"/>
    <n v="0"/>
    <s v="Si"/>
    <s v="NO"/>
    <s v="NO"/>
    <m/>
    <n v="2000000"/>
    <s v="Si"/>
    <s v="Ana María Hernández Rodríguez"/>
    <s v="Hermano / Hermana"/>
    <s v="27"/>
    <s v="Ninguna"/>
    <s v="Ninguna"/>
    <n v="0"/>
    <s v="No"/>
    <s v="María Celeste Barrera Hernandez"/>
    <s v="Hermano / Hermana"/>
    <s v="11"/>
    <s v="Estudiante"/>
    <s v="Institución Educativa Santo Tomás de Aquino"/>
    <n v="0"/>
    <s v="No"/>
    <s v=""/>
    <s v=""/>
    <s v=""/>
    <s v=""/>
    <s v=""/>
    <m/>
    <s v=""/>
    <s v=""/>
    <n v="0"/>
    <n v="0"/>
    <n v="0"/>
    <n v="0"/>
    <n v="0"/>
    <s v="No"/>
    <s v=""/>
    <s v=""/>
    <n v="0"/>
    <s v="No"/>
    <s v=""/>
    <s v=""/>
    <n v="0"/>
    <s v="No"/>
    <s v=""/>
    <s v=""/>
    <s v=""/>
    <n v="0"/>
    <m/>
    <n v="4"/>
    <n v="3"/>
    <n v="4"/>
    <n v="3"/>
    <n v="4"/>
    <n v="4"/>
    <n v="4"/>
    <n v="3"/>
    <n v="4"/>
    <n v="4"/>
    <n v="37"/>
    <s v="SI"/>
    <m/>
    <s v="SI, SON PRI"/>
    <s v="ok tienen todos los datos"/>
    <e v="#N/A"/>
    <e v="#N/A"/>
    <m/>
    <n v="3"/>
    <n v="10"/>
    <n v="10"/>
    <n v="0"/>
    <n v="10"/>
    <n v="15"/>
    <n v="15"/>
    <n v="20"/>
    <n v="20"/>
    <n v="70"/>
    <s v="80 - 100%"/>
    <m/>
    <n v="3.5"/>
    <n v="4.5"/>
    <n v="8"/>
    <n v="4"/>
    <n v="3.5"/>
    <n v="4"/>
    <n v="8"/>
    <n v="4.5"/>
    <n v="70"/>
    <s v="80 - 100%"/>
    <n v="0.7"/>
    <e v="#N/A"/>
    <s v="se baja por icfes inferior a 300"/>
    <m/>
    <n v="0"/>
    <m/>
    <m/>
    <s v="Ingeniería Industrial"/>
    <e v="#N/A"/>
    <m/>
    <e v="#N/A"/>
  </r>
  <r>
    <s v="CC"/>
    <n v="1050091983"/>
    <s v="1000406867"/>
    <s v="DANA VALENTINA GUERRERO GUERRA"/>
    <s v="Estudios por primera vez"/>
    <x v="1"/>
    <s v="No cumple, puntaje ICFES menor a 300"/>
    <m/>
    <s v="En publico objetivo"/>
    <s v="3ra Cohorte"/>
    <s v="Admitido"/>
    <s v="dvguerrerg@eafit.edu.co"/>
    <e v="#N/A"/>
    <s v="danavalentinaguerreroguerra@gmail.com"/>
    <s v="573103951016"/>
    <d v="2025-05-30T00:00:00"/>
    <s v="Activo en Programa"/>
    <s v="001-Administración de Negocios"/>
    <s v="Escuela de Administración"/>
    <d v="2006-09-20T00:00:00"/>
    <n v="19"/>
    <s v="Boyacá"/>
    <s v="Tunja"/>
    <s v="Mujer"/>
    <s v="Soltero"/>
    <s v="NO"/>
    <s v="NO"/>
    <n v="0"/>
    <s v="NO"/>
    <s v="NA"/>
    <s v="NO"/>
    <s v="NA"/>
    <s v="NO"/>
    <s v="NA"/>
    <s v="No"/>
    <s v="311/507-1468"/>
    <s v="573103951016"/>
    <s v="Estrato 2"/>
    <s v="Calle17A#10-10 Garagoa Boyaca"/>
    <s v="Boyacá"/>
    <s v="Garagoa"/>
    <s v="Si"/>
    <s v="Arriendo"/>
    <s v="SI"/>
    <s v="2023"/>
    <s v="AC202346097513"/>
    <n v="272"/>
    <n v="55"/>
    <n v="60"/>
    <s v="Privada"/>
    <s v="Monterrosales Bilingue"/>
    <n v="2023"/>
    <m/>
    <s v="Bogotá D.C."/>
    <s v="Bachillerato"/>
    <s v="Académico"/>
    <m/>
    <s v="11"/>
    <s v="Escala de 0 - 50"/>
    <s v="Escala de 0 - 5"/>
    <s v="4"/>
    <s v="4"/>
    <m/>
    <s v="4"/>
    <s v="4"/>
    <m/>
    <n v="4"/>
    <n v="5"/>
    <m/>
    <n v="4"/>
    <n v="4.5"/>
    <m/>
    <s v="4,5"/>
    <s v="4"/>
    <m/>
    <s v="4"/>
    <s v="4"/>
    <m/>
    <s v="4"/>
    <s v="4"/>
    <m/>
    <s v="De 9 y 10"/>
    <n v="4.375"/>
    <s v="NO"/>
    <s v="NA"/>
    <n v="0"/>
    <n v="0"/>
    <s v="No"/>
    <n v="50"/>
    <m/>
    <n v="50"/>
    <m/>
    <n v="50"/>
    <m/>
    <s v="le gusta EAFIT por la formación de lideres, le gusta administración porque sus papás le han inculcado la administración con proposito, le gustaria liderar negocios en terminos de liderazgo  y con impacto positivo, se identifica con EAFIT en valores, vive en Boyacá y se vendía a vivir inicialmente sola y luego con su mamá"/>
    <n v="50"/>
    <s v="Con detalle por componente"/>
    <s v="Espacios de liderazgo o representación social,Trabajo social o comunitario"/>
    <s v="Mi sueño es contribuir al desarrollo de Colombia creando empresas con principios sólidos, que no solo generen empleo y crecimiento económico, sino que transformen verdaderamente a la sociedad. Quiero liderar organizaciones que impacten no solo a sus colaboradores sino también a sus familias y comunidades, ayudando a elevar su calidad de vida.Creo firmemente que la empresa puede ser una herramienta poderosa para transformar mentalidades, inspirar valores y construir una sociedad más justa. Mi meta es crear proyectos que dejen huella, que siembren esperanza y generen un cambio real desde adentro hacia afuera."/>
    <s v="Página WEB"/>
    <s v="Por la calidad académica."/>
    <s v="Vocación."/>
    <n v="2"/>
    <s v="0"/>
    <s v="NO"/>
    <s v="NO"/>
    <s v="Entre 1 y 2 millones"/>
    <s v="Si"/>
    <n v="0"/>
    <n v="0"/>
    <m/>
    <s v="SI"/>
    <s v="Beca"/>
    <s v="NO"/>
    <s v=""/>
    <s v=""/>
    <s v="Si"/>
    <s v="Jose Milciaes Guerero Campos"/>
    <s v="Casado"/>
    <s v="TÉCNICA"/>
    <s v="41"/>
    <s v="Comerciante"/>
    <s v="Independiente (trabaja por cuenta propia)"/>
    <s v="Independiente"/>
    <s v="Compra y Venta de artículos de la canasta familiar"/>
    <n v="2000000"/>
    <s v="Si"/>
    <s v="NO"/>
    <s v="NO"/>
    <s v="Vive conmigo, pero no aporta económicamente."/>
    <s v="Si"/>
    <s v="Katerin Dahjana Guerra Arias"/>
    <s v="Casado"/>
    <s v="UNIVERSITARIOS"/>
    <s v="36"/>
    <s v="Contadora publica"/>
    <s v="Independiente (trabaja por cuenta propia)"/>
    <s v="Asesora comercial"/>
    <s v="Avanzar Soluciones Financieras"/>
    <n v="1600000"/>
    <s v="Si"/>
    <s v="NO"/>
    <s v="NO"/>
    <s v="Quien aporta para mi educación al 100%"/>
    <n v="3600000"/>
    <s v="No, solo vivo con mis padres"/>
    <s v=""/>
    <s v=""/>
    <s v=""/>
    <s v=""/>
    <s v=""/>
    <m/>
    <s v=""/>
    <s v=""/>
    <s v=""/>
    <s v=""/>
    <s v=""/>
    <s v=""/>
    <m/>
    <s v=""/>
    <s v=""/>
    <s v=""/>
    <s v=""/>
    <s v=""/>
    <s v=""/>
    <m/>
    <s v=""/>
    <s v=""/>
    <n v="0"/>
    <n v="0"/>
    <n v="0"/>
    <n v="0"/>
    <n v="25000000"/>
    <s v="Si"/>
    <s v="Mazda"/>
    <s v="2014"/>
    <n v="40000000"/>
    <s v="No"/>
    <s v=""/>
    <s v=""/>
    <n v="0"/>
    <s v="No"/>
    <s v=""/>
    <s v=""/>
    <s v=""/>
    <n v="0"/>
    <s v="Obligación con persona natural por el monto del vehículo"/>
    <n v="4"/>
    <n v="4"/>
    <n v="4"/>
    <n v="4"/>
    <n v="3"/>
    <n v="4"/>
    <n v="4"/>
    <n v="4"/>
    <n v="4"/>
    <n v="4"/>
    <n v="39"/>
    <s v="SI"/>
    <s v="SI, TIPO IE"/>
    <s v="PRI SIN TIPO IE"/>
    <s v="pendiente tipo ie"/>
    <e v="#N/A"/>
    <e v="#N/A"/>
    <m/>
    <n v="3"/>
    <n v="10"/>
    <n v="10"/>
    <n v="0"/>
    <n v="15"/>
    <n v="15"/>
    <n v="20"/>
    <n v="17.5"/>
    <n v="15.5"/>
    <n v="75.5"/>
    <n v="0.4"/>
    <m/>
    <n v="2"/>
    <n v="4.5"/>
    <n v="6"/>
    <n v="3"/>
    <n v="2"/>
    <n v="4"/>
    <n v="7"/>
    <n v="4.5"/>
    <n v="77.5"/>
    <n v="0.6"/>
    <n v="0.6"/>
    <e v="#N/A"/>
    <m/>
    <m/>
    <s v="SI, TIPO IE"/>
    <m/>
    <m/>
    <s v="Administración de Negocios"/>
    <e v="#N/A"/>
    <s v="001"/>
    <e v="#N/A"/>
  </r>
  <r>
    <s v="TI"/>
    <n v="1050607475"/>
    <s v="1000405625"/>
    <s v="DANIELA CALIXTO HUERTAS"/>
    <s v="Estudios por primera vez"/>
    <x v="1"/>
    <s v="Descartado por notas"/>
    <m/>
    <s v="En publico objetivo"/>
    <s v="1er Cohorte"/>
    <s v="Admitido"/>
    <s v="dcalixtoh@eafit.edu.co"/>
    <e v="#N/A"/>
    <s v="danicaxhu@gmail.com"/>
    <s v="573173548411"/>
    <d v="2025-04-25T00:00:00"/>
    <s v="Activo en Programa"/>
    <s v="199-Finanzas"/>
    <s v="E.Finanzas, Economía, Gobierno"/>
    <d v="2007-10-14T00:00:00"/>
    <n v="18"/>
    <s v="Boyacá"/>
    <s v="Tunja"/>
    <s v="Mujer"/>
    <s v="Soltero"/>
    <s v="NO"/>
    <s v="NO"/>
    <n v="0"/>
    <s v="NO"/>
    <s v="NA"/>
    <s v="NO"/>
    <s v="NA"/>
    <s v="NO"/>
    <s v="NA"/>
    <s v="No"/>
    <s v="317/354-8411"/>
    <s v="573173548411"/>
    <s v="Estrato 3"/>
    <s v="TV 2 64 74"/>
    <s v="Boyacá"/>
    <s v="Tunja"/>
    <s v="Si"/>
    <s v="Arriendo"/>
    <s v="SI"/>
    <s v="2024"/>
    <s v="AC202436812473"/>
    <n v="355"/>
    <n v="80"/>
    <n v="74"/>
    <s v="Privada"/>
    <s v="COL. DE LA PRESENTACION TUNJA"/>
    <n v="2024"/>
    <s v="Boyacá"/>
    <s v="Tunja"/>
    <s v="BACHILLER"/>
    <s v="ACAD"/>
    <s v="TIPO: Privada, INSTITUCION: COL. DE LA PRESENTACION TUNJA, AÑO: 2024, CIUDAD: Tunja, TITULO: BACHILLER"/>
    <s v="11"/>
    <s v="Escala de 0 - 5"/>
    <s v="Escala de 0 - 5"/>
    <s v="4"/>
    <s v="3,9"/>
    <m/>
    <s v="3,9"/>
    <s v="3,6"/>
    <m/>
    <n v="3.8"/>
    <n v="4.0999999999999996"/>
    <m/>
    <n v="3.9"/>
    <n v="3.9"/>
    <m/>
    <s v="4,2"/>
    <s v="4,2"/>
    <m/>
    <s v="5"/>
    <s v="4,6"/>
    <m/>
    <s v="4,4"/>
    <s v="4,4"/>
    <m/>
    <s v="De 9 y 10"/>
    <n v="3.9249999999999998"/>
    <s v="NO"/>
    <s v="NA"/>
    <n v="0"/>
    <n v="0"/>
    <s v="No"/>
    <n v="40"/>
    <m/>
    <n v="40"/>
    <m/>
    <n v="40"/>
    <m/>
    <s v="Se graduó el año pasado del Colegio de la presentación su mamá es Economista_x000a_Vive en Tunja _x000a_La educación financiera ha sido parte de su vida"/>
    <n v="40"/>
    <s v="Con detalle por componente"/>
    <s v="Artísticas o culturales,Espacios de liderazgo o representación social,Trabajo social o comunitario"/>
    <s v="En un futuro me proyecto ejerciendo mi profesión de finanzas como promotora de cambio en Boyacá, en especial en la ciudad que nací, Tunja. He vivido en Tunja toda mi vida y sé de primera mano todas las dificultades que enfrentan las familias, como el aumento del desempleo, falta de oportunidades de desarrollo y lo difícil que llega a ser para nuestra juventud. También he visto el impacto ambiental que tienen algunas prácticas empresariales en nuestra región que perjudican tanto a el medio ambiente como a los habitantes. Por eso, sueño con crear una empresa no solo rentable, sino que tenga propósito social y sostenible._x000a_ Deseo contribuir a disminuir el desempleo local ofreciendo empleo digno y estable, especialmente a mujeres y jóvenes, a la vez impulsando prácticas sostenibles que ayuden proteger nuestros recursos naturales. Creo que Boyacá tiene un gran potencial turístico, cultural y agrícola, y con una gestión financiera correcta podemos reactivar su economía de manera inteligente y responsable. Confío que con mi formación en finanzas y al conocimiento que tengo de mi región, quiero liderar proyectos de bienestar social y gestión responsable de los recursos. Desde lo local sé que se pueden llegar a hacer grandes cambios. Obtener esta beca me permitirá acceder a educación de calidad, aprovechar al máximo la oportunidad de fortalecer mis habilidades, cumplir mi propósito y convertirme en una profesional que genere impacto. Mi compromiso no es solo con mi futuro profesional como financiera, también lo es con el desarrollo de Boyacá, que es el lugar que me vio crecer y al que quiero contribuir con hechos, trabajo y visión."/>
    <s v="Página WEB"/>
    <s v="Por la calidad académica."/>
    <s v="Certificación."/>
    <n v="2"/>
    <s v="0"/>
    <s v="NO"/>
    <s v="NO"/>
    <s v="Entre 4 y 5 millones"/>
    <s v="No"/>
    <n v="0"/>
    <n v="0"/>
    <m/>
    <s v="SI"/>
    <s v="Beca"/>
    <s v="NO"/>
    <s v=""/>
    <s v=""/>
    <s v="Si"/>
    <s v="Carlos Rodrigo Calixto Rodriguez"/>
    <s v="Soltero"/>
    <s v="ESPECIALIZACIÓN"/>
    <s v="49"/>
    <s v="Ingeniero de Petroleos"/>
    <s v="Desempleado (Se encuentra en la búsqueda activa de empleo)"/>
    <s v="Desempleado"/>
    <s v="Desempleado"/>
    <n v="0"/>
    <s v="No"/>
    <s v="SI"/>
    <s v="NO"/>
    <s v="Es desempleado desde el 11 de abril del 2025. En este momento vive de la liquidación en la ciudad de Bogotá mientras consigue un nuevo empleo."/>
    <s v="Si"/>
    <s v="Lina María Huertas López"/>
    <s v="Soltero"/>
    <s v="ESPECIALIZACIÓN"/>
    <s v="47"/>
    <s v="Economista"/>
    <s v="Empleado (con contrato laboral)"/>
    <s v="Auxiliar Gestión Estratégica"/>
    <s v="Banco de Occidente"/>
    <n v="2945570"/>
    <s v="Si"/>
    <s v="NO"/>
    <s v="NO"/>
    <m/>
    <n v="2945570"/>
    <s v="Si"/>
    <s v="Sonia Evi López Novoa"/>
    <s v="Abuelo / Abuela"/>
    <s v="70"/>
    <s v="No tiene"/>
    <s v="No trabaja"/>
    <n v="800000"/>
    <s v="Si"/>
    <s v=""/>
    <s v=""/>
    <s v=""/>
    <s v=""/>
    <s v=""/>
    <m/>
    <s v=""/>
    <s v=""/>
    <s v=""/>
    <s v=""/>
    <s v=""/>
    <s v=""/>
    <m/>
    <s v=""/>
    <s v="Mi abuela aporta económicamente al hogar gracias al arriendo que recibe de un apartamento estrato 1 bebido a que no es pensionada. Vivimos mi abuela, mi mamá y yo en arriendo. Adjunto recibo del impuesto predial de mi abuela como soporte del ingreso de mi abuela."/>
    <n v="0"/>
    <n v="0"/>
    <n v="0"/>
    <n v="0"/>
    <n v="0"/>
    <s v="Si"/>
    <s v="Chevrolet"/>
    <s v="2016"/>
    <n v="29000000"/>
    <s v="No"/>
    <s v=""/>
    <s v=""/>
    <n v="0"/>
    <s v="No"/>
    <s v=""/>
    <s v=""/>
    <s v=""/>
    <n v="0"/>
    <m/>
    <n v="4"/>
    <n v="4"/>
    <n v="4"/>
    <n v="4"/>
    <n v="4"/>
    <n v="4"/>
    <n v="4"/>
    <n v="4"/>
    <n v="4"/>
    <n v="4"/>
    <n v="40"/>
    <s v="SI"/>
    <m/>
    <s v="SI, SON PRI"/>
    <s v="ok tienen todos los datos"/>
    <e v="#N/A"/>
    <e v="#N/A"/>
    <m/>
    <n v="2"/>
    <n v="10"/>
    <n v="8"/>
    <n v="10"/>
    <n v="10"/>
    <n v="15"/>
    <n v="10"/>
    <n v="18.5"/>
    <n v="18.5"/>
    <n v="73.5"/>
    <n v="0.6"/>
    <m/>
    <n v="2"/>
    <n v="4.5"/>
    <n v="8"/>
    <n v="4"/>
    <n v="2"/>
    <n v="4"/>
    <n v="8"/>
    <n v="4.5"/>
    <n v="71.5"/>
    <n v="0.7"/>
    <n v="0.7"/>
    <e v="#N/A"/>
    <m/>
    <m/>
    <n v="0"/>
    <m/>
    <m/>
    <s v="Finanzas"/>
    <e v="#N/A"/>
    <s v="199"/>
    <e v="#N/A"/>
  </r>
  <r>
    <s v="TI"/>
    <n v="1054866277"/>
    <s v="1000407701"/>
    <s v="DANIEL ROJAS GRAJALES"/>
    <s v="Estudios por primera vez"/>
    <x v="1"/>
    <s v="Descartados por año graduacion 2025"/>
    <s v="Año graduacion e icfes 2025 - ver colegio"/>
    <s v="En publico objetivo"/>
    <s v="3ra Cohorte"/>
    <s v="Admitido"/>
    <s v="drojasg7@eafit.edu.co"/>
    <e v="#N/A"/>
    <s v="danyrogra@gmail.com"/>
    <s v="573044789107"/>
    <d v="2025-05-30T00:00:00"/>
    <s v="Activo en Programa"/>
    <s v="010-Ingeniería de Sistemas"/>
    <s v="E Ciencias Aplic e Ingeniería"/>
    <d v="2008-01-05T00:00:00"/>
    <n v="17"/>
    <s v="Caldas"/>
    <s v="Manizales"/>
    <s v="Hombre"/>
    <s v="Soltero"/>
    <s v="NO"/>
    <s v="NO"/>
    <n v="0"/>
    <s v="NO"/>
    <s v="NA"/>
    <s v="NO"/>
    <s v="NA"/>
    <s v="NO"/>
    <s v="NA"/>
    <s v="No"/>
    <s v="312/792-6310"/>
    <s v="573044789107"/>
    <s v="Estrato 2"/>
    <s v="VEREDA SANTAGUEDA-ENTRADA 11"/>
    <s v="Caldas"/>
    <s v="Palestina"/>
    <s v="Si"/>
    <s v="Familiar"/>
    <s v="SI"/>
    <s v="2025"/>
    <s v="AC202510035444"/>
    <n v="388"/>
    <n v="72"/>
    <n v="78"/>
    <s v="Privada"/>
    <s v="COL. SAN LUIS GONZAGA"/>
    <n v="2025"/>
    <s v="Caldas"/>
    <s v="Manizales"/>
    <s v="BACHILLER"/>
    <s v="ACAD"/>
    <s v="TIPO: Privada, INSTITUCION: COL. SAN LUIS GONZAGA, AÑO: 2025, CIUDAD: Manizales, TITULO: BACHILLER"/>
    <s v="11"/>
    <s v="Escala de 0 - 5"/>
    <s v="Escala de 0 - 5"/>
    <s v="4,5"/>
    <s v="4,5"/>
    <m/>
    <s v="4,5"/>
    <s v="4,5"/>
    <m/>
    <n v="3.9"/>
    <n v="4"/>
    <m/>
    <n v="4.5"/>
    <n v="4"/>
    <m/>
    <s v="4,5"/>
    <s v="5"/>
    <m/>
    <s v="4,5"/>
    <s v="4,5"/>
    <m/>
    <s v="4"/>
    <s v="4"/>
    <m/>
    <s v="De 9 y 10"/>
    <n v="4.0999999999999996"/>
    <s v="NO"/>
    <s v="NA"/>
    <n v="0"/>
    <n v="0"/>
    <s v="No"/>
    <n v="45"/>
    <m/>
    <n v="50"/>
    <m/>
    <n v="50"/>
    <m/>
    <m/>
    <n v="48.333333333333336"/>
    <s v="Con detalle por componente"/>
    <s v="Artísticas o culturales,Espacios de liderazgo o representación social,Trabajo social o comunitario"/>
    <s v="Me visualizo creando una empresa o ejerciendo como empleado, me gustaría crear un programa para ayudar al negocio de mi familia, en términos de cuentas, inventarios, pedidos (es un restaurante). Además me veo creando soluciones a basadas en inteligencia artificial o diferentes métodos para trabajar en el tema del suicidio en Manizales. Otro sueño y meta mia sería llegar a trabajar en alguna empresa grande como Microsoft, Google, meta. Si algo tengo claro es que con mi profesión y conocimiento quiero hacer cosas buenas por la gente y el mundo."/>
    <s v="Amigos"/>
    <s v="Por la calidad académica."/>
    <s v="Vocación."/>
    <n v="3"/>
    <s v="1"/>
    <s v="NO"/>
    <s v="NO"/>
    <s v="Entre 6 y 7 millones"/>
    <s v="Si"/>
    <n v="0"/>
    <n v="0"/>
    <m/>
    <s v="SI"/>
    <s v="Beca"/>
    <s v="NO"/>
    <s v=""/>
    <s v=""/>
    <s v="Si"/>
    <s v="Humberto José Rojas"/>
    <s v="Casado"/>
    <s v="UNIVERSITARIOS"/>
    <s v="57"/>
    <s v="Administrador de empresas"/>
    <s v="Empleado (con contrato laboral)"/>
    <s v="Administra un restaurante"/>
    <s v="Pescador de Capri SAS"/>
    <n v="3500000"/>
    <s v="Si"/>
    <s v="NO"/>
    <s v="NO"/>
    <s v="En ocasiones su sueldo se puede atrasar o ver afectado porque el negocio (al ser familiar) se prioriza el sostener el negocio, sin embargo suele ser estable"/>
    <s v="Si"/>
    <s v="Yolanda Grajales Garay"/>
    <s v="Casado"/>
    <s v="ESPECIALIZACIÓN"/>
    <s v="58"/>
    <s v="Odontologa Endodoncista"/>
    <s v="Empleado (con contrato laboral)"/>
    <s v="Profesora de universidad"/>
    <s v="Universidad Autónoma de Manizales"/>
    <n v="3800000"/>
    <s v="Si"/>
    <s v="SI"/>
    <s v="NO"/>
    <s v="Su contrato es durante periodo académico."/>
    <n v="7300000"/>
    <s v="Si"/>
    <s v="Juan José Rojas"/>
    <s v="Hermano / Hermana"/>
    <s v="20"/>
    <s v="Estudiante"/>
    <s v="Universidad Nacional de Colombia Sede Manizales"/>
    <n v="0"/>
    <s v="No"/>
    <s v=""/>
    <s v=""/>
    <s v=""/>
    <s v=""/>
    <s v=""/>
    <m/>
    <s v=""/>
    <s v=""/>
    <s v=""/>
    <s v=""/>
    <s v=""/>
    <s v=""/>
    <m/>
    <s v=""/>
    <s v=""/>
    <n v="360000000"/>
    <n v="0"/>
    <n v="0"/>
    <n v="0"/>
    <n v="0"/>
    <s v="Si"/>
    <s v="Renault"/>
    <s v="2013"/>
    <n v="30000000"/>
    <s v="No"/>
    <s v=""/>
    <s v=""/>
    <n v="0"/>
    <s v="No"/>
    <s v=""/>
    <s v=""/>
    <s v=""/>
    <n v="0"/>
    <m/>
    <n v="4"/>
    <n v="4"/>
    <n v="2"/>
    <n v="4"/>
    <n v="3"/>
    <n v="4"/>
    <n v="3"/>
    <n v="4"/>
    <n v="3"/>
    <n v="4"/>
    <n v="35"/>
    <s v="SI"/>
    <m/>
    <s v="SI, SON PRI"/>
    <s v="ok tienen todos los datos"/>
    <e v="#N/A"/>
    <e v="#N/A"/>
    <m/>
    <n v="3"/>
    <n v="10"/>
    <n v="10"/>
    <n v="15"/>
    <n v="15"/>
    <n v="15"/>
    <n v="20"/>
    <n v="6.5"/>
    <n v="6.5"/>
    <n v="81.5"/>
    <n v="0.4"/>
    <n v="0.4"/>
    <n v="2"/>
    <n v="3.5"/>
    <n v="1"/>
    <n v="0"/>
    <n v="2"/>
    <n v="3.5"/>
    <n v="1"/>
    <n v="0"/>
    <n v="81.5"/>
    <n v="0.4"/>
    <n v="0.5"/>
    <e v="#N/A"/>
    <m/>
    <m/>
    <n v="0"/>
    <m/>
    <m/>
    <s v="Ingeniería de Sistemas"/>
    <e v="#N/A"/>
    <s v="010"/>
    <e v="#N/A"/>
  </r>
  <r>
    <s v="TI"/>
    <n v="1054866721"/>
    <s v="1000402709"/>
    <s v="JUAN LUCAS ROJAS GOMEZ"/>
    <s v="Estudios por primera vez"/>
    <x v="11"/>
    <s v="Descartados por año graduacion 2025"/>
    <s v="Año graduacion e icfes 2025 - ver colegio"/>
    <s v="En publico objetivo"/>
    <s v="1er Cohorte"/>
    <s v="Admitido"/>
    <s v="jlrojasg@eafit.edu.co"/>
    <s v="jlrojasg@eafit.edu.co"/>
    <s v="juanlucasrojasg25@gmail.com"/>
    <s v="573235467649"/>
    <d v="2025-04-25T00:00:00"/>
    <s v="Activo en Programa"/>
    <s v="003-Economía"/>
    <s v="E.Finanzas, Economía, Gobierno"/>
    <d v="2008-02-25T00:00:00"/>
    <n v="17"/>
    <s v="Caldas"/>
    <s v="Manizales"/>
    <s v="Hombre"/>
    <s v="Soltero"/>
    <s v="NO"/>
    <s v="NO"/>
    <n v="0"/>
    <s v="NO"/>
    <s v="NA"/>
    <s v="NO"/>
    <s v="NA"/>
    <s v="NO"/>
    <s v="NA"/>
    <s v="No"/>
    <s v="323/546-7649"/>
    <s v="573235467649"/>
    <s v="Estrato 3"/>
    <s v="CR 8 45 C- 01 BOSQUES DE ENCENILLO CA G- 10"/>
    <s v="Caldas"/>
    <s v="Manizales"/>
    <s v="Si"/>
    <s v="Propio"/>
    <s v="SI"/>
    <n v="2025"/>
    <s v="AC202510070334"/>
    <n v="355"/>
    <n v="80"/>
    <n v="70"/>
    <s v="Privada"/>
    <s v="COL. ANGLOHISPANO"/>
    <n v="2025"/>
    <s v="Caldas"/>
    <s v="Villamaría"/>
    <s v="Bachillerato"/>
    <s v="ACAD"/>
    <s v="TIPO: Privada, INSTITUCION: COL. ANGLOHISPANO, AÑO: 2025, CIUDAD: Villamaría, TITULO: BACHILLER"/>
    <s v="11"/>
    <s v="Escala de 0 - 5"/>
    <s v="Escala de 0 - 5"/>
    <s v="5"/>
    <s v="4,5"/>
    <m/>
    <s v="4,5"/>
    <s v="4,5"/>
    <m/>
    <n v="5"/>
    <n v="4.5"/>
    <m/>
    <n v="4.5"/>
    <n v="5"/>
    <m/>
    <s v="4,5"/>
    <s v="4,5"/>
    <m/>
    <s v="5"/>
    <s v="5"/>
    <m/>
    <s v="5"/>
    <s v="4,5"/>
    <m/>
    <s v="De 9 y 10"/>
    <n v="4.75"/>
    <s v="NO"/>
    <s v="NA"/>
    <n v="0"/>
    <n v="0"/>
    <s v="No"/>
    <n v="50"/>
    <m/>
    <n v="45"/>
    <m/>
    <n v="50"/>
    <m/>
    <s v="Vive en manizales con su madre, y su padre vive en Rionegro._x000a_Busca opciones de becas._x000a_También tiene como opción EIA y la U Nacional."/>
    <n v="48.333333333333336"/>
    <s v="Con detalle por componente"/>
    <s v="Deportistas de alto rendimiento o representativo,Trabajo social o comunitario"/>
    <s v="Hoy siento con total seguridad que el enfoque que le daré a mi vida es el correcto. Hace un tiempo descubrí mi afinidad por las matemáticas, la estadística y el análisis de problemas complejos, lo que me llevó a elegir la Economía como línea de estudio. En ella encontré un gran campo de acción para aportar soluciones a los desafíos que enfrenta nuestra sociedad._x000a__x000a_Me proyecto como un economista capaz de integrar los principios de la economía con las dimensiones de la sostenibilidad (social, ambiental y económica), generando propuestas que promuevan el desarrollo sostenible y el bienestar de las empresas, los territorios y las comunidades._x000a__x000a_Estoy convencido de que la economía no solo es una herramienta para entender los mercados, sino también para construir una sociedad más justa y equitativa. Aspiro a trabajar en proyectos que impulsen políticas inclusivas, fomenten el emprendimiento sostenible y reduzcan las inequidades en regiones como Manizales, el Eje Cafetero, Colombia y, por qué no, en otros países._x000a__x000a_A lo largo de mi vida he participado en espacios que promueven la solidaridad, el trabajo en equipo y el respeto por los demás. Estos me han ayudado a fortalecer valores como la honestidad, la humildad, la responsabilidad, la empatía y el compromiso, que me acompañan en cada decisión que tomo._x000a__x000a_Obtener esta beca no solo representaría un apoyo fundamental para mi formación académica, sino también una oportunidad para potenciar mi compromiso social, accediendo a una educación de calidad que me prepare como un profesional íntegro._x000a__x000a_También aspiro a conocer otros contextos, aprender de modelos internacionales y adaptar soluciones innovadoras que contribuyan al desarrollo sostenible de Colombia y del mundo. Me comprometo a aprovechar al máximo esta oportunidad y a retribuir con compromiso y dedicación la confianza que ustedes depositen en mí."/>
    <s v="Referencias familiares"/>
    <s v="Por la calidad académica."/>
    <s v="Alta empleabilidad."/>
    <n v="1"/>
    <s v="0"/>
    <s v="SI"/>
    <s v="NO"/>
    <s v="Más de 16 millones"/>
    <s v="No"/>
    <n v="0"/>
    <n v="0"/>
    <m/>
    <s v="SI"/>
    <m/>
    <s v="NO"/>
    <s v=""/>
    <s v=""/>
    <s v="Si"/>
    <s v="Juan Mauricio Rojas Acosta"/>
    <s v="Soltero"/>
    <s v="MAESTRÍA"/>
    <s v="56"/>
    <s v="Ingeniero de alimentos. Msc"/>
    <s v="Empleado (con contrato laboral)"/>
    <s v="Director Centro de Investigación"/>
    <s v="AGROSAVIA"/>
    <n v="20000000"/>
    <s v="No"/>
    <s v="SI"/>
    <s v="NO"/>
    <s v="Es un buen ser humano, buen hijo, buen padre. Es atento, caballeroso y respetuoso."/>
    <s v="Si"/>
    <s v="Claudia Roció Gomez Parra"/>
    <s v="Soltero"/>
    <s v="TECNOLOGÍA"/>
    <s v="56"/>
    <s v="Química industrial"/>
    <s v="Empleado (con contrato laboral)"/>
    <s v="Asistente de Investigación"/>
    <s v="Federación Nacional de Cafeteros de Colombia-Cenicafe"/>
    <n v="6697381"/>
    <s v="Si"/>
    <s v="NO"/>
    <s v="NO"/>
    <s v="Es un buen ser humano, buena madre, buena hija y buena hermana. Generosa, responsable y cariñosa."/>
    <n v="26697381"/>
    <s v="No, solo vivo con mis padres"/>
    <s v=""/>
    <s v=""/>
    <s v=""/>
    <s v=""/>
    <s v=""/>
    <m/>
    <s v=""/>
    <s v=""/>
    <s v=""/>
    <s v=""/>
    <s v=""/>
    <s v=""/>
    <m/>
    <s v=""/>
    <s v=""/>
    <s v=""/>
    <s v=""/>
    <s v=""/>
    <s v=""/>
    <m/>
    <s v=""/>
    <s v=""/>
    <n v="264202000"/>
    <n v="0"/>
    <n v="0"/>
    <n v="0"/>
    <n v="0"/>
    <s v="Si"/>
    <s v="Renault"/>
    <s v="2021"/>
    <n v="32000000"/>
    <s v="No"/>
    <s v=""/>
    <s v=""/>
    <n v="0"/>
    <s v="Si"/>
    <s v="Campero"/>
    <s v="Suzuki"/>
    <s v="2023"/>
    <n v="90000000"/>
    <s v="El vehículo Renault esta en Manizales, Caldas, siendo utilizado por la madre y el aspirante; y el Suzuki se encuentra en Rionegro, Antioquia,  utilizado por el padre."/>
    <n v="4"/>
    <n v="4"/>
    <n v="3"/>
    <n v="4"/>
    <n v="4"/>
    <n v="3"/>
    <n v="4"/>
    <n v="3"/>
    <n v="4"/>
    <n v="4"/>
    <n v="37"/>
    <s v="SI"/>
    <m/>
    <s v="SI, SON PRI"/>
    <s v="ok tienen todos los datos"/>
    <e v="#N/A"/>
    <e v="#N/A"/>
    <m/>
    <n v="2"/>
    <n v="10"/>
    <n v="8"/>
    <n v="10"/>
    <n v="20"/>
    <n v="15"/>
    <n v="20"/>
    <n v="5.5"/>
    <n v="5.5"/>
    <n v="80.5"/>
    <n v="0.4"/>
    <m/>
    <n v="2"/>
    <n v="2.5"/>
    <n v="0"/>
    <n v="1"/>
    <n v="2"/>
    <n v="2.5"/>
    <n v="0"/>
    <n v="1"/>
    <n v="78.5"/>
    <n v="0.4"/>
    <s v="Negado"/>
    <e v="#N/A"/>
    <m/>
    <m/>
    <n v="0"/>
    <m/>
    <m/>
    <s v="Economía"/>
    <e v="#N/A"/>
    <m/>
    <e v="#N/A"/>
  </r>
  <r>
    <s v="TI"/>
    <n v="1054866776"/>
    <s v="1000405353"/>
    <s v="JUAN MANUEL CORREA COLONIA"/>
    <s v="Estudios por primera vez"/>
    <x v="1"/>
    <s v="Descartado por ingresos altos"/>
    <m/>
    <s v="En publico objetivo"/>
    <s v="1er Cohorte"/>
    <s v="Admitido"/>
    <s v="jmcorreac1@eafit.edu.co"/>
    <e v="#N/A"/>
    <s v="juanmanuelcorreacolonia@gmail.com"/>
    <s v="573045619271"/>
    <d v="2025-04-25T00:00:00"/>
    <s v="Activo en Programa"/>
    <s v="237-Diseño Interactivo"/>
    <s v="Escuela de Artes y Humanidades"/>
    <d v="2008-02-23T00:00:00"/>
    <n v="17"/>
    <s v="Caldas"/>
    <s v="Manizales"/>
    <s v="Hombre"/>
    <s v="Soltero"/>
    <s v="NO"/>
    <s v="NO"/>
    <n v="0"/>
    <s v="NO"/>
    <s v="NA"/>
    <s v="NO"/>
    <s v="NA"/>
    <s v="NO"/>
    <s v="NA"/>
    <s v="No"/>
    <s v="000-0000"/>
    <s v="573045619271"/>
    <s v="Estrato 3"/>
    <s v="CR 150#68 59"/>
    <s v="Antioquia"/>
    <s v="Medellín"/>
    <s v="No aplica, no soy foráneo"/>
    <s v="Arriendo"/>
    <s v="SI"/>
    <s v="2024"/>
    <s v="AC202435307400"/>
    <n v="382"/>
    <n v="80"/>
    <n v="71"/>
    <s v="Privada"/>
    <s v="DE LA UNV. PONTIFICIA BOLIVARI"/>
    <n v="2024"/>
    <s v="Antioquia"/>
    <s v="Medellín"/>
    <s v="BACHILLER"/>
    <s v="ACAD"/>
    <s v="TIPO: Privada, INSTITUCION: DE LA UNV. PONTIFICIA BOLIVARI, AÑO: 2024, CIUDAD: Medellín, TITULO: BACHILLER"/>
    <s v="11"/>
    <s v="Escala de 0 - 5"/>
    <s v="Escala de 0 - 5"/>
    <s v="4"/>
    <s v="4"/>
    <m/>
    <s v="4,6"/>
    <s v="4,6"/>
    <m/>
    <n v="4.4000000000000004"/>
    <n v="4"/>
    <m/>
    <n v="4.5"/>
    <n v="4.4000000000000004"/>
    <m/>
    <s v="4,5"/>
    <s v="4,4"/>
    <m/>
    <s v="4,2"/>
    <s v="4,2"/>
    <m/>
    <s v="4,1"/>
    <s v="4,5"/>
    <m/>
    <s v="De 9 y 10"/>
    <n v="4.3250000000000002"/>
    <s v="NO"/>
    <s v="NA"/>
    <n v="0"/>
    <n v="0"/>
    <s v="No"/>
    <n v="40"/>
    <m/>
    <n v="40"/>
    <m/>
    <n v="45"/>
    <m/>
    <s v="Manifiesta su deseo de postularse a una beca."/>
    <n v="41.666666666666664"/>
    <s v="Con detalle por componente"/>
    <s v="Trabajo social o comunitario"/>
    <s v="me visualizo ejerciendo mi profesion en una o varias empresas, liderando proyectos que cambien la manera en que las empresas se den a conocer, se publiciten y la forma en la que estas interactuan con sus clientes, innovando en general en la imagen y haciendolas mas visibles a nivel internacional, dando a conocer el talento regional. Todo esto basado en los conocimientos que llegue a adquirir en mi pregrado y en mis habilidades creativas, de liderazgo, creatividad e innovacion."/>
    <s v="Estudiantes de EAFIT"/>
    <s v="Por la oferta académica."/>
    <s v="Vocación."/>
    <n v="2"/>
    <s v="0"/>
    <s v="SI"/>
    <s v="NO"/>
    <s v="Entre 7 y 8 millones"/>
    <s v="No"/>
    <n v="0"/>
    <n v="0"/>
    <m/>
    <s v="SI"/>
    <s v="Beca"/>
    <s v="NO"/>
    <s v=""/>
    <s v=""/>
    <s v="Si"/>
    <s v="Carlos Julian Correa Franco"/>
    <s v="Casado"/>
    <s v="ESPECIALIZACIÓN"/>
    <s v="42"/>
    <s v="Docente"/>
    <s v="Empleado (con contrato laboral)"/>
    <s v="docente de aula"/>
    <s v="Instuticion educativa Lusitania paz de colombia"/>
    <n v="3259081"/>
    <s v="Si"/>
    <s v="SI"/>
    <s v="SI"/>
    <s v=""/>
    <s v="Si"/>
    <s v="Monica Maria Colonia Marquez"/>
    <s v="Casado"/>
    <s v="ESPECIALIZACIÓN"/>
    <s v="40"/>
    <s v="Enfermera"/>
    <s v="Empleado (con contrato laboral)"/>
    <s v="Administrativa"/>
    <s v="medicarte"/>
    <n v="4067000"/>
    <s v="Si"/>
    <s v="NO"/>
    <s v="NO"/>
    <s v="A parte de aportar economicamente al hogar, tiene a su cargo la madre a quien debe pagarle arriendo, servicios y alimentacion."/>
    <n v="7326081"/>
    <s v="No, solo vivo con mis padres"/>
    <s v=""/>
    <s v=""/>
    <s v=""/>
    <s v=""/>
    <s v=""/>
    <m/>
    <s v=""/>
    <s v=""/>
    <s v=""/>
    <s v=""/>
    <s v=""/>
    <s v=""/>
    <m/>
    <s v=""/>
    <s v=""/>
    <s v=""/>
    <s v=""/>
    <s v=""/>
    <s v=""/>
    <m/>
    <s v=""/>
    <s v=""/>
    <n v="0"/>
    <n v="0"/>
    <n v="0"/>
    <n v="0"/>
    <n v="0"/>
    <s v="Si"/>
    <s v="spark"/>
    <s v="2013"/>
    <n v="13000000"/>
    <s v="No"/>
    <s v=""/>
    <s v=""/>
    <n v="0"/>
    <s v="No"/>
    <s v=""/>
    <s v=""/>
    <s v=""/>
    <n v="0"/>
    <m/>
    <n v="4"/>
    <n v="4"/>
    <n v="4"/>
    <n v="4"/>
    <n v="4"/>
    <n v="4"/>
    <n v="4"/>
    <n v="4"/>
    <n v="4"/>
    <n v="4"/>
    <n v="40"/>
    <s v="SI"/>
    <m/>
    <s v="SI, SON PRI"/>
    <s v="ok tienen todos los datos"/>
    <e v="#N/A"/>
    <e v="#N/A"/>
    <m/>
    <n v="3"/>
    <n v="10"/>
    <n v="8"/>
    <n v="15"/>
    <n v="15"/>
    <n v="15"/>
    <n v="10"/>
    <n v="11.5"/>
    <n v="11.5"/>
    <n v="76.5"/>
    <n v="0.4"/>
    <m/>
    <n v="2"/>
    <n v="4.5"/>
    <n v="1"/>
    <n v="4"/>
    <n v="2"/>
    <n v="4"/>
    <n v="1"/>
    <n v="4.5"/>
    <n v="74.5"/>
    <n v="0.4"/>
    <n v="0.4"/>
    <e v="#N/A"/>
    <m/>
    <m/>
    <n v="0"/>
    <m/>
    <m/>
    <s v="Diseño Interactivo"/>
    <e v="#N/A"/>
    <s v="237"/>
    <e v="#N/A"/>
  </r>
  <r>
    <s v="CC"/>
    <n v="1058352378"/>
    <s v="1000408340"/>
    <s v="JULIANA ORTIZ GUEVARA"/>
    <s v="Estudios por primera vez"/>
    <x v="1"/>
    <s v="No cumple, puntaje ICFES menor a 300"/>
    <m/>
    <s v="En publico objetivo"/>
    <s v="2da Cohorte"/>
    <s v="Admitido"/>
    <s v="jortizg7@eafit.edu.co"/>
    <e v="#N/A"/>
    <s v="julianaaaortiz22@gmail.com"/>
    <s v="302/730-3027"/>
    <d v="2025-05-16T00:00:00"/>
    <s v="Activo en Programa"/>
    <s v="169-Mercadeo"/>
    <s v="Escuela de Administración"/>
    <d v="2005-06-22T00:00:00"/>
    <n v="20"/>
    <s v="Boyacá"/>
    <s v="Sogamoso"/>
    <s v="Mujer"/>
    <s v="Soltero"/>
    <s v="NO"/>
    <s v="NO"/>
    <n v="0"/>
    <s v="NO"/>
    <s v="NA"/>
    <s v="NO"/>
    <s v="NA"/>
    <s v="NO"/>
    <s v="NA"/>
    <s v="No"/>
    <s v="302/730-3027"/>
    <s v="302/730-3027"/>
    <s v="Estrato 3"/>
    <s v="Carrera 10A #28-35, Apto.101A"/>
    <s v="Boyacá"/>
    <s v="Sogamoso"/>
    <s v="Si"/>
    <s v="Propio"/>
    <s v="SI"/>
    <s v="2022"/>
    <s v="AC202240165595"/>
    <n v="293"/>
    <n v="59"/>
    <n v="59"/>
    <s v="Privada"/>
    <s v="COLEGIO COOPERATIVO REYES PATR"/>
    <n v="2022"/>
    <s v="Boyacá"/>
    <s v="Sogamoso"/>
    <s v="BACHILLER"/>
    <s v="TECN"/>
    <s v="TIPO: Privada, INSTITUCION: COLEGIO COOPERATIVO REYES PATR, AÑO: 2022, CIUDAD: Sogamoso, TITULO: BACHILLER"/>
    <s v="11"/>
    <s v="Escala de 0 - 5"/>
    <s v="Escala de 0 - 5"/>
    <s v="4"/>
    <s v="3,6"/>
    <m/>
    <s v="4"/>
    <s v="3,4"/>
    <m/>
    <n v="3.9"/>
    <n v="4"/>
    <m/>
    <n v="3.9"/>
    <n v="3.5"/>
    <m/>
    <s v="4,5"/>
    <s v="4"/>
    <m/>
    <s v="4,5"/>
    <s v="4,2"/>
    <m/>
    <s v="3,9"/>
    <s v="3,8"/>
    <m/>
    <s v="De 9 y 10"/>
    <n v="3.8250000000000002"/>
    <s v="NO"/>
    <s v="NA"/>
    <n v="0"/>
    <n v="0"/>
    <s v="No"/>
    <n v="50"/>
    <m/>
    <n v="50"/>
    <m/>
    <n v="50"/>
    <m/>
    <s v="Sogamoso, la tercera de tres hermanos, el hermano estudia en la nacional, padre veterinaria, mamá de trabajo social, buena en diseño creatividad, muy activa, se visiona muy bien en la carrera"/>
    <n v="50"/>
    <s v="Con detalle por componente"/>
    <s v="Artísticas o culturales,Espacios de liderazgo o representación social,Trabajo social o comunitario"/>
    <s v="Me visualizo ejerciendo un compromiso social que implique cuestionar el impacto de las estrategias de mercado con el colectivo y el contexto, mediante procesos investigativos, creativos e innovadores, con la intención de generar bienestar, prácticas éticas, sostenibles y responsables entre los actores y agentes implicados. Mi compromiso es ser una mujer y profesional con pensamiento crítico, digno, de transformación social que aporte valor a la comunidad y al cuidado de la vida. _x000a_Ser una agente activa de cambio y adaptabilidad, siendo una voz y un puente para los artesanos, campesinos y emprendedores de mi región, Boyacá, permitirá la apertura de nuevos caminos, oportunidades y posibilidades. Desde mi lugar, trabajaré para dar visibilidad a sus productos, su trabajo, su historia, su cuidado y su vida; rescatando las historias y tradiciones que nos acompañan, abriendo las puertas a nuevos mercados, tanto a nivel nacional como internacional. No quiero solo vender productos, quiero contar las historias que hay detrás de cada tejido, de cada cosecha, de cada mano que trabaja con esfuerzo y amor por nuestro territorio._x000a_La beca y la universidad, me permitirán formarme con las herramientas, la experiencia y los conocimientos necesarios para regresar y transformar, bajo el respeto por la diversidad y la inclusión. Logrando generar estrategias de mercadeo justas y sostenibles, que empoderen aún más a nuestras gentes, fortaleciendo nuestra economía local y protegiendo nuestras tradiciones. Visualizo un Boyacá que no solo se enorgullece de sus raíces, sino que también se proyecta hacia el futuro, hacia lo moderno desde la identidad cultural que nos caracteriza, con oportunidades más reales y accesibles; y yo quiero ser parte de esa transformación y apertura desde la raíz y origen de cada persona, proyecto, emprendimiento, estrategia, producto y servicios que surjan y se construyan con autenticidad, visión, orgullo y futuro."/>
    <s v="Página WEB"/>
    <s v="Proyección laboral."/>
    <s v="Recomendación."/>
    <n v="3"/>
    <s v="2"/>
    <s v="NO"/>
    <s v="NO"/>
    <s v="Entre 2 y 3 millones"/>
    <s v="No"/>
    <s v="SI"/>
    <n v="0"/>
    <m/>
    <s v="SI"/>
    <s v="Beca"/>
    <s v="NO"/>
    <s v=""/>
    <s v=""/>
    <s v="Si"/>
    <s v="Jairo Arturo Ortiz Pérez"/>
    <s v="Casado"/>
    <s v="UNIVERSITARIOS"/>
    <s v="61"/>
    <s v="Médico veterinario"/>
    <s v="Empleado (con contrato laboral)"/>
    <s v="Médico veterinario, asesorías técnicas veterinarias en fincas ganaderas y criaderos de caballos"/>
    <s v="AGROCAMAJUAN S.A.S, fincas de la región"/>
    <n v="4500000"/>
    <s v="Si"/>
    <s v="NO"/>
    <s v="NO"/>
    <s v="Mi padre es el responsable económico de mis hermanos, mi madre y yo."/>
    <s v="Si"/>
    <s v="Liliana Guevara Torres"/>
    <s v="Casado"/>
    <s v="UNIVERSITARIOS"/>
    <s v="61"/>
    <s v="Trabajadora social"/>
    <s v="Desempleado (Se encuentra en la búsqueda activa de empleo)"/>
    <s v="Hogar"/>
    <s v="Ninguna, se encuentra desempleada"/>
    <n v="0"/>
    <s v="Si"/>
    <s v="NO"/>
    <s v="NO"/>
    <s v="Mi madre se encuentra desempleada hace dos años, actualmente en busca de empleo"/>
    <n v="4500000"/>
    <s v="Si"/>
    <s v="Andrea Ortiz Guevara"/>
    <s v="Hermano / Hermana"/>
    <s v="25"/>
    <s v="Psicologa"/>
    <s v="Ninguna, se encuentra desempleada"/>
    <n v="0"/>
    <s v="No"/>
    <s v="Omar Arturo Ortiz Guevara"/>
    <s v="Hermano / Hermana"/>
    <s v="21"/>
    <s v="Estudiante"/>
    <s v="Universidad Nacional de Colombia - Sede Medellín"/>
    <n v="0"/>
    <s v="No"/>
    <s v=""/>
    <s v=""/>
    <s v=""/>
    <s v=""/>
    <s v=""/>
    <m/>
    <s v=""/>
    <s v="Actualmente vivo con mis padres y mi hermana mayor en la ciudad de Sogamoso, mi hermana se encuentra desempleada, en busca de trabajo y mi hermano se encuentra estudiando en la ciudad de Medellín"/>
    <n v="0"/>
    <n v="280000000"/>
    <n v="0"/>
    <n v="0"/>
    <n v="0"/>
    <s v="Si"/>
    <s v="KIA Sportage Fq"/>
    <s v="2014"/>
    <n v="43500000"/>
    <s v="No"/>
    <s v=""/>
    <s v=""/>
    <n v="0"/>
    <s v="No"/>
    <s v=""/>
    <s v=""/>
    <s v=""/>
    <n v="0"/>
    <s v="Mi familia cuenta con apartamento y vehículo propio"/>
    <n v="4"/>
    <n v="4"/>
    <n v="3"/>
    <n v="4"/>
    <n v="4"/>
    <n v="3"/>
    <n v="4"/>
    <n v="4"/>
    <n v="4"/>
    <n v="4"/>
    <n v="38"/>
    <s v="SI"/>
    <m/>
    <s v="SI, SON PRI"/>
    <s v="ok tienen todos los datos"/>
    <e v="#N/A"/>
    <e v="#N/A"/>
    <m/>
    <n v="3"/>
    <n v="10"/>
    <n v="8"/>
    <n v="0"/>
    <n v="10"/>
    <n v="15"/>
    <n v="20"/>
    <n v="12.5"/>
    <n v="11.5"/>
    <n v="66.5"/>
    <n v="0.4"/>
    <m/>
    <n v="2"/>
    <n v="2.5"/>
    <n v="6"/>
    <n v="1"/>
    <n v="2"/>
    <n v="2.5"/>
    <n v="7"/>
    <n v="1"/>
    <n v="65.5"/>
    <n v="0.4"/>
    <n v="0.4"/>
    <e v="#N/A"/>
    <m/>
    <m/>
    <n v="0"/>
    <m/>
    <m/>
    <s v="Mercadeo"/>
    <e v="#N/A"/>
    <s v="169"/>
    <e v="#N/A"/>
  </r>
  <r>
    <s v="TI"/>
    <n v="1059241176"/>
    <s v="1000377845"/>
    <s v="MARIA CLARA CAMPO DAMIAN"/>
    <s v="Estudios por primera vez"/>
    <x v="1"/>
    <s v="Descartados por año graduacion 2025"/>
    <s v="Año graduacion e icfes 2025 - ver colegio"/>
    <s v="En publico objetivo"/>
    <s v="1er Cohorte"/>
    <s v="Admitido"/>
    <s v="mccampod@eafit.edu.co"/>
    <e v="#N/A"/>
    <s v="mariaclaracampodamian@gmail.com"/>
    <s v="573184929120"/>
    <d v="2025-04-25T00:00:00"/>
    <s v="Activo en Programa"/>
    <s v="183-Biología"/>
    <s v="E Ciencias Aplic e Ingeniería"/>
    <d v="2008-08-26T00:00:00"/>
    <n v="17"/>
    <s v="Cauca"/>
    <s v="Popayán"/>
    <s v="Mujer"/>
    <s v="Soltero"/>
    <s v="NO"/>
    <s v="NO"/>
    <n v="0"/>
    <s v="NO"/>
    <s v="NA"/>
    <s v="NO"/>
    <s v="NA"/>
    <s v="NO"/>
    <s v="NA"/>
    <s v="No"/>
    <s v="573184929120"/>
    <s v="NA"/>
    <s v="Estrato 1"/>
    <s v="CR 12 23 117"/>
    <s v="Cauca"/>
    <s v="Popayán"/>
    <s v="Si"/>
    <s v="Familiar"/>
    <s v="SI"/>
    <s v="2025"/>
    <s v="AC202510056424"/>
    <n v="399"/>
    <n v="100"/>
    <n v="75"/>
    <s v="Privada"/>
    <s v="LICEO HISPANOAMERICANO"/>
    <n v="2025"/>
    <s v="Cauca"/>
    <s v="Popayán"/>
    <s v="BACHILLER"/>
    <s v="ACAD"/>
    <s v="TIPO: Privada, INSTITUCION: LICEO HISPANOAMERICANO, AÑO: 2025, CIUDAD: Popayán, TITULO: BACHILLER"/>
    <s v="11"/>
    <s v="Escala de 0 - 5"/>
    <s v="Escala de 0 - 5"/>
    <s v="4,8"/>
    <s v="4,8"/>
    <m/>
    <s v="5"/>
    <s v="4,9"/>
    <m/>
    <n v="5"/>
    <n v="5"/>
    <m/>
    <n v="4.5"/>
    <n v="4.7"/>
    <m/>
    <s v="4,7"/>
    <s v="4,6"/>
    <m/>
    <s v="4,3"/>
    <s v="4,3"/>
    <m/>
    <s v="4,5"/>
    <s v="4,5"/>
    <m/>
    <s v="De 9 y 10"/>
    <n v="4.8"/>
    <s v="NO"/>
    <s v="NA"/>
    <n v="0"/>
    <n v="0"/>
    <s v="No"/>
    <n v="50"/>
    <m/>
    <n v="50"/>
    <m/>
    <n v="50"/>
    <m/>
    <s v="Excelente desempeño en la entrevista"/>
    <n v="50"/>
    <s v="Con detalle por componente"/>
    <s v="Artísticas o culturales"/>
    <s v="Desde muy pequeña me enamoré de la Biología. Siempre me llamó mucho la atención entender cómo funcionan las células, los virus, las bacterias y todo su comportamiento. No fue algo pasajero, con el tiempo se volvió parte de mí y de lo que sueño hacer en la vida._x000a__x000a_Vengo de una familia , de mujeres increíbles como mis abuelas, que sin tener estudios ni oportunidades lograron sacar adelante a más de diez hijos cada una. Ellas me enseñaron que el esfuerzo, el amor y la dedicación son suficientes para salir adelante, aunque todo sea difícil._x000a__x000a_Me visualizo ejerciendo la Biología con toda la pasión que siento. Sueño en grande, me encantaría algún día alcanzar un premio Nobel, y aunque eso no suceda, lo que realmente me importa es dar todo mi esfuerzo, trabajar duro y sentir la tranquilidad de que hice todo lo posible por obtenerlo._x000a__x000a_Desde niña me han enseñado que no se necesita tener dinero para ayudar, que cada quien puede aportar desde lo que tiene y como pueda. Siempre he creído que se puede contribuir, aunque sea con pequeños gestos. Si obtengo la beca, podré prepararme mejor y así devolverle mucho más a mi región: compartiendo lo que aprenda, motivando a otros jóvenes y demostrando que, aunque uno venga de un lugar pequeño, puede hacer cosas grandes si trabaja con el corazón._x000a__x000a_Cada persona es autora de su propio destino y coautora del destino de los demás. Si logro formarme, me comprometo a aprovechar esta oportunidad para cumplir mis sueños y también para ser apoyo y ejemplo para quienes vienen detrás, porque creo de corazón que los sueños sí se cumplen cuando se trabaja con pasión y fe."/>
    <s v="Redes sociales"/>
    <s v="Por la calidad académica."/>
    <s v="Vocación."/>
    <n v="6"/>
    <s v="1"/>
    <s v="NO"/>
    <s v="SI"/>
    <s v="Entre 3 y 4 millones"/>
    <s v="No"/>
    <s v="NO"/>
    <n v="0"/>
    <m/>
    <s v="SI"/>
    <s v="Beca"/>
    <s v="NO"/>
    <s v=""/>
    <s v=""/>
    <s v="Si"/>
    <s v="Yimy Andres Campo Bravo"/>
    <s v="Casado"/>
    <s v="MAESTRÍA"/>
    <s v="49"/>
    <s v="Ingeniero de Sistemas"/>
    <s v="Empleado (con contrato laboral)"/>
    <s v="Docente"/>
    <s v="Tecnológico de Antioquia"/>
    <n v="2133330"/>
    <s v="No"/>
    <s v="NO"/>
    <s v="SI"/>
    <s v="No."/>
    <s v="Si"/>
    <s v="Inés Andrea Damián Flórez"/>
    <s v="Casado"/>
    <s v="ESPECIALIZACIÓN"/>
    <s v="43"/>
    <s v="Ingeniera de Sistemas"/>
    <s v="Contrato por prestación de servicios"/>
    <s v="Auxiliar administrativo"/>
    <s v="Asociación de padres de familia de los hogares comunitarios de bienestar camino real"/>
    <n v="2448341"/>
    <s v="Si"/>
    <s v="SI"/>
    <s v="SI"/>
    <s v="No."/>
    <n v="4581671"/>
    <s v="Si"/>
    <s v="Nancy Stella Flórez"/>
    <s v="Abuelo / Abuela"/>
    <s v="60"/>
    <s v="Sin ocupación, discapacitada."/>
    <s v="Ninguna"/>
    <n v="0"/>
    <s v="No"/>
    <s v="Jesús Eduardo Damián"/>
    <s v="Abuelo / Abuela"/>
    <s v="65"/>
    <s v="Albañil"/>
    <s v="Informal"/>
    <n v="1000000"/>
    <s v="Si"/>
    <s v=""/>
    <s v=""/>
    <s v=""/>
    <s v=""/>
    <s v=""/>
    <m/>
    <s v=""/>
    <s v=""/>
    <n v="70000000"/>
    <n v="0"/>
    <n v="0"/>
    <n v="0"/>
    <n v="0"/>
    <s v="Si"/>
    <s v="Chevrolet"/>
    <s v="2021"/>
    <n v="50000000"/>
    <s v="No"/>
    <s v=""/>
    <s v=""/>
    <n v="0"/>
    <s v="No"/>
    <s v=""/>
    <s v=""/>
    <s v=""/>
    <n v="0"/>
    <s v="No."/>
    <n v="4"/>
    <n v="4"/>
    <n v="3"/>
    <n v="4"/>
    <n v="4"/>
    <n v="4"/>
    <n v="4"/>
    <n v="4"/>
    <n v="3"/>
    <n v="4"/>
    <n v="38"/>
    <s v="SI"/>
    <m/>
    <s v="SI, SON PRI"/>
    <s v="ok tienen todos los datos"/>
    <e v="#N/A"/>
    <e v="#N/A"/>
    <m/>
    <n v="2"/>
    <n v="6"/>
    <n v="6"/>
    <n v="15"/>
    <n v="20"/>
    <n v="15"/>
    <n v="20"/>
    <n v="14.5"/>
    <n v="14.5"/>
    <n v="90.5"/>
    <n v="0.4"/>
    <n v="0.4"/>
    <n v="2"/>
    <n v="3.5"/>
    <n v="6"/>
    <n v="3"/>
    <n v="2"/>
    <n v="3.5"/>
    <n v="6"/>
    <n v="3"/>
    <n v="90.5"/>
    <n v="0.5"/>
    <n v="0.4"/>
    <e v="#N/A"/>
    <s v="se baja por pregrado"/>
    <m/>
    <n v="0"/>
    <m/>
    <m/>
    <s v="Biología"/>
    <e v="#N/A"/>
    <s v="183"/>
    <e v="#N/A"/>
  </r>
  <r>
    <s v="TI"/>
    <n v="1061721937"/>
    <s v="1000381068"/>
    <s v="SAMUEL MOISES GOMEZ VILLERO"/>
    <s v="Estudios por primera vez"/>
    <x v="5"/>
    <s v="Cumple Nutresa"/>
    <s v="Venículo 2020 $70MM, Talento 60% anterior convocatoria no la uso por tema económico"/>
    <s v="En publico objetivo"/>
    <s v="1er Cohorte"/>
    <s v="Admitido"/>
    <s v="smgomezv1@eafit.edu.co"/>
    <s v="smgomezv1@eafit.edu.co"/>
    <s v="samuelgomezv4@gmail.com"/>
    <s v="313/216-5495"/>
    <d v="2025-04-25T00:00:00"/>
    <s v="Activo en Programa"/>
    <s v="003-Economía"/>
    <s v="E.Finanzas, Economía, Gobierno"/>
    <d v="2007-09-13T00:00:00"/>
    <n v="18"/>
    <s v="Cauca"/>
    <s v="Popayán"/>
    <s v="Hombre"/>
    <s v="Soltero"/>
    <s v="NO"/>
    <s v="NO"/>
    <n v="0"/>
    <s v="NO"/>
    <s v="NA"/>
    <s v="NO"/>
    <s v="NA"/>
    <s v="NO"/>
    <s v="NA"/>
    <s v="No"/>
    <s v="no disponible"/>
    <s v="313/216-5495"/>
    <s v="Estrato 3"/>
    <s v="CL 16 BIS 2 25 A- 46 URB LA FLORESTA"/>
    <s v="Cesar"/>
    <s v="Valledupar"/>
    <s v="Si"/>
    <s v="Arriendo"/>
    <s v="SI"/>
    <s v="2024"/>
    <s v="AC202430048595"/>
    <n v="391"/>
    <n v="76"/>
    <n v="80"/>
    <s v="Privada"/>
    <s v="COL. SANTA FE"/>
    <n v="2024"/>
    <s v="Cesar"/>
    <s v="Valledupar"/>
    <s v="BACHILLER"/>
    <n v="0"/>
    <s v="TIPO: Privada, INSTITUCION: COL. SANTA FE, AÑO: 2024, CIUDAD: Valledupar, TITULO: BACHILLER"/>
    <s v="11"/>
    <s v="Escala de 0 - 100"/>
    <s v="Escala de 0 - 5"/>
    <s v="4,5"/>
    <s v="4,5"/>
    <m/>
    <s v="4,5"/>
    <s v="4,5"/>
    <m/>
    <n v="5"/>
    <n v="5"/>
    <m/>
    <n v="5"/>
    <n v="4.5"/>
    <m/>
    <s v="4,5"/>
    <s v="4,5"/>
    <m/>
    <s v="4,5"/>
    <s v="4,5"/>
    <m/>
    <s v="4,5"/>
    <s v="5"/>
    <m/>
    <s v="De 9 y 10"/>
    <n v="4.875"/>
    <s v="NO"/>
    <s v="NA"/>
    <n v="0"/>
    <n v="0"/>
    <s v="No"/>
    <n v="45"/>
    <m/>
    <n v="50"/>
    <m/>
    <n v="50"/>
    <m/>
    <s v="Aspirante se presentó a Beca talento el año pasado, le otrogaron el 60% pero no pudo tomarla por temas económicos._x000a_Se presentará de nuevo a beca talento._x000a_Le gusta mucho la economía"/>
    <n v="48.333333333333336"/>
    <s v="Con detalle por componente"/>
    <s v="Artísticas o culturales,Espacios de liderazgo o representación social,Trabajo social o comunitario"/>
    <s v="Visualizo mi futuro como economista con un rol de liderazgo en esta área y, algún_x000a_día, contribuir a implementar políticas  y programas que impulsen el desarrollo de nuestro país, tanto en el sector publico como en el privado._x000a__x000a_Mi meta como economista es innovar y promover el desarrollo, la cual es una de las razones por las que escogí EAFIT, que para mi es un referente de innovación en nuestro país._x000a__x000a_Especialmente, estoy convencido que en mi rol como economista puedo ayudar en la toma de decisiones y políticas que impulsen la implementación de las nuevas tecnologías en nuestro país, ayudando a emprendimientos, pequeñas y medianas empresas. Especialmente, en zonas que han sido afectadas por el conflicto armado o zonas rurales con pocas oportunidades._x000a__x000a_Mi amor por la región caribe, en conjunto, con el deseo de sacar adelante a mi familia, es uno de los motivos por los cuales quiero ser un economista líder, un economista que va más allá de los números, que no ve a personas como una cifra más, sino como semejantes que necesitan más oportunidades para tener una mejor calidad de vida, y que a través de mi profesión puedo ayudar a generar más oportunidades para estas personas y para esta hermosa región que muchas veces ha sido dejada en el olvido por parte del estado."/>
    <s v="A través del Colegio"/>
    <s v="Por la oferta académica."/>
    <s v="Vocación."/>
    <n v="2"/>
    <s v="0"/>
    <s v="SI"/>
    <s v="NO"/>
    <s v="Entre 2 y 3 millones"/>
    <s v="Si"/>
    <n v="0"/>
    <s v="SI"/>
    <s v="Crédito entidad externa"/>
    <s v="SI"/>
    <s v="Beca"/>
    <s v="NO"/>
    <s v=""/>
    <s v=""/>
    <s v="Si"/>
    <s v="José Edwin Gómez Mera"/>
    <s v="Casado"/>
    <s v="TÉCNICA"/>
    <s v="43"/>
    <s v="Trabajador Independiente"/>
    <s v="Independiente (trabaja por cuenta propia)"/>
    <s v="Comercio al por menor de productos de belleza"/>
    <s v="Pequeño emprendimiento"/>
    <n v="1680000"/>
    <s v="Si"/>
    <s v="NO"/>
    <s v="NO"/>
    <s v=""/>
    <s v="Si"/>
    <s v="Carmen Alicia Villero Daza"/>
    <s v="Casado"/>
    <s v="BACHILLERATO"/>
    <s v="48"/>
    <s v="Trabajadora Independiente"/>
    <s v="Independiente (trabaja por cuenta propia)"/>
    <s v="Comercio al por menor de productos de belleza"/>
    <s v="Pequeño emprendimiento"/>
    <n v="1150000"/>
    <s v="Si"/>
    <s v="SI"/>
    <s v="NO"/>
    <m/>
    <n v="2830000"/>
    <s v="No, solo vivo con mis padres"/>
    <s v=""/>
    <s v=""/>
    <s v=""/>
    <s v=""/>
    <s v=""/>
    <m/>
    <s v=""/>
    <s v=""/>
    <s v=""/>
    <s v=""/>
    <s v=""/>
    <s v=""/>
    <m/>
    <s v=""/>
    <s v=""/>
    <s v=""/>
    <s v=""/>
    <s v=""/>
    <s v=""/>
    <m/>
    <s v=""/>
    <s v=""/>
    <n v="0"/>
    <n v="0"/>
    <n v="0"/>
    <n v="0"/>
    <n v="0"/>
    <s v="Si"/>
    <s v="KIA"/>
    <s v="2020"/>
    <n v="70000000"/>
    <s v="No"/>
    <s v=""/>
    <s v=""/>
    <n v="0"/>
    <s v="No"/>
    <s v=""/>
    <s v=""/>
    <s v=""/>
    <n v="0"/>
    <s v="El vehículo tiene limitación a la propiedad debido a que se esta pagando el crédito."/>
    <n v="4"/>
    <n v="4"/>
    <n v="4"/>
    <n v="4"/>
    <n v="4"/>
    <n v="4"/>
    <n v="4"/>
    <n v="4"/>
    <n v="4"/>
    <n v="4"/>
    <n v="40"/>
    <s v="SI"/>
    <m/>
    <s v="SI, SON PRI"/>
    <s v="ok tienen todos los datos"/>
    <n v="0.6"/>
    <n v="20251"/>
    <m/>
    <n v="2"/>
    <n v="10"/>
    <n v="8"/>
    <n v="15"/>
    <n v="20"/>
    <n v="15"/>
    <n v="20"/>
    <n v="18.5"/>
    <n v="18.5"/>
    <n v="98.5"/>
    <n v="0.6"/>
    <m/>
    <n v="2"/>
    <n v="4.5"/>
    <n v="8"/>
    <n v="4"/>
    <n v="2"/>
    <n v="4"/>
    <n v="8"/>
    <n v="4.5"/>
    <n v="96.5"/>
    <n v="0.7"/>
    <n v="0.8"/>
    <s v="SAMUEL MOISES GOMEZ VILLERO"/>
    <m/>
    <m/>
    <n v="0"/>
    <s v="SIN NOTAS COLEGIO - VALIDANDO CON TI"/>
    <s v="Sin notas adjuntas"/>
    <s v="Economía"/>
    <s v="Pres. para revision docs nutresa"/>
    <m/>
    <s v="NUTRESA"/>
  </r>
  <r>
    <s v="CC"/>
    <n v="1062433978"/>
    <s v="1000405095"/>
    <s v="VICTORIA DE LOS ANGELES ALMARIO HUMANEZ"/>
    <s v="Estudios por primera vez"/>
    <x v="1"/>
    <s v="Descartado por notas"/>
    <m/>
    <s v="En publico objetivo"/>
    <s v="1er Cohorte"/>
    <s v="Admitido"/>
    <s v="vaalmarioh@eafit.edu.co"/>
    <e v="#N/A"/>
    <s v="vickyah907@gmail.com"/>
    <s v="573024568948"/>
    <d v="2025-04-25T00:00:00"/>
    <s v="Activo en Programa"/>
    <s v="084-Derecho"/>
    <s v="Escuela de Derecho"/>
    <d v="2007-01-09T00:00:00"/>
    <n v="18"/>
    <s v="Córdoba"/>
    <s v="Montería"/>
    <s v="Mujer"/>
    <s v="Soltero"/>
    <s v="NO"/>
    <s v="NO"/>
    <n v="0"/>
    <s v="NO"/>
    <s v="NA"/>
    <s v="NO"/>
    <s v="NA"/>
    <s v="NO"/>
    <s v="NA"/>
    <s v="No"/>
    <s v="000/000-0000"/>
    <s v="573024568948"/>
    <s v="Estrato 1"/>
    <s v="VEREDA EL FARO II CA 1001"/>
    <s v="Córdoba"/>
    <s v="Montería"/>
    <s v="Si"/>
    <s v="Propio"/>
    <s v="SI"/>
    <s v="2024"/>
    <s v="AC202433084142"/>
    <n v="411"/>
    <n v="100"/>
    <n v="77"/>
    <s v="Privada"/>
    <s v="COL LA SALLE"/>
    <n v="2024"/>
    <s v="Córdoba"/>
    <s v="Montería"/>
    <s v="BACHILLER"/>
    <s v="ACAD"/>
    <s v="TIPO: Privada, INSTITUCION: COL LA SALLE, AÑO: 2024, CIUDAD: Montería, TITULO: BACHILLER"/>
    <s v="11"/>
    <s v="Escala de 0 - 5"/>
    <s v="Escala de 0 - 5"/>
    <s v="4,3"/>
    <s v="3,7"/>
    <m/>
    <s v="3,9"/>
    <s v="3,9"/>
    <m/>
    <n v="4"/>
    <n v="3.9"/>
    <m/>
    <n v="4"/>
    <n v="4.2"/>
    <m/>
    <s v="4"/>
    <s v="4,2"/>
    <m/>
    <s v="3,9"/>
    <s v="4,2"/>
    <m/>
    <s v="3,9"/>
    <s v="4,2"/>
    <m/>
    <s v="De 9 y 10"/>
    <n v="4.0250000000000004"/>
    <s v="NO"/>
    <s v="NA"/>
    <n v="0"/>
    <n v="0"/>
    <s v="No"/>
    <n v="45"/>
    <m/>
    <n v="45"/>
    <m/>
    <n v="45"/>
    <m/>
    <s v="Buena candidata para el programa"/>
    <n v="45"/>
    <s v="Con detalle por componente"/>
    <s v="Artísticas o culturales,Trabajo social o comunitario"/>
    <s v="Me visualizo trabajando en una embajada, apoyando a colombianos que estén en el exterior y necesiten ayuda en momentos difíciles. Me interesa mucho el derecho internacional, y creo que desde allí podría contribuir a mantener buenas relaciones entre países, promover el diálogo y, al mismo tiempo, ser un apoyo para quienes están lejos de casa. Además, mientras se construye el camino hacia este objetivo, me gustaría contribuir en proyectos de mi región que permitan brindar asesoría jurídica gratuita a personas vulnerables, para que conozcan sus derechos y confíen en el sistema que los protege."/>
    <s v="Referencias familiares"/>
    <s v="Por la calidad académica."/>
    <s v="Vocación."/>
    <n v="2"/>
    <s v="1"/>
    <s v="NO"/>
    <s v="NO"/>
    <s v="Entre 1 y 2 millones"/>
    <s v="Si"/>
    <n v="0"/>
    <s v="NO"/>
    <m/>
    <s v="SI"/>
    <m/>
    <s v="NO"/>
    <s v=""/>
    <s v=""/>
    <s v="Si"/>
    <s v="Eparquio Antonio Almario Ayubb"/>
    <s v="Casado"/>
    <s v="BACHILLERATO"/>
    <s v="59"/>
    <s v="Piscicultor"/>
    <s v="Independiente (trabaja por cuenta propia)"/>
    <s v="NA"/>
    <s v="NA"/>
    <n v="2100000"/>
    <s v="Si"/>
    <s v="NO"/>
    <s v="NO"/>
    <s v=""/>
    <s v="Si"/>
    <s v="Candelaria Patricia Humanez Martinez"/>
    <s v="Casado"/>
    <s v="BACHILLERATO"/>
    <s v="53"/>
    <s v="Costurera"/>
    <s v="Independiente (trabaja por cuenta propia)"/>
    <s v="NA"/>
    <s v="NA"/>
    <n v="1500000"/>
    <s v="Si"/>
    <s v="NO"/>
    <s v="NO"/>
    <m/>
    <n v="3600000"/>
    <s v="No, solo vivo con mis padres"/>
    <s v=""/>
    <s v=""/>
    <s v=""/>
    <s v=""/>
    <s v=""/>
    <m/>
    <s v=""/>
    <s v=""/>
    <s v=""/>
    <s v=""/>
    <s v=""/>
    <s v=""/>
    <m/>
    <s v=""/>
    <s v=""/>
    <s v=""/>
    <s v=""/>
    <s v=""/>
    <s v=""/>
    <m/>
    <s v=""/>
    <m/>
    <n v="0"/>
    <n v="0"/>
    <n v="0"/>
    <n v="0"/>
    <n v="52598000"/>
    <s v="No"/>
    <s v=""/>
    <s v=""/>
    <n v="0"/>
    <s v="No"/>
    <s v=""/>
    <s v=""/>
    <n v="0"/>
    <s v="No"/>
    <s v=""/>
    <s v=""/>
    <s v=""/>
    <n v="0"/>
    <s v="El valor del lote incluye el valor de la casa"/>
    <n v="4"/>
    <n v="3"/>
    <n v="4"/>
    <n v="3"/>
    <n v="4"/>
    <n v="3"/>
    <n v="4"/>
    <n v="3"/>
    <n v="3"/>
    <n v="4"/>
    <n v="35"/>
    <s v="SI"/>
    <m/>
    <s v="SI, SON PRI"/>
    <s v="ok tienen todos los datos"/>
    <s v="Negada"/>
    <n v="20251"/>
    <m/>
    <n v="2"/>
    <n v="6"/>
    <n v="6"/>
    <n v="15"/>
    <n v="15"/>
    <n v="15"/>
    <n v="15"/>
    <n v="15"/>
    <n v="13.5"/>
    <n v="79.5"/>
    <n v="0.4"/>
    <m/>
    <n v="2"/>
    <n v="2.5"/>
    <n v="6"/>
    <n v="3"/>
    <n v="2"/>
    <n v="2.5"/>
    <n v="7"/>
    <n v="3.5"/>
    <n v="81"/>
    <n v="0.5"/>
    <n v="0.5"/>
    <e v="#N/A"/>
    <m/>
    <m/>
    <n v="0"/>
    <m/>
    <m/>
    <s v="Derecho"/>
    <e v="#N/A"/>
    <s v="084"/>
    <e v="#N/A"/>
  </r>
  <r>
    <s v="TI"/>
    <n v="1062963695"/>
    <s v="1000408053"/>
    <s v="HERNANDO ANDRES ESCOBAR ENAMORADO"/>
    <s v="Estudios por primera vez"/>
    <x v="1"/>
    <s v="No cumple, puntaje ICFES menor a 300"/>
    <m/>
    <s v="En publico objetivo"/>
    <s v="2da Cohorte"/>
    <s v="Admitido"/>
    <s v="haescobare@eafit.edu.co"/>
    <e v="#N/A"/>
    <s v="hernandoandrese@gmail.com"/>
    <s v="573043415745"/>
    <d v="2025-05-16T00:00:00"/>
    <s v="Activo en Programa"/>
    <s v="168-Psicología"/>
    <s v="Escuela de Artes y Humanidades"/>
    <d v="2007-08-25T00:00:00"/>
    <n v="18"/>
    <s v="Córdoba"/>
    <s v="Montería"/>
    <s v="Hombre"/>
    <s v="Soltero"/>
    <s v="NO"/>
    <s v="NO"/>
    <n v="0"/>
    <s v="NO"/>
    <s v="NA"/>
    <s v="NO"/>
    <s v="NA"/>
    <s v="NO"/>
    <s v="NA"/>
    <s v="No"/>
    <s v="4605 7633"/>
    <s v="573043415745"/>
    <s v="Estrato 2"/>
    <s v="CR 92 E #85 38"/>
    <s v="Antioquia"/>
    <s v="Medellín"/>
    <s v="No aplica, no soy foráneo"/>
    <s v="Arriendo"/>
    <s v="SI"/>
    <s v="2024"/>
    <s v="AC202433225034"/>
    <n v="291"/>
    <n v="62"/>
    <n v="64"/>
    <s v="Pública"/>
    <s v="INST EDUC FE Y ALEGRIA SAN JOS"/>
    <n v="2024"/>
    <s v="Antioquia"/>
    <s v="Medellín"/>
    <s v="BACHILLER"/>
    <s v="ACAD"/>
    <s v="TIPO: Pública, INSTITUCION: INST EDUC FE Y ALEGRIA SAN JOS, AÑO: 2024, CIUDAD: Medellín, TITULO: BACHILLER"/>
    <s v="11"/>
    <s v="Escala de 0 - 5"/>
    <s v="Escala de 0 - 5"/>
    <s v="4"/>
    <s v="3,6"/>
    <m/>
    <s v="4"/>
    <s v="4"/>
    <m/>
    <n v="3.5"/>
    <n v="3.5"/>
    <m/>
    <n v="3.7"/>
    <n v="4.5"/>
    <m/>
    <s v="4"/>
    <s v="4"/>
    <m/>
    <s v="4,5"/>
    <s v="4"/>
    <m/>
    <s v="4,5"/>
    <s v="4,5"/>
    <m/>
    <s v="De 9 y 10"/>
    <n v="3.8"/>
    <s v="NO"/>
    <s v="NA"/>
    <n v="0"/>
    <n v="0"/>
    <s v="No"/>
    <n v="45"/>
    <m/>
    <n v="45"/>
    <m/>
    <n v="50"/>
    <m/>
    <s v="Admitido al programa que se inscribió"/>
    <n v="46.666666666666664"/>
    <s v="Con detalle por componente"/>
    <s v="Ninguna"/>
    <s v="A día de hoy es imposible decir que no hemos tenido algún tipo de problema ya sea mental o familiar, sabiendo que tantas personas requieren ayuda para solucionar son problemas y sentirse mejores con sí mismos, como un futuro psicológico es indispensable para mí no sentir la noción de querer ayudar a las personas que necesitan ser escuchadas y aconsejadas, y con el gran problema de la drogadicción aquí en Colombia, con base en estudios, terapias, charlas, consejos y obviamente a través de la profesión creo que se puede empezar a reducir el porcentaje de personas que son no solamente afectadas por la drogadicción sino por todos los problemas que surgen en su día, además teniendo en cuenta que no todos pueden pagarse un psicólogo y recibir una terapia, pienso que empezando por ayudar a las personas que menos recursos tienen para que no caigan en hábitos que destruyan su vida y relaciones, tal vez dirás nadie trabaja gratis, pero pienso que si a mí me otorgan la oportunidad para estudiar la carrera que deseo, una buena manera de retribuir toda esa gran ayuda sería ayudando a las personas que no disponen de recursos para hacerlo... (Esto no quiere decir que si la oportunidad no se da, vaya a cambiar mi visión). Creo firmemente que si logro ejercer mi profesión, ayudaré a muchas personas a solucionar sus problemas y comenzar a disminuir las altas tasas de maltrato intrafamiliar, suicidio, consumo de estupefacientes, etc..."/>
    <s v="Redes sociales"/>
    <s v="Por la calidad académica."/>
    <s v="Recomendación."/>
    <n v="3"/>
    <s v="1"/>
    <s v="SI"/>
    <s v="NO"/>
    <s v="Entre 3 y 4 millones"/>
    <s v="No"/>
    <n v="0"/>
    <n v="0"/>
    <m/>
    <s v="SI"/>
    <s v="Beca"/>
    <s v="NO"/>
    <s v=""/>
    <s v=""/>
    <s v="Si"/>
    <s v="Hernando Escobar Marquez"/>
    <s v="Otro"/>
    <s v="UNIVERSITARIOS"/>
    <s v="73"/>
    <s v="Medico"/>
    <s v="Empleado (con contrato laboral)"/>
    <s v="Medico General"/>
    <s v="Mesalud Ips"/>
    <n v="2200000"/>
    <s v="No"/>
    <s v="NO"/>
    <s v="NO"/>
    <s v=""/>
    <s v="Si"/>
    <s v="Luz Elena Enamorado"/>
    <s v="Otro"/>
    <s v="TÉCNICA"/>
    <s v="40"/>
    <s v="Vendedora de ropa"/>
    <s v="Independiente (trabaja por cuenta propia)"/>
    <s v="Vendedora de Ropa"/>
    <s v="Indepediente"/>
    <n v="2000000"/>
    <s v="Si"/>
    <s v="NO"/>
    <s v="NO"/>
    <m/>
    <n v="4200000"/>
    <s v="Si"/>
    <s v="Adolfo Jose Guerra"/>
    <s v="PADRASTRO"/>
    <s v="38"/>
    <s v="Vigilante"/>
    <s v="COTRASER C.T.A"/>
    <n v="2446200"/>
    <s v="Si"/>
    <s v=""/>
    <s v=""/>
    <s v=""/>
    <s v=""/>
    <s v=""/>
    <m/>
    <s v=""/>
    <s v=""/>
    <s v=""/>
    <s v=""/>
    <s v=""/>
    <s v=""/>
    <m/>
    <s v=""/>
    <s v=""/>
    <n v="0"/>
    <n v="0"/>
    <n v="0"/>
    <n v="0"/>
    <n v="0"/>
    <s v="No"/>
    <s v=""/>
    <s v=""/>
    <n v="0"/>
    <s v="No"/>
    <s v=""/>
    <s v=""/>
    <n v="0"/>
    <s v="No"/>
    <s v=""/>
    <s v=""/>
    <s v=""/>
    <n v="0"/>
    <m/>
    <n v="3"/>
    <n v="4"/>
    <n v="2"/>
    <n v="3"/>
    <n v="3"/>
    <n v="2"/>
    <n v="3"/>
    <n v="3"/>
    <n v="3"/>
    <n v="4"/>
    <n v="30"/>
    <s v="SI"/>
    <m/>
    <s v="SI, SON PRI"/>
    <s v="ok tienen todos los datos"/>
    <e v="#N/A"/>
    <e v="#N/A"/>
    <m/>
    <n v="3"/>
    <n v="10"/>
    <n v="10"/>
    <n v="0"/>
    <n v="10"/>
    <n v="10"/>
    <n v="20"/>
    <n v="19"/>
    <n v="18"/>
    <n v="68"/>
    <n v="0.5"/>
    <m/>
    <n v="3.5"/>
    <n v="4.5"/>
    <n v="6"/>
    <n v="4"/>
    <n v="3.5"/>
    <n v="4"/>
    <n v="7"/>
    <n v="4.5"/>
    <n v="69"/>
    <n v="0.7"/>
    <n v="0.6"/>
    <e v="#N/A"/>
    <m/>
    <m/>
    <n v="0"/>
    <m/>
    <m/>
    <s v="Psicología"/>
    <e v="#N/A"/>
    <s v="168"/>
    <e v="#N/A"/>
  </r>
  <r>
    <s v="CC"/>
    <n v="1063282691"/>
    <s v="1000404354"/>
    <s v="SANTIAGO CERVANTES TIRADO"/>
    <s v="Estudios por primera vez"/>
    <x v="1"/>
    <s v="Descartado por pregrado"/>
    <s v="Madre profesional"/>
    <s v="En publico objetivo"/>
    <s v="2da Cohorte"/>
    <s v="Admitido"/>
    <s v="scervante@eafit.edu.co"/>
    <e v="#N/A"/>
    <s v="scervantest2310@gmail.com"/>
    <s v="322/499-8829"/>
    <d v="2025-05-16T00:00:00"/>
    <s v="Activo en Programa"/>
    <s v="013-Ingeniería Civil"/>
    <s v="E Ciencias Aplic e Ingeniería"/>
    <d v="2006-10-23T00:00:00"/>
    <n v="19"/>
    <s v="Córdoba"/>
    <s v="Montelíbano"/>
    <s v="Hombre"/>
    <s v="Soltero"/>
    <s v="NO"/>
    <s v="NO"/>
    <n v="0"/>
    <s v="NO"/>
    <s v="NA"/>
    <s v="NO"/>
    <s v="NA"/>
    <s v="NO"/>
    <s v="NA"/>
    <s v="No"/>
    <s v="300/372-3304"/>
    <s v="322/499-8829"/>
    <s v="Estrato 1"/>
    <s v="CL 16 CR 34 #455"/>
    <s v="Córdoba"/>
    <s v="Montelíbano"/>
    <s v="No"/>
    <s v="Familiar"/>
    <s v="SI"/>
    <s v="2023"/>
    <s v="AC202340324533"/>
    <n v="364"/>
    <n v="78"/>
    <n v="80"/>
    <s v="Privada"/>
    <s v="FUND EDUC DE MONTELIBANO"/>
    <n v="2024"/>
    <s v="Córdoba"/>
    <s v="Montelíbano"/>
    <s v="BACHILLER"/>
    <s v="ACAD"/>
    <s v="TIPO: Privada, INSTITUCION: FUND EDUC DE MONTELIBANO, AÑO: 2024, CIUDAD: Montelíbano, TITULO: BACHILLER"/>
    <s v="11"/>
    <s v="Escala Cualitativa"/>
    <s v="Escala de 0 - 5"/>
    <s v="4,5"/>
    <s v="4,5"/>
    <m/>
    <s v="4,5"/>
    <s v="4,5"/>
    <m/>
    <n v="4.5"/>
    <n v="4.5"/>
    <m/>
    <n v="4.5"/>
    <n v="4.5"/>
    <m/>
    <s v="4,5"/>
    <s v="4,5"/>
    <m/>
    <s v="4,5"/>
    <s v="4,5"/>
    <m/>
    <s v="4,5"/>
    <s v="4,5"/>
    <m/>
    <s v="De 9 y 10"/>
    <n v="4.5"/>
    <s v="NO"/>
    <s v="NA"/>
    <n v="0"/>
    <n v="0"/>
    <s v="No"/>
    <n v="50"/>
    <m/>
    <n v="45"/>
    <m/>
    <n v="45"/>
    <m/>
    <m/>
    <n v="46.666666666666664"/>
    <s v="Con detalle por componente"/>
    <s v="Deportistas de alto rendimiento o representativo,Trabajo social o comunitario,Artísticas o culturales"/>
    <s v="Desde una edad temprana, he soñado con transformar mi entorno a través de soluciones específicas que mejoran la calidad de vida de las personas. Es por eso que elegí un ingeniero civil: una carrera que combina técnica, influencia social y desarrollo sostenible. Me visualicé trabajando en el sector público en mis primeros años con una maestría, especialmente en el espacio político donde puedo controlar los proyectos de infraestructura y lograr los recursos necesarios para promover el progreso en la sociedad vulnerable en Córdoba._x000a_Mi proyecto a largo es convertirme en profesional independiente y encontrar una empresa de construcción con un enfoque social. Mi empresa no solo creará empleo local, sino que también llegará a los rincones olvidados donde el país rara vez actúa. Quiero construir carreteras, escuelas, acueductos y viviendas decentes. Quiero crear oportunidades. El eslogan de mi empresa será: &quot;Creando un mundo de ensueño&quot;, porque cada trabajo estará diseñado para transformar la vida de multiples familias y cumplir con la esperanza. Obtener esta beca sería importante para mí. No solo facilitaría la carga financiera de mis estudios, sino que también representaré el proyecto de voto de confianza en mi vida. Con esta oportunidad, podré entrenar con competencia y devolver este apoyo con actividades específicas en mi región. Estoy convencido de que el desarrollo sostenible y justo de Córdoba comienza con la formación de jóvenes que están comprometidos con su país y yo seré uno de ellos."/>
    <s v="Estudiantes de EAFIT"/>
    <s v="Por la oferta académica."/>
    <s v="Vocación."/>
    <n v="4"/>
    <s v="2"/>
    <s v="SI"/>
    <s v="NO"/>
    <s v="Entre 2 y 3 millones"/>
    <s v="No"/>
    <n v="0"/>
    <n v="0"/>
    <m/>
    <s v="SI"/>
    <s v="Beca"/>
    <s v="SI"/>
    <s v="SATENA"/>
    <s v="AUXILIAR DE SERVICIO"/>
    <s v="Si"/>
    <s v="Deivis José Cervantes Alvis"/>
    <s v="Soltero"/>
    <s v="BACHILLERATO"/>
    <s v="42"/>
    <s v="Crushing &amp; Stacking Operator"/>
    <s v="Empleado (con contrato laboral)"/>
    <s v="Operador de maquinaria pesada/Empleado"/>
    <s v="Cerro Matoso SA"/>
    <n v="4143847"/>
    <s v="Si"/>
    <s v="NO"/>
    <s v="NO"/>
    <s v="Es el responsable económico de mi madre y mis dos hermanas (no tenemos casa propia)"/>
    <s v="Si"/>
    <s v="Yuli Johana Tirado Vanegas"/>
    <s v="Soltero"/>
    <s v="UNIVERSITARIOS"/>
    <s v="39"/>
    <s v="ama de casa"/>
    <s v="Desempleado (Se encuentra en la búsqueda activa de empleo)"/>
    <s v="Ama de casa"/>
    <s v="NO APLICA"/>
    <n v="0"/>
    <s v="Si"/>
    <s v="NO"/>
    <s v="NO"/>
    <m/>
    <n v="4143847"/>
    <s v="Si"/>
    <s v="Maria Angel Cervantes Tirado"/>
    <s v="Hermano / Hermana"/>
    <s v="13"/>
    <s v="Estudiante"/>
    <s v="Fundación Educativa de Montelibano"/>
    <n v="0"/>
    <s v="No"/>
    <s v="Mariana Cervantes Tirado"/>
    <s v="Hermano / Hermana"/>
    <s v="4"/>
    <s v="Estudiante"/>
    <s v="Fundación Educatuva de Montelibano"/>
    <n v="0"/>
    <s v="No"/>
    <s v=""/>
    <s v=""/>
    <s v=""/>
    <s v=""/>
    <s v=""/>
    <m/>
    <s v=""/>
    <s v="Somos personas muy unidas y gracias a Dios criados con buenos valores."/>
    <n v="0"/>
    <n v="0"/>
    <n v="0"/>
    <n v="0"/>
    <n v="0"/>
    <s v="No"/>
    <s v=""/>
    <s v=""/>
    <n v="0"/>
    <s v="No"/>
    <s v=""/>
    <s v=""/>
    <n v="0"/>
    <s v="Si"/>
    <s v="Moto"/>
    <s v="Honda Dio"/>
    <s v="110"/>
    <n v="6450000"/>
    <s v="Moto en mal estado, no poseemos casa propia ni ningún bien raiz"/>
    <n v="4"/>
    <n v="4"/>
    <n v="3"/>
    <n v="4"/>
    <n v="4"/>
    <n v="4"/>
    <n v="3"/>
    <n v="4"/>
    <n v="4"/>
    <n v="4"/>
    <n v="38"/>
    <s v="SI"/>
    <m/>
    <s v="SI, SON PRI"/>
    <s v="ok tienen todos los datos"/>
    <e v="#N/A"/>
    <e v="#N/A"/>
    <m/>
    <n v="2"/>
    <n v="6"/>
    <n v="6"/>
    <n v="15"/>
    <n v="20"/>
    <n v="15"/>
    <n v="20"/>
    <n v="17"/>
    <n v="15.5"/>
    <n v="91.5"/>
    <n v="0.4"/>
    <m/>
    <n v="2"/>
    <n v="3.5"/>
    <n v="6"/>
    <n v="4"/>
    <n v="2"/>
    <n v="3.5"/>
    <n v="7"/>
    <n v="4.5"/>
    <n v="93"/>
    <n v="0.6"/>
    <n v="0.7"/>
    <e v="#N/A"/>
    <m/>
    <m/>
    <n v="0"/>
    <s v="EN ORDEN"/>
    <n v="0"/>
    <s v="Ingeniería Civil"/>
    <s v="Pres. para revision docs nutresa"/>
    <s v="013"/>
    <e v="#N/A"/>
  </r>
  <r>
    <s v="CC"/>
    <n v="1065872267"/>
    <s v="1000398138"/>
    <s v="JUAN JOSÉ HERRERA CAVIEDES"/>
    <s v="Transferencia Externa"/>
    <x v="1"/>
    <s v="No cumple, otros estudios de pregrado"/>
    <m/>
    <s v="En publico objetivo"/>
    <s v="1er Cohorte"/>
    <s v="Admitido"/>
    <s v="jjherrerc1@eafit.edu.co"/>
    <s v="jjherrerc1@eafit.edu.co"/>
    <s v="juanjxherrera@gmail.com"/>
    <s v="316/372-9953"/>
    <d v="2025-04-25T00:00:00"/>
    <s v="Activo en Programa"/>
    <s v="001-Administración de Negocios"/>
    <s v="Escuela de Administración"/>
    <d v="2006-03-04T00:00:00"/>
    <n v="19"/>
    <s v="Cesar"/>
    <s v="Aguachica"/>
    <s v="Hombre"/>
    <s v="Soltero"/>
    <s v="NO"/>
    <s v="NO"/>
    <n v="0"/>
    <s v="NO"/>
    <s v="NA"/>
    <s v="NO"/>
    <s v="NA"/>
    <s v="NO"/>
    <s v="NA"/>
    <s v="No"/>
    <s v="55656686"/>
    <s v="316/372-9953"/>
    <s v="Estrato 1"/>
    <s v="MZ B CA 4 ETAPA 1 CD DE LA PAZ"/>
    <s v="Cesar"/>
    <s v="Aguachica"/>
    <s v="No"/>
    <s v="Propio"/>
    <s v="SI"/>
    <s v="2023"/>
    <s v="AC202310352625"/>
    <n v="436"/>
    <n v="100"/>
    <n v="100"/>
    <s v="Privada"/>
    <s v="COL TERESIANO REINA DEL CARMEL"/>
    <n v="2022"/>
    <s v="Cesar"/>
    <s v="Aguachica"/>
    <s v="BACHILLER"/>
    <s v="TECN"/>
    <s v="TIPO: Privada, INSTITUCION: COL TERESIANO REINA DEL CARMEL, AÑO: 2022, CIUDAD: Aguachica, TITULO: BACHILLER"/>
    <n v="0"/>
    <n v="0"/>
    <s v="PCA TEX"/>
    <m/>
    <m/>
    <m/>
    <m/>
    <m/>
    <m/>
    <m/>
    <m/>
    <m/>
    <m/>
    <m/>
    <m/>
    <m/>
    <m/>
    <m/>
    <m/>
    <m/>
    <m/>
    <m/>
    <m/>
    <m/>
    <s v="Ver PCA TEX"/>
    <n v="3.9"/>
    <s v="SI"/>
    <s v="TIPO: Pública, INSTITUCION: UNIVERSIDAD DE ANTIOQUIA, AÑO: 0, CIUDAD: Medellín, TITULO: MEDICO (A)   CIRUJANO (Medellín)"/>
    <s v="PREGRADO"/>
    <s v=" TITULO: MEDICO (A)   CIRUJANO (Medellín)"/>
    <s v="No"/>
    <n v="45"/>
    <m/>
    <n v="45"/>
    <m/>
    <n v="50"/>
    <m/>
    <s v="tiene 19 años Estudió tres semestres en medicina en la UDEA quiere mas adelante tener una empresa y manejar los negocios, quiso estudiar esta carrera porque quería ayudar a las personas. Es una persona disciplinada, pero si tenía problemas con sus compañeros por la vocación, porque EAFIT porque es una universidad que tiene calidad académica"/>
    <n v="46.666666666666664"/>
    <s v="Con detalle por componente"/>
    <s v="Espacios de liderazgo o representación social,Artísticas o culturales,Trabajo social o comunitario"/>
    <s v="Desde pequeño, me han llamado mucho la atención los negocios, a pesar de que en mi familia nadie se había inclinado por este camino. Una de mis características más fuertes es el liderazgo con propósito, con el que siempre he buscado impactar vidas de la forma más humana posible._x000a__x000a_Me visualizo ejerciendo mi profesión de administrador de negocios, actuando como líder en grandes proyectos, tanto a nivel nacional como mundial. Aspiro a lograr impactar la vida de muchas personas y empresas a través de la excelente administración de todos los ámbitos que abarcan, y poniendo siempre el trato humano por delante._x000a__x000a_Yo soy de Aguachica, Cesar, la tierra que me ha visto crecer y desarrollar mis habilidades desde pequeño. A ella le he tomado mucho amor y cariño, permitiéndome analizar aspectos del desarrollo de este pueblo que me encantaría mejorar desde el ámbito de la administración de negocios, como la oportuna administración de recursos de los hospitales y la estimulación del pensamiento emprendedor con propósito en los jóvenes._x000a__x000a_Me encantaría también fortalecer y educar a las pequeñas y medianas empresas de mi región, a la vez que avanzamos en el ámbito tecnológico, el cual creo muy relevante a futuro en el desarrollo de las empresas, transversal a la mejora en la educación._x000a__x000a_Me proyecto como un líder, creador o co-creador de proyectos que impulsen y mejoren todos los pilares fundamentales de nuestra sociedad, desde mi pequeño lugar de origen hacia el mundo entero._x000a__x000a_Con la beca Talento EAFIT, podré lograr todos estos proyectos que parten de una mente aguachiquense muy ambiciosa, con las ganas más increíbles de transformar mi región y el mundo entero, desde la pasión y el amor, ya que creo firmemente en que la forma para lograr grandes cosas es impactar positivamente a los demás."/>
    <s v="Estudiantes de EAFIT"/>
    <s v="Por la calidad académica."/>
    <s v="Nivel académico de docentes."/>
    <n v="2"/>
    <s v="0"/>
    <s v="SI"/>
    <s v="NO"/>
    <s v="Entre 1 y 2 millones"/>
    <s v="No"/>
    <n v="0"/>
    <n v="0"/>
    <m/>
    <s v="SI"/>
    <s v="Beca"/>
    <s v="NO"/>
    <s v=""/>
    <s v=""/>
    <s v="Si"/>
    <s v="Rubin Eberto Herrera Páez"/>
    <s v="Casado"/>
    <s v="BACHILLERATO"/>
    <s v="61"/>
    <s v="Desempleado, no tiene profesión"/>
    <s v="Desempleado (Se encuentra en la búsqueda activa de empleo)"/>
    <s v="No aplica"/>
    <s v="No aplica"/>
    <n v="0"/>
    <s v="Si"/>
    <s v="NO"/>
    <s v="NO"/>
    <s v="Él tiene 61 años y lo despidieron de la empresa en la que trabajaba como chofer hace muchos años. Él tiene problemas en la columna (recientemente lo operaron) y tanto esa razón como su edad han sido grandes inconvenientes para que lo contraten en empresas."/>
    <s v="Si"/>
    <s v="Olivia María Caviedes Cristancho"/>
    <s v="Casado"/>
    <s v="BACHILLERATO"/>
    <s v="55"/>
    <s v="Secretaria"/>
    <s v="Empleado (con contrato laboral)"/>
    <s v="Secretaria encargada de la gestión de documentos, atención al público, coordinación de citas, manejo de agendas médicas y apoyo en la organización de procesos administrativos."/>
    <s v="Hospital Local de Aguachica"/>
    <n v="2887068"/>
    <s v="Si"/>
    <s v="NO"/>
    <s v="NO"/>
    <s v="Ella tiene 54 años, es una mujer muy entregada a su familia, amorosa y muy activa físicamente que ha logrado sacarnos adelante a lo largo de los años con sus ingresos"/>
    <n v="2887068"/>
    <s v="No, solo vivo con mis padres"/>
    <s v=""/>
    <s v=""/>
    <s v=""/>
    <s v=""/>
    <s v=""/>
    <m/>
    <s v=""/>
    <s v=""/>
    <s v=""/>
    <s v=""/>
    <s v=""/>
    <s v=""/>
    <m/>
    <s v=""/>
    <s v=""/>
    <s v=""/>
    <s v=""/>
    <s v=""/>
    <s v=""/>
    <m/>
    <s v=""/>
    <s v=""/>
    <n v="56644000"/>
    <n v="0"/>
    <n v="0"/>
    <n v="0"/>
    <n v="0"/>
    <s v="No"/>
    <s v=""/>
    <s v=""/>
    <n v="0"/>
    <s v="No"/>
    <s v=""/>
    <s v=""/>
    <n v="0"/>
    <s v="No"/>
    <s v=""/>
    <s v=""/>
    <s v=""/>
    <n v="0"/>
    <s v="No hay observaciones, solo tenemos la casa en la que vivimos estrato 1 que el gobierno le regaló a mis papás hace muchos años"/>
    <n v="4"/>
    <n v="4"/>
    <n v="3"/>
    <n v="4"/>
    <n v="4"/>
    <n v="4"/>
    <n v="4"/>
    <n v="4"/>
    <n v="3"/>
    <n v="4"/>
    <n v="38"/>
    <s v="SI"/>
    <m/>
    <s v="SI, SON TEX, EN LUGAR DE NOTAS TIENEN PCA"/>
    <s v="ok tienen todos los datos"/>
    <e v="#N/A"/>
    <e v="#N/A"/>
    <m/>
    <n v="3"/>
    <n v="6"/>
    <n v="6"/>
    <n v="15"/>
    <n v="10"/>
    <n v="15"/>
    <n v="20"/>
    <n v="15.5"/>
    <n v="15.5"/>
    <n v="81.5"/>
    <n v="0.4"/>
    <m/>
    <n v="2"/>
    <n v="2.5"/>
    <n v="8"/>
    <n v="3"/>
    <n v="2"/>
    <n v="2.5"/>
    <n v="8"/>
    <n v="3"/>
    <n v="81.5"/>
    <n v="0.5"/>
    <n v="0.5"/>
    <e v="#N/A"/>
    <m/>
    <m/>
    <n v="0"/>
    <m/>
    <m/>
    <s v="Administración de Negocios"/>
    <e v="#N/A"/>
    <s v="001"/>
    <e v="#N/A"/>
  </r>
  <r>
    <s v="TI"/>
    <n v="1067286095"/>
    <s v="1000380850"/>
    <s v="MARIANGEL HERNANDEZ PEREZ"/>
    <s v="Estudios por primera vez"/>
    <x v="1"/>
    <s v="Descartado por ingresos altos"/>
    <m/>
    <s v="En publico objetivo"/>
    <s v="3ra Cohorte"/>
    <s v="Admitido"/>
    <s v="mhernandp2@eafit.edu.co"/>
    <s v="mhernandp2@eafit.edu.co"/>
    <s v="hernandezperezmariangel@gmail.com"/>
    <s v="310/459-9706"/>
    <d v="2025-06-06T00:00:00"/>
    <s v="Activo en Programa"/>
    <s v="199-Finanzas"/>
    <s v="E.Finanzas, Economía, Gobierno"/>
    <d v="2008-04-28T00:00:00"/>
    <n v="17"/>
    <s v="Córdoba"/>
    <s v="Montería"/>
    <s v="Mujer"/>
    <s v="Soltero"/>
    <s v="NO"/>
    <s v="NO"/>
    <n v="0"/>
    <s v="NO"/>
    <s v="NA"/>
    <s v="SI"/>
    <s v="Afrocolombianos"/>
    <s v="NO"/>
    <s v="NA"/>
    <s v="No"/>
    <s v="310/459-9706"/>
    <s v="310/459-9706"/>
    <s v="Estrato 3"/>
    <s v="carrera 19B #13C-26"/>
    <s v="Cesar"/>
    <s v="Valledupar"/>
    <s v="Si"/>
    <s v="Propio"/>
    <s v="SI"/>
    <s v="2024"/>
    <s v="AC202430080960"/>
    <n v="385"/>
    <n v="78"/>
    <n v="78"/>
    <s v="Privada"/>
    <s v="COL. SANTA FE"/>
    <n v="2024"/>
    <s v="Cesar"/>
    <s v="Valledupar"/>
    <s v="BACHILLER"/>
    <s v="ACAD"/>
    <s v="TIPO: Privada, INSTITUCION: COL. SANTA FE, AÑO: 2024, CIUDAD: Valledupar, TITULO: BACHILLER"/>
    <s v="11"/>
    <s v="Escala de 0 - 100"/>
    <s v="Escala de 0 - 100"/>
    <s v="90"/>
    <s v="100"/>
    <m/>
    <s v="89"/>
    <s v="4"/>
    <m/>
    <n v="89"/>
    <n v="88"/>
    <m/>
    <n v="90"/>
    <n v="95"/>
    <m/>
    <s v="87"/>
    <s v="87"/>
    <m/>
    <s v="91"/>
    <s v="5"/>
    <m/>
    <s v="91"/>
    <s v="91"/>
    <m/>
    <s v="De 9 y 10"/>
    <n v="90.5"/>
    <s v="NO"/>
    <s v="NA"/>
    <n v="0"/>
    <n v="0"/>
    <s v="No"/>
    <n v="45"/>
    <m/>
    <n v="45"/>
    <m/>
    <n v="45"/>
    <m/>
    <s v="Vive en Valledupar_x000a_Se graduó en el 2024_x000a_Durante el semestre 2025-1 estudiando excel y ofimatica_x000a_Se siente muy bien con las matemáticas, inversiones y el dinero_x000a_Saber 11 puntaj3 385"/>
    <n v="45"/>
    <s v="Con detalle por componente"/>
    <s v="Espacios de liderazgo o representación social,Trabajo social o comunitario"/>
    <s v="Desde pequeña he sentido mucha curiosidad por entender cómo el manejo del dinero puede cambiar realidades en un instante. En Valledupar, con el pasar de los años, me he dado cuenta de que hay muchas personas que se esfuerzan por salir adelante, pero a veces no tienen las herramientas necesarias. Por eso decidí estudiar Finanzas. Me interesa mucho entender cómo el buen manejo del dinero puede ayudar a mejorar la vida de las personas, no solo en lo personal, sino también en sus negocios y comunidades._x000a_Me imagino trabajando con emprendedores de mi región, enseñando a jóvenes cómo manejar su dinero y ayudando a organizaciones sociales a llevar bien sus cuentas para que puedan crecer. No quiero quedarme solo en una oficina. Quiero estar con la gente, aportando desde lo que sé y aprendiendo también de sus realidades._x000a_Esta beca es una gran oportunidad. No solo me ayudaría a formarme mejor, sino que me daría herramientas para agradecer de alguna manera al lugar que me ha brindado tantas oportunidades. Quiero prepararme para volver a Valledupar con ideas y proyectos que realmente lleguen a las personas._x000a_Mi sueño es crear espacios donde se hable de finanzas de manera sencilla, en barrios y escuelas, para que todos aprendan a ahorrar, invertir y tomar mejores decisiones económicas. Siento que, si una persona entiende cómo funciona su dinero, puede cambiar su vida._x000a_Esta beca no se trata solo de mí. Es la posibilidad de que muchas personas más, a través de lo que yo aprenda, puedan tener nuevas oportunidades. Y eso, para mí, lo es todo."/>
    <s v="A través del Colegio"/>
    <s v="Por la oferta académica."/>
    <s v="Alta proyección de ingresos."/>
    <n v="2"/>
    <s v="1"/>
    <s v="NO"/>
    <s v="NO"/>
    <s v="Entre 6 y 7 millones"/>
    <s v="No"/>
    <n v="0"/>
    <s v="SI"/>
    <m/>
    <n v="0"/>
    <m/>
    <s v="NO"/>
    <s v=""/>
    <s v=""/>
    <s v="Si"/>
    <s v="Nevaldo Enrique Hernandez Guzmán"/>
    <s v="Unión marital"/>
    <s v="LINCENCIATURA"/>
    <s v="48"/>
    <s v="Docente"/>
    <s v="Empleado (con contrato laboral)"/>
    <s v="Docente de educación fisica"/>
    <s v="Institución educativa pública Nuestra Señora del Rosario de Palotal"/>
    <n v="5450199"/>
    <s v="No"/>
    <s v="NO"/>
    <s v="NO"/>
    <s v=""/>
    <s v="Si"/>
    <s v="Neisy Del Carmen Perez Gomez"/>
    <s v="Unión marital"/>
    <s v="ESPECIALIZACIÓN"/>
    <s v="46"/>
    <s v="Abogada"/>
    <s v="Empleado (con contrato laboral)"/>
    <s v="Abogada"/>
    <s v="Gobernación del Cesar"/>
    <n v="6835219"/>
    <s v="Si"/>
    <s v="SI"/>
    <s v="NO"/>
    <m/>
    <n v="12285418"/>
    <s v="Si"/>
    <s v="Carla del Mar Rios Perez"/>
    <s v="Hermano / Hermana"/>
    <s v="8"/>
    <s v="Estudiante"/>
    <s v="Colegio Santa Fe"/>
    <n v="0"/>
    <s v="No"/>
    <s v=""/>
    <s v=""/>
    <s v=""/>
    <s v=""/>
    <s v=""/>
    <m/>
    <s v=""/>
    <s v=""/>
    <s v=""/>
    <s v=""/>
    <s v=""/>
    <s v=""/>
    <m/>
    <s v=""/>
    <s v=""/>
    <n v="131140000"/>
    <n v="0"/>
    <n v="0"/>
    <n v="0"/>
    <n v="0"/>
    <s v="Si"/>
    <s v="Chevrolet"/>
    <s v="2013"/>
    <n v="22000000"/>
    <s v="No"/>
    <s v=""/>
    <s v=""/>
    <n v="0"/>
    <s v="No"/>
    <s v=""/>
    <s v=""/>
    <s v=""/>
    <n v="0"/>
    <m/>
    <n v="4"/>
    <n v="4"/>
    <n v="4"/>
    <n v="4"/>
    <n v="4"/>
    <n v="4"/>
    <n v="4"/>
    <n v="4"/>
    <n v="4"/>
    <n v="4"/>
    <n v="40"/>
    <s v="SI"/>
    <m/>
    <s v="SI, SON PRI"/>
    <s v="ok tienen todos los datos"/>
    <e v="#N/A"/>
    <e v="#N/A"/>
    <m/>
    <n v="2"/>
    <n v="10"/>
    <n v="8"/>
    <n v="15"/>
    <n v="20"/>
    <n v="15"/>
    <n v="15"/>
    <n v="6.5"/>
    <n v="6.5"/>
    <n v="81.5"/>
    <n v="0.4"/>
    <m/>
    <n v="2"/>
    <n v="2.5"/>
    <n v="0"/>
    <n v="2"/>
    <n v="2"/>
    <n v="2.5"/>
    <n v="0"/>
    <n v="2"/>
    <n v="79.5"/>
    <n v="0.4"/>
    <n v="0.4"/>
    <e v="#N/A"/>
    <m/>
    <m/>
    <n v="0"/>
    <m/>
    <m/>
    <s v="Finanzas"/>
    <e v="#N/A"/>
    <s v="199"/>
    <e v="#N/A"/>
  </r>
  <r>
    <s v="CC"/>
    <n v="1067600489"/>
    <s v="1000404389"/>
    <s v="VALENTINA GARCIA OVIEDO"/>
    <s v="Estudios por primera vez"/>
    <x v="10"/>
    <s v="Descartado, pago matricula"/>
    <s v="Ya pago matricula"/>
    <s v="En publico objetivo"/>
    <s v="1er Cohorte"/>
    <s v="Activo"/>
    <s v="vgarciao2@eafit.edu.co"/>
    <e v="#N/A"/>
    <s v="valentina.garo.12@gmail.com"/>
    <s v="573234381498"/>
    <d v="2025-04-25T00:00:00"/>
    <s v="Activo en Programa"/>
    <s v="220-Literatura"/>
    <s v="Escuela de Artes y Humanidades"/>
    <d v="2007-01-13T00:00:00"/>
    <n v="18"/>
    <s v="Cesar"/>
    <s v="Valledupar"/>
    <s v="Mujer"/>
    <s v="Soltero"/>
    <s v="NO"/>
    <s v="NO"/>
    <n v="0"/>
    <s v="NO"/>
    <s v="NA"/>
    <s v="NO"/>
    <s v="NA"/>
    <s v="NO"/>
    <s v="NA"/>
    <s v="No"/>
    <s v="N.A."/>
    <s v="573234381498"/>
    <s v="Estrato 3"/>
    <s v="CR 33 #86 76 CACIQUE GOLD"/>
    <s v="Santander"/>
    <s v="Bucaramanga"/>
    <s v="No aplica, no soy foráneo"/>
    <s v="Propio"/>
    <s v="SI"/>
    <s v="2024"/>
    <s v="AC202437566599"/>
    <n v="357"/>
    <n v="67"/>
    <n v="71"/>
    <s v="Privada"/>
    <s v="Estudio formal el el COLEGIO CAMPESTRE GOYAVIER"/>
    <n v="2024"/>
    <m/>
    <s v="Floridablanca"/>
    <s v="Bachillerato"/>
    <s v="Técnico"/>
    <m/>
    <s v="11"/>
    <s v="Escala de 0 - 100"/>
    <s v="Escala de 0 - 5"/>
    <s v="4,5"/>
    <s v="4"/>
    <m/>
    <s v="4"/>
    <s v="4"/>
    <m/>
    <n v="4.5"/>
    <n v="4"/>
    <m/>
    <n v="4"/>
    <n v="4"/>
    <m/>
    <s v="5"/>
    <s v="4,5"/>
    <m/>
    <s v="4,5"/>
    <s v="4"/>
    <m/>
    <s v="4,5"/>
    <s v="4"/>
    <m/>
    <s v="De 9 y 10"/>
    <n v="4.125"/>
    <s v="NO"/>
    <s v="NA"/>
    <n v="0"/>
    <n v="0"/>
    <s v="No"/>
    <n v="50"/>
    <m/>
    <n v="50"/>
    <m/>
    <n v="50"/>
    <m/>
    <s v="Excelente candidata. Muy lectora y muy entusiasmada. Ha tenido una formación significativa en artes."/>
    <n v="50"/>
    <s v="Con detalle por componente"/>
    <s v="Artísticas o culturales,Trabajo social o comunitario"/>
    <s v="A través de la carrera de Literatura me gustaría poder ejercer y pertenecer en una empresa editorial debido a el manejo de lo libros y escritores, a la vez también me gustaría desarrollarme como escritora y a través de esta beca podría lograr además de exigirme académicamente usar mis conocimientos para guiar a otras personas que estén interesadas en este mundo literario así como lo hicieron conmigo y, mostrarles a quienes no presenten tanto interés en esto la maravilla que tiene conocer al menos un poco al respecto, mostrar como la literatura es un arte que tiene muchos caminos a seguir, esto pudiéndolo cumplir desde las prácticas de la carrera. Sabiendo también que la escritura es parte de nuestra identidad y cultura, junto con la evolución de la misma a través de todos estos años."/>
    <s v="Amigos"/>
    <s v="Por la calidad académica."/>
    <s v="Vocación."/>
    <n v="2"/>
    <s v="0"/>
    <s v="SI"/>
    <s v="NO"/>
    <s v="Entre 15 y 16 millones"/>
    <s v="No"/>
    <s v="SI"/>
    <s v="NO"/>
    <m/>
    <n v="0"/>
    <m/>
    <s v="NO"/>
    <s v=""/>
    <s v=""/>
    <s v="Si"/>
    <s v="ARMANDO RAFAEL GARCÍA HOLGUÍN"/>
    <s v="Unión marital"/>
    <s v="ESPECIALIZACIÓN"/>
    <s v="59"/>
    <s v="Médico"/>
    <s v="Empleado (con contrato laboral)"/>
    <s v="Neurólogo"/>
    <s v="Sinapsis"/>
    <n v="19000000"/>
    <s v="Si"/>
    <s v="NO"/>
    <s v="NO"/>
    <s v=""/>
    <s v="Si"/>
    <s v="TATHIANA OVIEDO ALMENDRALES"/>
    <s v="Unión marital"/>
    <s v="ESPECIALIZACIÓN"/>
    <s v="43"/>
    <s v="Enfermera"/>
    <s v="Empleado (con contrato laboral)"/>
    <s v="Profesional organismos de control"/>
    <s v="Nueva EPS"/>
    <n v="5385000"/>
    <s v="Si"/>
    <s v="NO"/>
    <s v="NO"/>
    <m/>
    <n v="24385000"/>
    <s v="No, solo vivo con mis padres"/>
    <s v=""/>
    <s v=""/>
    <s v=""/>
    <s v=""/>
    <s v=""/>
    <m/>
    <s v=""/>
    <s v=""/>
    <s v=""/>
    <s v=""/>
    <s v=""/>
    <s v=""/>
    <m/>
    <s v=""/>
    <s v=""/>
    <s v=""/>
    <s v=""/>
    <s v=""/>
    <s v=""/>
    <m/>
    <s v=""/>
    <s v=""/>
    <n v="0"/>
    <n v="172718000"/>
    <n v="0"/>
    <n v="0"/>
    <n v="0"/>
    <s v="Si"/>
    <s v="Honda"/>
    <s v="2019"/>
    <n v="120000000"/>
    <s v="No"/>
    <s v=""/>
    <s v=""/>
    <n v="0"/>
    <s v="No"/>
    <s v=""/>
    <s v=""/>
    <s v=""/>
    <n v="0"/>
    <s v="Apartamento todavía en proceso de pago mensual al igual que el carro (carro comprado usado)"/>
    <n v="3"/>
    <n v="4"/>
    <n v="3"/>
    <n v="4"/>
    <n v="3"/>
    <n v="3"/>
    <n v="3"/>
    <n v="4"/>
    <n v="3"/>
    <n v="3"/>
    <n v="33"/>
    <s v="SI"/>
    <s v="SI, TIPO IE"/>
    <s v="PRI SIN TIPO IE"/>
    <s v="pendiente tipo ie"/>
    <e v="#N/A"/>
    <e v="#N/A"/>
    <s v="SI"/>
    <n v="1"/>
    <n v="10"/>
    <n v="8"/>
    <n v="10"/>
    <n v="15"/>
    <n v="10"/>
    <n v="20"/>
    <n v="6.5"/>
    <n v="6.5"/>
    <n v="71.5"/>
    <n v="0.4"/>
    <m/>
    <n v="2"/>
    <n v="2.5"/>
    <n v="0"/>
    <n v="2"/>
    <n v="2"/>
    <n v="2.5"/>
    <n v="0"/>
    <n v="2"/>
    <n v="69.5"/>
    <n v="0.4"/>
    <s v="Negado"/>
    <e v="#N/A"/>
    <m/>
    <m/>
    <s v="SI, TIPO IE"/>
    <m/>
    <m/>
    <s v="Literatura"/>
    <e v="#N/A"/>
    <m/>
    <e v="#N/A"/>
  </r>
  <r>
    <s v="CC"/>
    <n v="1067602200"/>
    <s v="1000383089"/>
    <s v="SEBASTIAN RIOS VARGAS"/>
    <s v="Estudios por primera vez"/>
    <x v="1"/>
    <s v="Descartado por ingresos altos"/>
    <m/>
    <s v="En publico objetivo"/>
    <s v="3ra Cohorte"/>
    <s v="Admitido"/>
    <s v="sriosv4@eafit.edu.co"/>
    <s v="sriosv4@eafit.edu.co"/>
    <s v="topmon136@gmail.com"/>
    <s v="573207961916"/>
    <d v="2025-05-30T00:00:00"/>
    <s v="Activo en Programa"/>
    <s v="002-Negocios Internacionales"/>
    <s v="Escuela de Administración"/>
    <d v="2007-07-13T00:00:00"/>
    <n v="18"/>
    <s v="Colombia"/>
    <s v="Colombia"/>
    <s v="Hombre"/>
    <s v="Soltero"/>
    <s v="SI"/>
    <s v="SI"/>
    <s v="Becerril"/>
    <s v="NO"/>
    <s v="NA"/>
    <s v="NO"/>
    <s v="NA"/>
    <s v="NO"/>
    <s v="NA"/>
    <s v="No"/>
    <s v="320/796-1916"/>
    <s v="573207961916"/>
    <s v="Estrato 3"/>
    <s v="CR 24 B #40 A-SUR 52"/>
    <s v="Antioquia"/>
    <s v="Envigado"/>
    <s v="No aplica, no soy foráneo"/>
    <s v="Arriendo"/>
    <s v="SI"/>
    <s v="2024"/>
    <s v="AC202437031982"/>
    <n v="344"/>
    <n v="66"/>
    <n v="71"/>
    <s v="Pública"/>
    <s v="INSTITUCION EDUCATIVA COMERCIA"/>
    <n v="2024"/>
    <s v="Antioquia"/>
    <s v="Envigado"/>
    <s v="BACHILLER"/>
    <s v="ACAD"/>
    <s v="TIPO: Pública, INSTITUCION: INSTITUCION EDUCATIVA COMERCIA, AÑO: 2024, CIUDAD: Envigado, TITULO: BACHILLER"/>
    <s v="11"/>
    <s v="Escala de 0 - 5"/>
    <s v="Escala de 0 - 5"/>
    <s v="4,5"/>
    <s v="4"/>
    <m/>
    <s v="4,5"/>
    <s v="4,5"/>
    <m/>
    <n v="4.5"/>
    <n v="4"/>
    <m/>
    <n v="3.8"/>
    <n v="4.5"/>
    <m/>
    <s v="4,5"/>
    <s v="4,5"/>
    <m/>
    <s v="4,5"/>
    <s v="4,5"/>
    <m/>
    <s v="4,5"/>
    <s v="4"/>
    <m/>
    <s v="De 9 y 10"/>
    <n v="4.2"/>
    <s v="NO"/>
    <s v="NA"/>
    <n v="0"/>
    <n v="0"/>
    <s v="No"/>
    <n v="50"/>
    <m/>
    <n v="45"/>
    <m/>
    <n v="45"/>
    <m/>
    <m/>
    <n v="46.666666666666664"/>
    <s v="Con detalle por componente"/>
    <s v="Artísticas o culturales,Deportistas de alto rendimiento o representativo,Otras (por ejemplo, un talento extraordinario)"/>
    <s v="Me visualizo ejerciendo mi carrera en negocios internacionales siendo un puente entre Colombia y el mundo, especialmente con partes de Asia y Europa. Aspiro a crear relaciones comerciales estratégicas que impulsen la exportación de productos nacionales e incentiven la importación de tecnología que abra las puertas a avances en diversas áreas, impulsando así la de Colombia competitividad. Me interesa los avances del mercado asiático y el impacto a nivel nacional de crear relaciones solidas con empresas tecnológicas y de producción de esta región, dado así me gustaría generar alianzas con ellas, abriendo el camino a nuevas oportunidades de negocio como con Europa, trayendo inversión extranjera directa, ampliando el mercado colombiano y fortaleciendo nuestra economía._x000a__x000a_Me gustaría estar en constante investigación de tendencias globales, analizando la fluctuación de los mercados y diseñando estrategias que nos posiciones en el mercado global. Mi enfoque no estará solo en los productos conocidos de Colombia tradicionalmente como el café, las flores o las esmeraldas, sino incentivando nuestra gastronomía, zonas turísticas, arte y sectores con potencia internacional  como la ganadería y las tecnologías agrarias._x000a__x000a_A través de esta beca, podré acceder a una formación de calidad que me prepare para liderar procesos de cambio real. Mi compromiso es con las ciudades que me han formado y acogido: Medellín y Barranquilla. Quiero atraer inversión, promover empleos de calidad, fomentar el emprendimiento y posicionarlas como polos de desarrollo, comercio e innovación, ello a través de la inversión en la cultura y nuevas tecnologías ampliando las areas de trabajo de estas bellas ciudades, ello desde una correcta ejecución estratégica porque nada se hace de un día para el otro, estoy seguro que es posible transformar el paradigma económico y social de no solo estas ciudades sino de Colombia, proyectándola como un actor clave en el escenario global."/>
    <s v="Amigos"/>
    <s v="Por la calidad académica."/>
    <s v="Nivel académico de docentes."/>
    <n v="4"/>
    <s v="3"/>
    <s v="NO"/>
    <s v="NO"/>
    <s v="Entre 1 y 2 millones"/>
    <s v="No"/>
    <n v="0"/>
    <s v="NO"/>
    <m/>
    <s v="SI"/>
    <m/>
    <s v="NO"/>
    <s v=""/>
    <s v=""/>
    <s v="Si"/>
    <s v="Jose Gregorio Rios Duarte"/>
    <s v="Casado"/>
    <s v="UNIVERSITARIOS"/>
    <s v="45"/>
    <s v="ingeniero"/>
    <s v="Empleado (con contrato laboral)"/>
    <s v="ingeniero de planeacion"/>
    <s v="CHM S.A.S"/>
    <n v="5890000"/>
    <s v="No"/>
    <s v="NO"/>
    <s v="NO"/>
    <s v="no vive con nosotros, mi señor padre es respondiente economicamente de 3 familias junto a la mia, por sus 3 matrimonios que ha establecido y terminado a lo largo de su vida, su unica presencia economica es aquella establecida bajo acuerdos de cuota alimentaria con bienestar familiar, ante todo ha sido un gran padre y ha estado al tanto de mi vida."/>
    <s v="Si"/>
    <s v="Patricia Vargas Martinez"/>
    <s v="Soltero"/>
    <s v="TÉCNICA"/>
    <s v="49"/>
    <s v="Vendedora"/>
    <s v="Empleado (con contrato laboral)"/>
    <s v="preventista tienda a tienda"/>
    <s v="Distrimarcas C.A"/>
    <n v="1423500"/>
    <s v="Si"/>
    <s v="SI"/>
    <s v="NO"/>
    <s v="cabeza de familia, es responsable de todos los gastos de la casa y es una fuerza de sostenimiento para mi y mi hermano ya que siempre ha estado para nosotros en cualquier momento."/>
    <n v="7313500"/>
    <s v="Si"/>
    <s v="Ernesto David Rios Vargas"/>
    <s v="Hermano / Hermana"/>
    <s v="22"/>
    <s v="analista"/>
    <s v="Genius sports"/>
    <n v="3000000"/>
    <s v="No"/>
    <s v="Maria del Carmen Martinez Vargas"/>
    <s v="Abuelo / Abuela"/>
    <s v="73"/>
    <s v="Ama de casa"/>
    <s v="N/A"/>
    <n v="0"/>
    <s v="No"/>
    <s v=""/>
    <s v=""/>
    <s v=""/>
    <s v=""/>
    <s v=""/>
    <m/>
    <s v=""/>
    <s v="somos una familia unida, venimos desde barranquilla y la adaptacion siempre es un poco dificil pero entre el apoyo de todos ha sido un proceso mas sencillo,"/>
    <n v="0"/>
    <n v="0"/>
    <n v="0"/>
    <n v="0"/>
    <n v="0"/>
    <s v="No"/>
    <s v=""/>
    <s v=""/>
    <n v="0"/>
    <s v="No"/>
    <s v=""/>
    <s v=""/>
    <n v="0"/>
    <s v="No"/>
    <s v=""/>
    <s v=""/>
    <s v=""/>
    <n v="0"/>
    <m/>
    <n v="3"/>
    <n v="4"/>
    <n v="4"/>
    <n v="4"/>
    <n v="4"/>
    <n v="4"/>
    <n v="2"/>
    <n v="4"/>
    <n v="3"/>
    <n v="3"/>
    <n v="35"/>
    <s v="SI"/>
    <m/>
    <s v="SI, SON PRI"/>
    <s v="ok tienen todos los datos"/>
    <e v="#N/A"/>
    <e v="#N/A"/>
    <m/>
    <n v="3"/>
    <n v="10"/>
    <n v="8"/>
    <n v="10"/>
    <n v="15"/>
    <n v="15"/>
    <n v="20"/>
    <n v="13"/>
    <n v="13"/>
    <n v="83"/>
    <n v="0.4"/>
    <m/>
    <n v="3.5"/>
    <n v="4.5"/>
    <n v="1"/>
    <n v="4"/>
    <n v="3.5"/>
    <n v="4"/>
    <n v="1"/>
    <n v="4.5"/>
    <n v="81"/>
    <n v="0.4"/>
    <n v="0.5"/>
    <e v="#N/A"/>
    <m/>
    <m/>
    <n v="0"/>
    <m/>
    <m/>
    <s v="Negocios Internacionales"/>
    <e v="#N/A"/>
    <s v="002"/>
    <e v="#N/A"/>
  </r>
  <r>
    <s v="CC"/>
    <n v="1070465165"/>
    <s v="1000405267"/>
    <s v="ALAN SANTIAGO HERNANDEZ SANCHEZ"/>
    <s v="Estudios por primera vez"/>
    <x v="1"/>
    <s v="No cumple, estrato 4"/>
    <m/>
    <s v="En publico objetivo"/>
    <s v="1er Cohorte"/>
    <s v="Admitido"/>
    <s v="ashernands@eafit.edu.co"/>
    <e v="#N/A"/>
    <s v="shs1448812@gmail.com"/>
    <s v="573003711635"/>
    <d v="2025-04-25T00:00:00"/>
    <s v="Activo en Programa"/>
    <s v="084-Derecho"/>
    <s v="Escuela de Derecho"/>
    <d v="2007-01-16T00:00:00"/>
    <n v="18"/>
    <s v="Cundinamarca"/>
    <s v="Fusagasugá"/>
    <s v="Hombre"/>
    <s v="Soltero"/>
    <s v="NO"/>
    <s v="NO"/>
    <n v="0"/>
    <s v="NO"/>
    <s v="NA"/>
    <s v="NO"/>
    <s v="NA"/>
    <s v="NO"/>
    <s v="NA"/>
    <s v="No"/>
    <s v="320/427-3527"/>
    <s v="573003711635"/>
    <s v="Estrato 4"/>
    <s v="FUSAGASUGÁ TV 14 A DG 20 SAN MATEO"/>
    <s v="Cundinamarca"/>
    <s v="Fusagasugá"/>
    <s v="Si"/>
    <s v="Arriendo"/>
    <s v="SI"/>
    <s v="2024"/>
    <s v="AC202410630088"/>
    <n v="327"/>
    <n v="73"/>
    <n v="71"/>
    <s v="Privada"/>
    <s v="INSTITUTO EDUCATIVO SKOLAMOVIT"/>
    <n v="2024"/>
    <s v="Atlántico"/>
    <s v="Soledad"/>
    <s v="BACHILLER"/>
    <s v="ACAD"/>
    <s v="TIPO: Privada, INSTITUCION: INSTITUTO EDUCATIVO SKOLAMOVIT, AÑO: 2024, CIUDAD: Soledad, TITULO: BACHILLER"/>
    <s v="11"/>
    <s v="Escala de 0 - 5"/>
    <s v="Escala de 0 - 5"/>
    <s v="4,5"/>
    <s v="3,5"/>
    <m/>
    <s v="4,5"/>
    <s v="4"/>
    <m/>
    <n v="4.3"/>
    <n v="4.5"/>
    <m/>
    <n v="4.5999999999999996"/>
    <n v="3.9"/>
    <m/>
    <s v="4,2"/>
    <s v="4,6"/>
    <m/>
    <s v="4,5"/>
    <s v="4"/>
    <m/>
    <s v="4,5"/>
    <s v="4,4"/>
    <m/>
    <s v="De 9 y 10"/>
    <n v="4.3250000000000002"/>
    <s v="NO"/>
    <s v="NA"/>
    <n v="0"/>
    <n v="0"/>
    <s v="No"/>
    <n v="45"/>
    <m/>
    <n v="45"/>
    <m/>
    <n v="40"/>
    <m/>
    <s v="Candidato introvertido pero con intereses claros en la carrera"/>
    <n v="43.333333333333336"/>
    <s v="Con detalle por componente"/>
    <s v="Deportistas de alto rendimiento o representativo,Trabajo social o comunitario,Artísticas o culturales"/>
    <s v="Me visualizo ejerciendo el Derecho como abogado corporativo, acompañando y asesorando a emprendedores, pequeñas y medianas empresas para que puedan crecer dentro del marco legal. Quiero que los emprendedores vean en el Derecho una herramienta para crecer y no una barrera, y por eso mi sueño es crear una firma de asesoría jurídica especializada en negocios, donde pueda apoyar desde la formalización de emprendimientos hasta la protección de la propiedad intelectual y la solución de conflictos comerciales._x000a__x000a_Desde joven descubrí mi pasión por el emprendimiento y por generar impacto en mi comunidad. Esta experiencia me permitió identificar una necesidad clara, muchas personas con buenas ideas de negocio no logran avanzar por falta de conocimiento legal o recursos para acceder a asesoría jurídica. Como abogado, quiero brindar soluciones accesibles, éticas y eficaces a pequeños empresarios, campesinos y emprendedores que hoy no tienen acceso a servicios legales de calidad.Quiero crear una firma que combine lo jurídico con lo social, que defienda la justicia, fomente el desarrollo económico en regiones apartadas y fortalezca la cultura de legalidad entre los jóvenes emprendedores._x000a__x000a_Obtener esta beca sería fundamental para alcanzar mi propósito. Me permitiría formarme como un líder, acceder a oportunidades académicas y enfocarme plenamente en prepararme como un profesional íntegro y comprometido. Más que una ayuda financiera, esta beca representa una herramienta para transformar realidades en Fusagasugá y la región del Sumapaz, donde hay talento y ganas de salir adelante, pero también grandes desafíos."/>
    <s v="Redes sociales"/>
    <s v="Por la calidad académica."/>
    <s v="Vocación."/>
    <n v="2"/>
    <s v="1"/>
    <s v="SI"/>
    <s v="NO"/>
    <s v="Entre 3 y 4 millones"/>
    <s v="No"/>
    <s v="SI"/>
    <n v="0"/>
    <m/>
    <s v="SI"/>
    <s v="Beca"/>
    <s v="SI"/>
    <s v="INDEPENDIENTE"/>
    <s v="Independiente"/>
    <s v="Sin información"/>
    <n v="0"/>
    <m/>
    <m/>
    <m/>
    <s v=""/>
    <s v=""/>
    <m/>
    <s v=""/>
    <m/>
    <s v=""/>
    <m/>
    <m/>
    <s v="No tengo contacto con mi padre desde hace varios años"/>
    <s v="Si"/>
    <s v="Denis Adriana Sánchez Artunduaga"/>
    <s v="Soltero"/>
    <s v="UNIVERSITARIOS"/>
    <s v="49"/>
    <s v="Fisioterapeuta"/>
    <s v="Empleado (con contrato laboral)"/>
    <s v="Fisioterapeuta"/>
    <s v="SERVINSALUD IPS"/>
    <n v="3754000"/>
    <s v="Si"/>
    <s v="NO"/>
    <s v="NO"/>
    <m/>
    <n v="3754000"/>
    <s v="Si"/>
    <s v="Manuela Hernández Sánchez"/>
    <s v="Hermano / Hermana"/>
    <s v="14"/>
    <s v="Estudiante"/>
    <s v="Skolmi"/>
    <n v="0"/>
    <s v="No"/>
    <s v=""/>
    <s v=""/>
    <s v=""/>
    <s v=""/>
    <s v=""/>
    <m/>
    <s v=""/>
    <s v=""/>
    <s v=""/>
    <s v=""/>
    <s v=""/>
    <s v=""/>
    <m/>
    <s v=""/>
    <s v=""/>
    <n v="0"/>
    <n v="88000000"/>
    <n v="0"/>
    <n v="0"/>
    <n v="0"/>
    <s v="Si"/>
    <s v="Renault"/>
    <s v="2019"/>
    <n v="45000000"/>
    <s v="No"/>
    <s v=""/>
    <s v=""/>
    <n v="0"/>
    <s v="Si"/>
    <s v="Moto"/>
    <s v="Akt"/>
    <s v="2026"/>
    <n v="5500000"/>
    <s v="Mi mamá es propietaria de un apartamento que heredó de sus padres. Actualmente, en ese apartamento viven mis tíos, y está ubicado en la ciudad de Bogotá.Yo vivo con mi mamá y hermana en un apartamento en alquiler en Fusagasugá, Cundinamarca"/>
    <n v="4"/>
    <n v="4"/>
    <n v="3"/>
    <n v="4"/>
    <n v="4"/>
    <n v="4"/>
    <n v="4"/>
    <n v="3"/>
    <n v="4"/>
    <n v="4"/>
    <n v="38"/>
    <s v="SI"/>
    <m/>
    <s v="SI, SON PRI"/>
    <s v="ok tienen todos los datos"/>
    <s v="Negada"/>
    <n v="20251"/>
    <m/>
    <n v="2"/>
    <n v="4"/>
    <n v="4"/>
    <n v="5"/>
    <n v="15"/>
    <n v="15"/>
    <n v="15"/>
    <n v="15"/>
    <n v="14.5"/>
    <n v="68.5"/>
    <n v="0.4"/>
    <m/>
    <n v="2"/>
    <n v="3.5"/>
    <n v="6"/>
    <n v="3"/>
    <n v="2"/>
    <n v="3"/>
    <n v="7"/>
    <n v="3"/>
    <n v="69"/>
    <n v="0.5"/>
    <n v="0.4"/>
    <e v="#N/A"/>
    <m/>
    <m/>
    <n v="0"/>
    <m/>
    <m/>
    <s v="Derecho"/>
    <e v="#N/A"/>
    <s v="084"/>
    <e v="#N/A"/>
  </r>
  <r>
    <s v="CC"/>
    <n v="1073814071"/>
    <s v="1000380448"/>
    <s v="LIZ MARIA DURANGO PACHECO"/>
    <s v="Estudios por primera vez"/>
    <x v="1"/>
    <s v="Descartado por bajo icfes"/>
    <m/>
    <s v="En publico objetivo"/>
    <s v="1er Cohorte"/>
    <s v="Admitido"/>
    <s v="lmdurangp1@eafit.edu.co"/>
    <s v="lmdurangp1@eafit.edu.co"/>
    <s v="durangopachecol@gmail.com"/>
    <s v="573005103389"/>
    <d v="2025-04-25T00:00:00"/>
    <s v="Activo en Programa"/>
    <s v="169-Mercadeo"/>
    <s v="Escuela de Administración"/>
    <d v="2006-09-04T00:00:00"/>
    <n v="19"/>
    <s v="Córdoba"/>
    <s v="San Pelayo"/>
    <s v="Mujer"/>
    <s v="Soltero"/>
    <s v="NO"/>
    <s v="NO"/>
    <n v="0"/>
    <s v="NO"/>
    <s v="NA"/>
    <s v="NO"/>
    <s v="NA"/>
    <s v="NO"/>
    <s v="NA"/>
    <s v="No"/>
    <s v="320/780-2685"/>
    <s v="573005103389"/>
    <s v="Estrato 1"/>
    <s v="SAN PELAYO"/>
    <s v="Córdoba"/>
    <s v="San Pelayo"/>
    <s v="Si"/>
    <s v="Familiar"/>
    <s v="SI"/>
    <s v="2024"/>
    <s v="AC202433447661"/>
    <n v="304"/>
    <n v="71"/>
    <n v="58"/>
    <s v="Privada"/>
    <s v="COL NTRA SRA DEL  CARMEN"/>
    <n v="2024"/>
    <m/>
    <s v="Cereté"/>
    <s v="Bachillerato"/>
    <s v="Académico"/>
    <m/>
    <s v="11"/>
    <s v="Escala de 0 - 5"/>
    <s v="Escala de 0 - 5"/>
    <s v="4,5"/>
    <s v="4,5"/>
    <m/>
    <s v="4,5"/>
    <s v="4,5"/>
    <m/>
    <n v="4.5"/>
    <n v="4.5"/>
    <m/>
    <n v="4.5"/>
    <n v="4.5"/>
    <m/>
    <s v="4,5"/>
    <s v="5"/>
    <m/>
    <s v="4,5"/>
    <s v="4,5"/>
    <m/>
    <s v="4,5"/>
    <s v="4,5"/>
    <m/>
    <s v="De 9 y 10"/>
    <n v="4.5"/>
    <s v="NO"/>
    <s v="NA"/>
    <n v="0"/>
    <n v="0"/>
    <s v="No"/>
    <n v="35"/>
    <m/>
    <n v="35"/>
    <m/>
    <n v="35"/>
    <m/>
    <m/>
    <n v="35"/>
    <s v="Con detalle por componente"/>
    <s v="Artísticas o culturales"/>
    <s v="En un mundo cada vez más interconectado y competitivo, el mercadeo se ha consolidado como una herramienta clave no solo para crear marcas, sino para transformar comunidades enteras. En Córdoba y municipios como San Pelayo, donde las oportunidades escasean y el desarrollo económico parece estancado, yo como profesional del mercadeo puedo marcar una diferencia significativa al comprender el potencial local, conectar productos con mercados, y generar valor donde antes solo había carencia. Sin embargo, asumir la carrera de mercadeo en una región con limitaciones económicas y sociales no es tarea fácil. Implica asumir el reto de mirar más allá de la escasez y detectar fortalezas escondidas en la cultura, el talento humano, el campo y los recursos naturales, ya que un mercadólogo más allá de crear marcas, también investiga, escucha y adapta estrategias que se ajusten a las realidades del entorno. Allí donde otros solo ven necesidad, yo veo oportunidades, me visualizo ejerciendo esta profesión construyendo un entorno más equitativo, productivo y consciente, actuando con propósito y visión, permitiéndome marcar una verdadera diferencia desde cualquier lugar del mundo._x000a_Con la obtención de la beca puedo transformar mi lugar de origen convirtiéndome en ejemplo e inspiración para aquellos que creen que no tener recursos los limita a cumplir sus sueños."/>
    <s v="Redes sociales"/>
    <s v="Por la calidad académica."/>
    <s v="Vocación."/>
    <n v="2"/>
    <s v="3"/>
    <s v="NO"/>
    <s v="NO"/>
    <s v="Entre 3 y 4 millones"/>
    <s v="No"/>
    <n v="0"/>
    <s v="SI"/>
    <s v="Crédito ICETEX"/>
    <n v="0"/>
    <m/>
    <s v="NO"/>
    <s v=""/>
    <s v=""/>
    <s v="Si"/>
    <s v="Mario Roberto Durango Luna"/>
    <s v="Casado"/>
    <s v="UNIVERSITARIOS"/>
    <s v="55"/>
    <s v="Ingeniero de Sistemas"/>
    <s v="Desempleado (Se encuentra en la búsqueda activa de empleo)"/>
    <s v="No aplica"/>
    <s v="No aplica"/>
    <n v="0"/>
    <s v="Si"/>
    <s v="NO"/>
    <s v="NO"/>
    <s v="No hay"/>
    <s v="Si"/>
    <s v="Alix Elena Pacheco Pacheco"/>
    <s v="Casado"/>
    <s v="UNIVERSITARIOS"/>
    <s v="52"/>
    <s v="Licenciada en Biología y Química"/>
    <s v="Empleado (con contrato laboral)"/>
    <s v="Docente"/>
    <s v="Col Ntra Sra del Carmen"/>
    <n v="3000000"/>
    <s v="Si"/>
    <s v="NO"/>
    <s v="NO"/>
    <s v="No hay"/>
    <n v="3000000"/>
    <s v="No, solo vivo con mis padres"/>
    <s v=""/>
    <s v=""/>
    <s v=""/>
    <s v=""/>
    <s v=""/>
    <m/>
    <s v=""/>
    <s v=""/>
    <s v=""/>
    <s v=""/>
    <s v=""/>
    <s v=""/>
    <m/>
    <s v=""/>
    <s v=""/>
    <s v=""/>
    <s v=""/>
    <s v=""/>
    <s v=""/>
    <m/>
    <s v=""/>
    <s v=""/>
    <n v="0"/>
    <n v="0"/>
    <n v="0"/>
    <n v="0"/>
    <n v="0"/>
    <s v="No"/>
    <s v=""/>
    <s v=""/>
    <n v="0"/>
    <s v="No"/>
    <s v=""/>
    <s v=""/>
    <n v="0"/>
    <s v="No"/>
    <s v=""/>
    <s v=""/>
    <s v=""/>
    <n v="0"/>
    <s v="No hay"/>
    <n v="4"/>
    <n v="4"/>
    <n v="3"/>
    <n v="4"/>
    <n v="4"/>
    <n v="4"/>
    <n v="3"/>
    <n v="3"/>
    <n v="4"/>
    <n v="4"/>
    <n v="37"/>
    <s v="SI"/>
    <s v="SI, TIPO IE"/>
    <s v="PRI SIN TIPO IE"/>
    <s v="pendiente tipo ie"/>
    <e v="#N/A"/>
    <e v="#N/A"/>
    <m/>
    <n v="3"/>
    <n v="6"/>
    <n v="6"/>
    <n v="5"/>
    <n v="20"/>
    <n v="15"/>
    <n v="5"/>
    <n v="18"/>
    <n v="17.5"/>
    <n v="68.5"/>
    <n v="0.5"/>
    <m/>
    <n v="2"/>
    <n v="3.5"/>
    <n v="8"/>
    <n v="4"/>
    <n v="2"/>
    <n v="3.5"/>
    <n v="8"/>
    <n v="4.5"/>
    <n v="69"/>
    <n v="0.6"/>
    <n v="0.5"/>
    <e v="#N/A"/>
    <m/>
    <m/>
    <s v="SI, TIPO IE"/>
    <m/>
    <m/>
    <s v="Mercadeo"/>
    <e v="#N/A"/>
    <s v="169"/>
    <e v="#N/A"/>
  </r>
  <r>
    <s v="TI"/>
    <n v="1074415870"/>
    <s v="1000393318"/>
    <s v="MIGUELANGEL CRUZ CANO"/>
    <s v="Estudios por primera vez"/>
    <x v="1"/>
    <s v="Descartado por est 1 e ingresos bajos"/>
    <m/>
    <s v="En publico objetivo"/>
    <s v="3ra Cohorte"/>
    <s v="Admitido"/>
    <s v="mcruzc2@eafit.edu.co"/>
    <s v="mcruzc2@eafit.edu.co"/>
    <s v="Miguelangel.cruzcan@gmail.com"/>
    <s v="322/566-4219"/>
    <d v="2025-05-30T00:00:00"/>
    <s v="Activo en Programa"/>
    <s v="003-Economía"/>
    <s v="E.Finanzas, Economía, Gobierno"/>
    <d v="2007-09-03T00:00:00"/>
    <n v="18"/>
    <s v="Cundinamarca"/>
    <s v="Cucunubá"/>
    <s v="Hombre"/>
    <s v="Soltero"/>
    <s v="NO"/>
    <s v="NO"/>
    <n v="0"/>
    <s v="NO"/>
    <s v="NA"/>
    <s v="NO"/>
    <s v="NA"/>
    <s v="NO"/>
    <s v="NA"/>
    <s v="No"/>
    <s v="320/218-7410"/>
    <s v="322/566-4219"/>
    <s v="Estrato 1"/>
    <s v="CL 63 B CR 105 217 (URBANIZACIÓN CANTARES 2 )"/>
    <s v="Antioquia"/>
    <s v="Medellín"/>
    <s v="No aplica, no soy foráneo"/>
    <s v="Arriendo"/>
    <s v="SI"/>
    <s v="2024"/>
    <s v="AC202435840202"/>
    <n v="315"/>
    <n v="65"/>
    <n v="63"/>
    <s v="Pública"/>
    <s v="I.E. BARRIO SANTA MARGARITA"/>
    <n v="2024"/>
    <s v="Antioquia"/>
    <s v="Medellín"/>
    <s v="BACHILLER"/>
    <n v="0"/>
    <s v="TIPO: Pública, INSTITUCION: I.E. BARRIO SANTA MARGARITA, AÑO: 2024, CIUDAD: Medellín, TITULO: BACHILLER"/>
    <s v="11"/>
    <s v="Escala de 0 - 5"/>
    <s v="Escala de 0 - 5"/>
    <s v="5"/>
    <s v="5"/>
    <s v="5"/>
    <s v="5"/>
    <s v="4,5"/>
    <s v="5"/>
    <n v="5"/>
    <n v="4.4000000000000004"/>
    <n v="4"/>
    <n v="5"/>
    <n v="4.5"/>
    <n v="4"/>
    <s v="5"/>
    <s v="4,4"/>
    <s v="4"/>
    <s v="4,5"/>
    <s v="4,5"/>
    <s v="4"/>
    <s v="4,8"/>
    <s v="4,6"/>
    <s v="5"/>
    <s v="De 9, 10 y 11"/>
    <n v="4.4833333333333334"/>
    <s v="NO"/>
    <s v="NA"/>
    <n v="0"/>
    <n v="0"/>
    <s v="No"/>
    <n v="50"/>
    <m/>
    <n v="50"/>
    <m/>
    <n v="50"/>
    <m/>
    <s v="Aspirante aplicará para beca talento"/>
    <n v="50"/>
    <s v="Con detalle por componente"/>
    <s v="Espacios de liderazgo o representación social"/>
    <s v="Crecí donde los datos solo demuestran lo difícil que es salir adelante. Donde las estadísticas no son solo números lejanos, sino parte de la vida diaria de mi familia y de quienes me rodean. Fue allí donde empezaron a surgir grandes preguntas: ¿por qué hay lugares que avanzan más que otros?, ¿por qué funcionan así las cosas? Es en este punto donde la economía se volvió en mí esa gran herramienta que me permitiría encontrar respuestas y construir soluciones. Siento que la economía es una gran herramienta que va mucho más allá de simples datos; sino que es ese puente que conecta los números con el diario vivir de aquellas personas que enfrentan desafíos diarios para poder salir adelante._x000a__x000a_Me veo trabajando en economía con la idea clara de entender lo que pasa en mi región y ayudar a cambiarlo. No quiero quedarme en números o teorías que no hablan de lo que viven las personas todos los días. Quiero que lo que haga refleje la realidad de mi comunidad, donde los recursos son limitados y las oportunidades escasas, y aporte para que más gente pueda acceder a mejores condiciones y mejorar su vida._x000a__x000a_La beca TALENTO para mí es una gran oportunidad para aprender más y mejor, para estar listo a la hora de buscar soluciones que realmente sirvan. Con ese apoyo podré aprender cómo crear ideas y proyectos que ayuden a que mi región crezca de manera justa, que las desigualdades que se sienten en cada barrio se reduzcan poco a poco, y que el desarrollo beneficie a todos._x000a__x000a_Para mí, la economía no es solo números, sino una herramienta para transformar vidas. Con esta beca y lo que aprenda, quiero impulsar a mi región a superar sus dificultades y construir un futuro mejor para todos."/>
    <s v="A través del Colegio"/>
    <s v="Universidad reconocida."/>
    <s v="Vocación."/>
    <n v="3"/>
    <s v="1"/>
    <s v="SI"/>
    <s v="NO"/>
    <s v="Entre 1 y 2 millones"/>
    <s v="No"/>
    <n v="0"/>
    <n v="0"/>
    <m/>
    <s v="SI"/>
    <s v="Beca"/>
    <s v="NO"/>
    <s v=""/>
    <s v=""/>
    <s v="Si"/>
    <s v="Flavio Antonio Cruz Beltrán"/>
    <s v="Unión marital"/>
    <s v="BACHILLERATO"/>
    <s v="41"/>
    <s v="Vigilante"/>
    <s v="Empleado (con contrato laboral)"/>
    <s v="Vigilancia Privada"/>
    <s v="SEGURIDAD DE COLOMBIA ANTIOQUIA LTDA"/>
    <n v="1533647"/>
    <s v="Si"/>
    <s v="SI"/>
    <s v="SI"/>
    <s v="Mi padre es el único que aporta ingresos al hogar, cubriendo arriendo, servicios y alimentación."/>
    <s v="Si"/>
    <s v="Viviana Patricia Cano Rotavista"/>
    <s v="Unión marital"/>
    <s v="TÉCNICA"/>
    <s v="43"/>
    <s v="ama de casa"/>
    <s v="Labores del hogar y cuidado"/>
    <s v="Cuidado del hogar y la familia"/>
    <s v="NO APLICA"/>
    <n v="0"/>
    <s v="Si"/>
    <s v="NO"/>
    <s v="NO"/>
    <s v="Mi madre es ama de casa y se encarga del cuidado del hogar y la familia."/>
    <n v="1533647"/>
    <s v="Si"/>
    <s v="María Sofía Cruz Cano"/>
    <s v="Hermano / Hermana"/>
    <s v="13"/>
    <s v="Estudiante"/>
    <s v="INSTITUCIÓN EDUCATIVA BARRIO SANTA MARGARITA"/>
    <n v="0"/>
    <s v="No"/>
    <s v=""/>
    <s v=""/>
    <s v=""/>
    <s v=""/>
    <s v=""/>
    <m/>
    <s v=""/>
    <s v=""/>
    <s v=""/>
    <s v=""/>
    <s v=""/>
    <s v=""/>
    <m/>
    <s v=""/>
    <s v=""/>
    <n v="0"/>
    <n v="0"/>
    <n v="0"/>
    <n v="0"/>
    <n v="0"/>
    <s v="No"/>
    <s v=""/>
    <s v=""/>
    <n v="0"/>
    <s v="No"/>
    <s v=""/>
    <s v=""/>
    <n v="0"/>
    <s v="No"/>
    <s v=""/>
    <s v=""/>
    <s v=""/>
    <n v="0"/>
    <s v="Mi familia no posee ningún tipo de bien ni vehículo."/>
    <n v="4"/>
    <n v="3"/>
    <n v="3"/>
    <n v="4"/>
    <n v="4"/>
    <n v="3"/>
    <n v="4"/>
    <n v="4"/>
    <n v="3"/>
    <n v="4"/>
    <n v="36"/>
    <s v="SI"/>
    <m/>
    <s v="SI, SON PRI"/>
    <s v="ok tienen todos los datos"/>
    <s v="Negada"/>
    <n v="20251"/>
    <m/>
    <n v="2"/>
    <n v="6"/>
    <n v="6"/>
    <n v="5"/>
    <n v="15"/>
    <n v="15"/>
    <n v="20"/>
    <n v="20"/>
    <n v="20"/>
    <n v="81"/>
    <s v="80 - 100%"/>
    <m/>
    <n v="3.5"/>
    <n v="4.5"/>
    <n v="8"/>
    <n v="4"/>
    <n v="3.5"/>
    <n v="4"/>
    <n v="8"/>
    <n v="4.5"/>
    <n v="81"/>
    <s v="80 - 100%"/>
    <n v="1"/>
    <e v="#N/A"/>
    <m/>
    <m/>
    <n v="0"/>
    <m/>
    <m/>
    <s v="Economía"/>
    <e v="#N/A"/>
    <s v="003"/>
    <e v="#N/A"/>
  </r>
  <r>
    <s v="TI"/>
    <n v="1078000583"/>
    <s v="1000380694"/>
    <s v="LUISA FERNANDA GIRALDO HERNANDEZ"/>
    <s v="Estudios por primera vez"/>
    <x v="1"/>
    <s v="Descartado por ingresos altos"/>
    <m/>
    <s v="En publico objetivo"/>
    <s v="2da Cohorte"/>
    <s v="Admitido"/>
    <s v="lfgiraldoh@eafit.edu.co"/>
    <s v="lfgiraldoh@eafit.edu.co"/>
    <s v="luisa.giraldoh28@gmail.com"/>
    <s v="573158553265"/>
    <d v="2025-05-16T00:00:00"/>
    <s v="Activo en Programa"/>
    <s v="084-Derecho"/>
    <s v="Escuela de Derecho"/>
    <d v="2007-09-28T00:00:00"/>
    <n v="18"/>
    <s v="Chocó"/>
    <s v="Quibdó"/>
    <s v="Mujer"/>
    <s v="Soltero"/>
    <s v="SI"/>
    <s v="NO"/>
    <n v="0"/>
    <s v="NO"/>
    <s v="NA"/>
    <s v="SI"/>
    <s v="Afrocolombianos"/>
    <s v="NO"/>
    <s v="NA"/>
    <s v="No"/>
    <s v="315/855-3265"/>
    <s v="573158553265"/>
    <s v="Estrato 1"/>
    <s v="CL 47 #29 47"/>
    <s v="Antioquia"/>
    <s v="Medellín"/>
    <s v="No"/>
    <s v="Familiar"/>
    <s v="SI"/>
    <s v="2024"/>
    <s v="AC202433700853"/>
    <n v="327"/>
    <n v="62"/>
    <n v="72"/>
    <s v="Pública"/>
    <s v="IE FEM DE ENSEÑANZA MEDIA"/>
    <n v="2024"/>
    <s v="Chocó"/>
    <s v="Quibdó"/>
    <s v="BACHILLER"/>
    <n v="0"/>
    <s v="TIPO: Pública, INSTITUCION: IE FEM DE ENSEÑANZA MEDIA, AÑO: 2024, CIUDAD: Quibdó, TITULO: BACHILLER"/>
    <s v="11"/>
    <s v="Escala de 0 - 5"/>
    <s v="Escala de 0 - 5"/>
    <s v="3,9"/>
    <s v="4"/>
    <m/>
    <s v="4"/>
    <s v="44"/>
    <m/>
    <n v="3.9"/>
    <n v="3.9"/>
    <m/>
    <n v="4.5999999999999996"/>
    <n v="4.4000000000000004"/>
    <m/>
    <s v="5"/>
    <s v="4,5"/>
    <m/>
    <s v="4,5"/>
    <s v="4,5"/>
    <m/>
    <s v="4,5"/>
    <s v="3,9"/>
    <m/>
    <s v="De 9 y 10"/>
    <n v="4.1999999999999993"/>
    <s v="NO"/>
    <s v="NA"/>
    <n v="0"/>
    <n v="0"/>
    <s v="No"/>
    <n v="40"/>
    <m/>
    <n v="40"/>
    <m/>
    <n v="45"/>
    <m/>
    <m/>
    <n v="41.666666666666664"/>
    <s v="Con detalle por componente"/>
    <s v="Artísticas o culturales,Espacios de liderazgo o representación social,Trabajo social o comunitario"/>
    <s v="En un futuro me visualizo como una abogada que no solamente tiene el conocimiento sobre las leyes, sino también como aplicarlas, con valores  cuyo principal objetivo es defender los derechos fundamentales de las personas, especialmente de mi comunidad (Quibdó-Chocó), la cual tiene un alto índice de desigualdad e inseguridad social y de esta forma retornar en parte todo lo que me ha entregado la región que me vio nacer y que a pesar de las dificultades me dio la oportunidad de desarrollarme como persona._x000a_Espero poder ser promotora de la justicia en mi departamento. ¿Qué mejor manera de contribuir al cambio que adquiriendo el conocimiento y las habilidades necesarias para promover la justicia y defender los derechos de los demás?"/>
    <s v="Amigos"/>
    <s v="Universidad reconocida."/>
    <s v="Recomendación."/>
    <n v="4"/>
    <s v="1"/>
    <s v="SI"/>
    <s v="NO"/>
    <s v="Entre 1 y 2 millones"/>
    <s v="No"/>
    <n v="0"/>
    <n v="0"/>
    <m/>
    <s v="SI"/>
    <m/>
    <s v="NO"/>
    <s v=""/>
    <s v=""/>
    <s v="Si"/>
    <s v="Ramiro Edilson Giraldo Alvarez"/>
    <s v="Soltero"/>
    <s v="TÉCNICA"/>
    <s v="39"/>
    <s v="Investigador"/>
    <s v="Empleado (con contrato laboral)"/>
    <s v="Investigador"/>
    <s v="Fiscalía"/>
    <n v="5412122"/>
    <s v="No"/>
    <s v="NO"/>
    <s v="NO"/>
    <s v="No convivo con mi padre desde los 9 años."/>
    <s v="Si"/>
    <s v="Viviana Andrea Hernandez Mazo"/>
    <s v="Unión marital"/>
    <s v="TÉCNICA"/>
    <s v="40"/>
    <s v="Administradora"/>
    <s v="Empleado (con contrato laboral)"/>
    <s v="Adiministradora"/>
    <s v="Supermercado Asturias."/>
    <n v="4700000"/>
    <s v="Si"/>
    <s v="SI"/>
    <s v="NO"/>
    <m/>
    <n v="10112122"/>
    <s v="Si"/>
    <s v="Juan Camilo Torres Hernandez"/>
    <s v="Hermano / Hermana"/>
    <s v="23"/>
    <s v="Empleado/Estudiante"/>
    <s v="Surtizora/UniRemington"/>
    <n v="1500000"/>
    <s v="No"/>
    <s v="Debora Esther Mazo Londoño"/>
    <s v="Abuelo / Abuela"/>
    <s v="59"/>
    <s v="Ama de casa"/>
    <s v=""/>
    <m/>
    <s v="No"/>
    <s v=""/>
    <s v=""/>
    <s v=""/>
    <s v=""/>
    <s v=""/>
    <m/>
    <s v=""/>
    <s v=""/>
    <n v="50000000"/>
    <n v="0"/>
    <n v="0"/>
    <n v="0"/>
    <n v="0"/>
    <s v="No"/>
    <s v=""/>
    <s v=""/>
    <n v="0"/>
    <s v="No"/>
    <s v=""/>
    <s v=""/>
    <n v="0"/>
    <s v="Si"/>
    <s v="Moto"/>
    <s v="yamaha"/>
    <s v="2018"/>
    <n v="6000000"/>
    <m/>
    <n v="4"/>
    <n v="4"/>
    <n v="4"/>
    <n v="4"/>
    <n v="4"/>
    <n v="4"/>
    <n v="4"/>
    <n v="4"/>
    <n v="4"/>
    <n v="4"/>
    <n v="40"/>
    <s v="SI"/>
    <m/>
    <s v="SI, SON PRI"/>
    <s v="ok tienen todos los datos"/>
    <s v="Negada"/>
    <n v="20251"/>
    <m/>
    <n v="2"/>
    <n v="6"/>
    <n v="6"/>
    <n v="5"/>
    <n v="15"/>
    <n v="15"/>
    <n v="10"/>
    <n v="10"/>
    <n v="10"/>
    <n v="61"/>
    <n v="0.4"/>
    <m/>
    <n v="3.5"/>
    <n v="3.5"/>
    <n v="0"/>
    <n v="3"/>
    <n v="3.5"/>
    <n v="3.5"/>
    <n v="0"/>
    <n v="3"/>
    <n v="61"/>
    <n v="0.4"/>
    <n v="0.4"/>
    <e v="#N/A"/>
    <m/>
    <m/>
    <n v="0"/>
    <m/>
    <m/>
    <s v="Derecho"/>
    <e v="#N/A"/>
    <s v="084"/>
    <e v="#N/A"/>
  </r>
  <r>
    <s v="TI"/>
    <n v="1078002082"/>
    <s v="1000379468"/>
    <s v="ADRIAN FELIPE CALDERON CAÑIZALES"/>
    <s v="Estudios por primera vez"/>
    <x v="1"/>
    <s v="Descartado por ingresos altos"/>
    <m/>
    <s v="En publico objetivo"/>
    <s v="2da Cohorte"/>
    <s v="Admitido"/>
    <s v="afcalderc1@eafit.edu.co"/>
    <s v="afcalderc1@eafit.edu.co"/>
    <s v="calderonadrian1609@gmail.com"/>
    <s v="573147466220"/>
    <d v="2025-05-16T00:00:00"/>
    <s v="Activo en Programa"/>
    <s v="003-Economía"/>
    <s v="E.Finanzas, Economía, Gobierno"/>
    <d v="2008-09-16T00:00:00"/>
    <n v="17"/>
    <s v="Chocó"/>
    <s v="Quibdó"/>
    <s v="Hombre"/>
    <s v="Soltero"/>
    <s v="NO"/>
    <s v="NO"/>
    <n v="0"/>
    <s v="NO"/>
    <s v="NA"/>
    <s v="NO"/>
    <s v="NA"/>
    <s v="NO"/>
    <s v="NA"/>
    <s v="No"/>
    <s v="314/746-6220"/>
    <s v="573147466220"/>
    <s v="Estrato 1"/>
    <s v="BRR SANTA RITA SECTOR ACUEDUCTO"/>
    <s v="Chocó"/>
    <s v="Condoto"/>
    <s v="Si"/>
    <s v="Familiar"/>
    <s v="SI"/>
    <s v="2024"/>
    <s v="AC202435702154"/>
    <n v="381"/>
    <n v="79"/>
    <n v="81"/>
    <s v="Pública"/>
    <s v="IE NORMAL SUP SAN PIO X"/>
    <n v="2024"/>
    <s v="Chocó"/>
    <s v="Istmina"/>
    <s v="BACHILLER"/>
    <s v="NORM"/>
    <s v="TIPO: Pública, INSTITUCION: IE NORMAL SUP SAN PIO X, AÑO: 2024, CIUDAD: Istmina, TITULO: BACHILLER"/>
    <s v="11"/>
    <s v="Escala de 0 - 5"/>
    <s v="Escala de 0 - 5"/>
    <s v="3,9"/>
    <s v="4,9"/>
    <m/>
    <s v="3,9"/>
    <s v="4,4"/>
    <m/>
    <n v="3.9"/>
    <n v="4.5999999999999996"/>
    <m/>
    <n v="3.8"/>
    <n v="3.8"/>
    <m/>
    <s v="3,7"/>
    <s v="3,7"/>
    <m/>
    <s v="4,5"/>
    <s v="4,2"/>
    <m/>
    <s v="4,1"/>
    <s v="4,1"/>
    <m/>
    <s v="De 9 y 10"/>
    <n v="4.0250000000000004"/>
    <s v="NO"/>
    <s v="NA"/>
    <n v="0"/>
    <n v="0"/>
    <s v="No"/>
    <n v="45"/>
    <m/>
    <n v="45"/>
    <m/>
    <n v="50"/>
    <m/>
    <s v="Aspirante que vive en Condoto Chocó, muy buen desempeño en la entrevista"/>
    <n v="46.666666666666664"/>
    <s v="Con detalle por componente"/>
    <s v="Deportistas de alto rendimiento o representativo"/>
    <s v="Cordial saludo, mi nombre es Adrián Felipe Calderón Cañizales Nací y crecí en una población del departamento del Chocó llamado Condoto, un lugar lleno de riqueza natural y cultural, pero también de desigualdad, abandono y muchas barreras para salir adelante. Desde pequeño he visto a mi familia y a mi comunidad esforzarse cada día sin acceso a oportunidades reales, muchas veces sin saber cómo administrar su dinero o cómo hacer que lo poco que tienen crezca. Eso me marcó. Soy un joven de 16 años, y me veo como un economista con un enfoque financiero y de desarrollo sostenible, combinando el análisis de mercados con el cuidado de nuestra tierra. En EAFIT quiero estudiar finanzas y mercados para aprender a evaluar inversiones y crear mecanismos de ahorro e inversión que beneficien a mi región. Hoy, la economía de mi región está demasiado centrada en la minería informal, lo que ha traído pobreza, corrupción y una fuerte deforestación. Gracias a la beca, podré formarme para diseñar proyectos productivos a mayor escala, diversificar la producción local y conectarla con mercados nacionales e internacionales. También quiero impulsar nuevas formas de generar ingresos que respeten y valoren la riqueza natural que tenemos._x000a_He visto cómo muchas familias luchar cada mes para cubrir lo básico, no por falta de esfuerzo, sino por falta de herramientas: no saben cómo organizar sus ingresos, ahorrar para emergencias o acceder a un crédito justo. Eso me duele y, al mismo tiempo, me motiva. Después de graduarme y ganar algo de experiencia, quiero volver a mi territorio para fundar una asesoría financiera comunitaria. Allí, jóvenes y emprendedores podrán aprender a manejar su dinero, planear inversiones y acceder a microcréditos de bajo interés, fortaleciendo así la economía desde lo local, desde la gente. Confiando en mis capacidades, mis deseos de superación profesionales y con la ayuda de esta beca en EAFIT, tendré la oportunidad real de convertir estas ideas en acciones y devolverle a mi región el impulso que merece. Gracias"/>
    <s v="Página WEB"/>
    <s v="Proyección laboral."/>
    <s v="Vocación."/>
    <n v="1"/>
    <s v="2"/>
    <s v="SI"/>
    <s v="NO"/>
    <s v="Entre 1 y 2 millones"/>
    <s v="No"/>
    <n v="0"/>
    <n v="0"/>
    <m/>
    <s v="SI"/>
    <s v="Beca"/>
    <s v="NO"/>
    <s v=""/>
    <s v=""/>
    <s v="Si"/>
    <s v="JOSE EDINSON CALDERON MATURANA"/>
    <s v="Casado"/>
    <s v="UNIVERSITARIOS"/>
    <s v="47"/>
    <s v="INGENIERO AGROFORESTAL"/>
    <s v="Otra"/>
    <s v="LIDER DE SOSTENIBILIDAD"/>
    <s v="AGENCIA PARA LA REINCORPORACION Y NORMALIZACION"/>
    <n v="4500000"/>
    <s v="No"/>
    <s v="SI"/>
    <s v="SI"/>
    <s v="NA"/>
    <s v="Si"/>
    <s v="YESENIA CAÑIZALES MOSQUERA"/>
    <s v="Casado"/>
    <s v="UNIVERSITARIOS"/>
    <s v="45"/>
    <s v="INGENIERA COMERCIAL"/>
    <s v="CONTRATO PRESTACION DE SERVICIOS"/>
    <s v="CONTRATO DE PRESTACION DE SERVICIOS"/>
    <s v="ALCALDIA MUNICIPAL DE CONDOTO"/>
    <n v="3000000"/>
    <s v="Si"/>
    <s v="NO"/>
    <s v="SI"/>
    <s v="NA"/>
    <n v="7500000"/>
    <s v="No, solo vivo con mis padres"/>
    <s v=""/>
    <s v=""/>
    <s v=""/>
    <s v=""/>
    <s v=""/>
    <m/>
    <s v=""/>
    <s v=""/>
    <s v=""/>
    <s v=""/>
    <s v=""/>
    <s v=""/>
    <m/>
    <s v=""/>
    <s v=""/>
    <s v=""/>
    <s v=""/>
    <s v=""/>
    <s v=""/>
    <m/>
    <s v=""/>
    <s v=""/>
    <n v="28432000"/>
    <n v="0"/>
    <n v="0"/>
    <n v="0"/>
    <n v="0"/>
    <s v="No"/>
    <s v=""/>
    <s v=""/>
    <n v="0"/>
    <s v="No"/>
    <s v=""/>
    <s v=""/>
    <n v="0"/>
    <s v="Si"/>
    <s v="Moto"/>
    <s v="BEWIS"/>
    <s v="2015"/>
    <n v="5000000"/>
    <s v="NA"/>
    <n v="4"/>
    <n v="3"/>
    <n v="3"/>
    <n v="4"/>
    <n v="4"/>
    <n v="4"/>
    <n v="4"/>
    <n v="3"/>
    <n v="3"/>
    <n v="4"/>
    <n v="36"/>
    <s v="SI"/>
    <m/>
    <s v="SI, SON PRI"/>
    <s v="ok tienen todos los datos"/>
    <e v="#N/A"/>
    <e v="#N/A"/>
    <m/>
    <n v="2"/>
    <n v="6"/>
    <n v="6"/>
    <n v="15"/>
    <n v="15"/>
    <n v="15"/>
    <n v="20"/>
    <n v="12.5"/>
    <n v="11"/>
    <n v="82"/>
    <n v="0.4"/>
    <m/>
    <n v="3.5"/>
    <n v="3.5"/>
    <n v="1"/>
    <n v="3"/>
    <n v="3.5"/>
    <n v="3.5"/>
    <n v="1"/>
    <n v="4.5"/>
    <n v="83.5"/>
    <n v="0.4"/>
    <n v="0.5"/>
    <e v="#N/A"/>
    <m/>
    <m/>
    <n v="0"/>
    <m/>
    <m/>
    <s v="Economía"/>
    <e v="#N/A"/>
    <s v="003"/>
    <e v="#N/A"/>
  </r>
  <r>
    <s v="CC"/>
    <n v="1078458342"/>
    <s v="1000403147"/>
    <s v="ALEX MARIANA IBARGUEN RUMPF"/>
    <s v="Transferencia Externa"/>
    <x v="1"/>
    <s v="No cumple, puntaje ICFES menor a 300"/>
    <m/>
    <s v="En publico objetivo"/>
    <s v="3ra Cohorte"/>
    <s v="Admitido"/>
    <s v="amibarguer@eafit.edu.co"/>
    <s v="amibarguer@eafit.edu.co"/>
    <s v="marianarumpf06@gmail.com"/>
    <s v="573125354146"/>
    <d v="2025-05-30T00:00:00"/>
    <s v="Activo en Programa"/>
    <s v="169-Mercadeo"/>
    <s v="Escuela de Administración"/>
    <d v="2006-09-28T00:00:00"/>
    <n v="19"/>
    <s v="Chocó"/>
    <s v="Quibdó"/>
    <s v="Mujer"/>
    <s v="Soltero"/>
    <s v="NO"/>
    <s v="NO"/>
    <n v="0"/>
    <s v="NO"/>
    <s v="NA"/>
    <s v="SI"/>
    <s v="Afrocolombianos"/>
    <s v="SI"/>
    <s v="Afrocolombianos"/>
    <s v="No"/>
    <s v="312/535-4146"/>
    <s v="573125354146"/>
    <s v="Estrato 3"/>
    <s v="BOGOTÁ DC"/>
    <s v="Bogotá"/>
    <s v="Bogotá D.C."/>
    <s v="Si"/>
    <s v="Arriendo"/>
    <s v="SI"/>
    <s v="2023"/>
    <s v="AC202341898170"/>
    <n v="271"/>
    <n v="57"/>
    <n v="65"/>
    <s v="Pública"/>
    <s v="IE FEM DE ENSEÑANZA MEDIA"/>
    <n v="2023"/>
    <s v="Chocó"/>
    <s v="Quibdó"/>
    <s v="BACHILLER"/>
    <s v="TECN"/>
    <s v="TIPO: Pública, INSTITUCION: IE FEM DE ENSEÑANZA MEDIA, AÑO: 2023, CIUDAD: Quibdó, TITULO: BACHILLER"/>
    <n v="0"/>
    <n v="0"/>
    <s v="PCA TEX"/>
    <m/>
    <m/>
    <m/>
    <m/>
    <m/>
    <m/>
    <m/>
    <m/>
    <m/>
    <m/>
    <m/>
    <m/>
    <m/>
    <m/>
    <m/>
    <m/>
    <m/>
    <m/>
    <m/>
    <m/>
    <m/>
    <s v="Ver PCA TEX"/>
    <n v="3.9"/>
    <s v="SI"/>
    <s v="TIPO: Privada, INSTITUCION: UNIVERSIDAD DE LA SABANA, AÑO: 0, CIUDAD: Chía, TITULO: ADMINISTRADOR  DE  MERCADEO Y LOGISTICA INTERNACIONALES (Chía)"/>
    <s v="PREGRADO"/>
    <s v=" TITULO: ADMINISTRADOR  DE  MERCADEO Y LOGISTICA INTERNACIONALES (Chía)"/>
    <s v="No"/>
    <n v="50"/>
    <m/>
    <n v="50"/>
    <m/>
    <n v="50"/>
    <m/>
    <m/>
    <n v="50"/>
    <s v="Con detalle por componente"/>
    <s v="Artísticas o culturales,Deportistas de alto rendimiento o representativo,Espacios de liderazgo o representación social"/>
    <s v="Durante los últimos 3 años he iniciado a cumplir pequeños pasos necesarios para lograr mi proyecto de vida y dentro de esos pasos necesarios esta el mercadeo, a mi me apasiona como un pequeño detalle puede influir en una gran decisión y como actúa la mente del ser humano frente a tan pequeños estímulos como por ejemplo la campaña de Kit Kat en Asia usando olores y objetos visuales permitiéndole ser tan exitosa marca, pero no solo me quedo con eso si no también como desde el mercadeo se pueden transformar vidas o una región, yo soy de Quibdó Chocó, lugar que me vio crecer y al que le debo mucho, la región del pacifico es una región llena de biodiversidad, cultura y tradición, temas importantes que deberían ser más tratados, por eso, durante o al finalizar mi carrera tengo como propósito convertir al departamento del Chocó en una potencia turística Colombiana, incorporando factores importantes como el &quot;Gastroturismo&quot; a través de proyectos de marketing logrando posicionar al departamento como gran exportador e importador de turismo biodiverso."/>
    <s v="Redes sociales"/>
    <s v="Proyección laboral."/>
    <s v="Vocación."/>
    <n v="4"/>
    <s v="4"/>
    <s v="NO"/>
    <s v="NO"/>
    <s v="Entre 1 y 2 millones"/>
    <s v="No"/>
    <s v="SI"/>
    <n v="0"/>
    <m/>
    <s v="SI"/>
    <m/>
    <s v="NO"/>
    <s v=""/>
    <s v=""/>
    <s v="Si"/>
    <s v="Alexander Ibarguen Lozano"/>
    <s v="Casado"/>
    <s v="UNIVERSITARIOS"/>
    <s v="56"/>
    <s v="Administrador publico"/>
    <s v="Empleado (con contrato laboral)"/>
    <s v="Escribiente circuito"/>
    <s v="Rama Judicial"/>
    <n v="5598919"/>
    <s v="Si"/>
    <s v="NO"/>
    <s v="NO"/>
    <s v=""/>
    <s v="Si"/>
    <s v="Gloria Maria Rumpf Sanchez"/>
    <s v="Casado"/>
    <s v="ESPECIALIZACIÓN"/>
    <s v="60"/>
    <s v="Psicologa"/>
    <s v="Empleado (con contrato laboral)"/>
    <s v="Técnico administrativo"/>
    <s v="Gobernación del Chocó"/>
    <n v="4071006"/>
    <s v="Si"/>
    <s v="NO"/>
    <s v="NO"/>
    <m/>
    <n v="9669925"/>
    <s v="Si"/>
    <s v="Carmen Sanchez de Rumpf"/>
    <s v="Abuelo / Abuela"/>
    <s v="90"/>
    <s v="no aplica"/>
    <s v="No aplica"/>
    <n v="0"/>
    <s v="No"/>
    <s v="Sara Alejandra Ibarguen Rumpf"/>
    <s v="Hermano / Hermana"/>
    <s v="16"/>
    <s v="Estudiante de secundaria 10°"/>
    <s v="Institución Educativa Femenina de enseñanzas Media"/>
    <n v="0"/>
    <s v="No"/>
    <s v=""/>
    <s v=""/>
    <s v=""/>
    <s v=""/>
    <s v=""/>
    <m/>
    <s v=""/>
    <s v=""/>
    <n v="170000000"/>
    <n v="0"/>
    <n v="0"/>
    <n v="0"/>
    <n v="0"/>
    <s v="No"/>
    <s v=""/>
    <s v=""/>
    <n v="0"/>
    <s v="No"/>
    <s v=""/>
    <s v=""/>
    <n v="0"/>
    <s v="Si"/>
    <s v="Moto"/>
    <s v="Suzuki"/>
    <s v="125"/>
    <n v="9990000"/>
    <m/>
    <n v="4"/>
    <n v="4"/>
    <n v="3"/>
    <n v="4"/>
    <n v="3"/>
    <n v="3"/>
    <n v="4"/>
    <n v="4"/>
    <n v="4"/>
    <n v="4"/>
    <n v="37"/>
    <s v="SI"/>
    <m/>
    <s v="SI, SON TEX, EN LUGAR DE NOTAS TIENEN PCA"/>
    <s v="ok tienen todos los datos"/>
    <e v="#N/A"/>
    <e v="#N/A"/>
    <m/>
    <n v="3"/>
    <n v="10"/>
    <n v="8"/>
    <n v="0"/>
    <n v="10"/>
    <n v="15"/>
    <n v="20"/>
    <n v="9.5"/>
    <n v="10"/>
    <n v="65"/>
    <n v="0.4"/>
    <m/>
    <n v="3.5"/>
    <n v="3.5"/>
    <n v="1"/>
    <n v="2"/>
    <n v="3.5"/>
    <n v="3"/>
    <n v="1"/>
    <n v="2"/>
    <n v="62.5"/>
    <n v="0.4"/>
    <n v="0.4"/>
    <e v="#N/A"/>
    <m/>
    <m/>
    <n v="0"/>
    <m/>
    <m/>
    <s v="Mercadeo"/>
    <e v="#N/A"/>
    <s v="169"/>
    <e v="#N/A"/>
  </r>
  <r>
    <s v="TI"/>
    <n v="1078459136"/>
    <s v="1000381663"/>
    <s v="ILIANA LICETH GOMEZ SALAZAR"/>
    <s v="Estudios por primera vez"/>
    <x v="2"/>
    <s v="No cumple, puntaje ICFES menor a 300"/>
    <s v="Ya pago matricula"/>
    <s v="En publico objetivo"/>
    <s v="3ra Cohorte"/>
    <s v="Admitido"/>
    <s v="ilgomezs@eafit.edu.co"/>
    <s v="ilgomezs@eafit.edu.co"/>
    <s v="ilianagom13@gmail.com"/>
    <s v="316/660-7382"/>
    <d v="2025-05-30T00:00:00"/>
    <s v="Activo en Programa"/>
    <s v="084-Derecho"/>
    <s v="Escuela de Derecho"/>
    <d v="2007-09-07T00:00:00"/>
    <n v="18"/>
    <s v="Chocó"/>
    <s v="Quibdó"/>
    <s v="Mujer"/>
    <s v="Soltero"/>
    <s v="NO"/>
    <s v="NO"/>
    <n v="0"/>
    <s v="SI"/>
    <s v="Visión"/>
    <s v="SI"/>
    <s v="Afrocolombianos"/>
    <s v="SI"/>
    <s v="Afrocolombianos"/>
    <s v="No"/>
    <s v="316/478-1746"/>
    <s v="316/660-7382"/>
    <s v="Estrato 2"/>
    <s v="CR 8 15 66"/>
    <s v="Chocó"/>
    <s v="Quibdó"/>
    <s v="Si"/>
    <s v="Propio"/>
    <s v="SI"/>
    <s v="2025"/>
    <s v="AC202510343178"/>
    <n v="271"/>
    <n v="57"/>
    <n v="49"/>
    <s v="Pública"/>
    <s v="IE TECNICA INTEGRADO CARRASQUI"/>
    <n v="2024"/>
    <s v="Chocó"/>
    <s v="Quibdó"/>
    <s v="BACHILLER"/>
    <s v="ACAD"/>
    <s v="TIPO: Pública, INSTITUCION: IE TECNICA INTEGRADO CARRASQUI, AÑO: 2024, CIUDAD: Quibdó, TITULO: BACHILLER"/>
    <s v="11"/>
    <s v="Escala de 0 - 5"/>
    <s v="Escala de 0 - 5"/>
    <s v="4,5"/>
    <s v="5"/>
    <m/>
    <s v="4,5"/>
    <s v="4"/>
    <m/>
    <n v="3.7"/>
    <n v="3"/>
    <m/>
    <n v="4"/>
    <n v="4"/>
    <m/>
    <s v="4,5"/>
    <s v="4"/>
    <m/>
    <s v="4,5"/>
    <s v="4"/>
    <m/>
    <s v="4,5"/>
    <s v="5"/>
    <m/>
    <s v="De 9 y 10"/>
    <n v="3.6749999999999998"/>
    <s v="NO"/>
    <s v="NA"/>
    <n v="0"/>
    <n v="0"/>
    <s v="No"/>
    <n v="45"/>
    <m/>
    <n v="50"/>
    <m/>
    <n v="50"/>
    <m/>
    <s v="Recomiendo admisión. Excelente candidata"/>
    <n v="48.333333333333336"/>
    <s v="Con detalle por componente"/>
    <s v="Ninguna"/>
    <s v="Con mi mentalidad de niña, quise ser ingeniera como mi papá o docente como mi mamá. Sin embargo, a medida que iba creciendo, fui adquiriendo mayor conciencia y entendimiento de mí y de lo que me rodeaba, comprendiendo que todo debe ir más allá de pretender ser como mis padres o imitar a los personajes que veía en televisión. Por lo cual quería ser y empezar a construir mi propia versión._x000a__x000a_Crecer en un territorio como el Chocó, que tiene tanto por ofrecer, pero tachado por etiquetas de pobreza, discriminación y falta de oportunidades, da paso a que estos pensamientos se instalen no solo en cómo nos perciben los demás, sino también en cómo nos vemos a nosotros mismos, limitando muchas veces nuestras capacidades, y así mismo, a menudo hemos tenido que esforzarnos el doble para demostrar lo que podemos lograr, solo por el lugar de dónde venimos. Sin embargo, creo fielmente, que las barreras y limitaciones mas grandes están en nuestra mente; y esto despertó en mi la necesidad y el deseo de defender los derechos no solo de las comunidades mas vulnerables (como mi ciudad Quibdó) si no de todo el país. Aspiro a que todos puedan acceder a la justicia, promover la igualdad y aportar a la mejora de las condiciones sociales, sobre todo alzar la voz por los que no pueden._x000a__x000a_Al ejercer la carrera de Derecho, me visualizó como una abogada de agente de cambio y transformación social, comprometida a ser consciente de los problemas que enfrentamos, y trabajar en construir un país más justo, promoviendo el respeto de los derechos humanos y se luche por el bien común. Estoy decidida a mantener la resistencia, coraje y resiliencia frente a las circunstancias y adversidades, comprometiéndome a servir y ayudar a los que lo necesiten."/>
    <s v="Referencias familiares"/>
    <s v="Por la calidad académica."/>
    <s v="Vocación."/>
    <n v="2"/>
    <s v="1"/>
    <s v="NO"/>
    <s v="NO"/>
    <s v="Entre 6 y 7 millones"/>
    <s v="No"/>
    <s v="SI"/>
    <s v="NO"/>
    <m/>
    <s v="SI"/>
    <s v="Beca"/>
    <s v="NO"/>
    <s v=""/>
    <s v=""/>
    <s v="Si"/>
    <s v="Ely King Gomez Renteria"/>
    <s v="Casado"/>
    <s v="ESPECIALIZACIÓN"/>
    <s v="53"/>
    <s v="Ingeniero electrico"/>
    <s v="Independiente (trabaja por cuenta propia)"/>
    <s v="Ingeniero"/>
    <s v="Hospital San Francisco de Asis"/>
    <n v="4500000"/>
    <s v="Si"/>
    <s v="SI"/>
    <s v="NO"/>
    <s v="Ninguna"/>
    <s v="Si"/>
    <s v="Jidis Janire Salazar Moreno"/>
    <s v="Casado"/>
    <s v="MAESTRÍA"/>
    <s v="50"/>
    <s v="Docente"/>
    <s v="Empleado (con contrato laboral)"/>
    <s v="Directivo docente"/>
    <s v="Secretaria de Educación de Chocó/ Institución Educativa Integrado Carrasquilla Industrial"/>
    <n v="7987557"/>
    <s v="Si"/>
    <s v="NO"/>
    <s v="NO"/>
    <s v="Ninguna"/>
    <n v="12487557"/>
    <s v="No, solo vivo con mis padres"/>
    <s v=""/>
    <s v=""/>
    <s v=""/>
    <s v=""/>
    <s v=""/>
    <m/>
    <s v=""/>
    <s v=""/>
    <s v=""/>
    <s v=""/>
    <s v=""/>
    <s v=""/>
    <m/>
    <s v=""/>
    <s v=""/>
    <s v=""/>
    <s v=""/>
    <s v=""/>
    <s v=""/>
    <m/>
    <s v=""/>
    <s v=""/>
    <n v="100000000"/>
    <n v="0"/>
    <n v="0"/>
    <n v="0"/>
    <n v="0"/>
    <s v="No"/>
    <s v=""/>
    <s v=""/>
    <n v="0"/>
    <s v="No"/>
    <s v=""/>
    <s v=""/>
    <n v="0"/>
    <s v="Si"/>
    <s v="Moto"/>
    <s v="Yamaha BWS 125"/>
    <s v="2014"/>
    <n v="6500000"/>
    <s v="Ninguno"/>
    <n v="4"/>
    <n v="4"/>
    <n v="3"/>
    <n v="4"/>
    <n v="4"/>
    <n v="3"/>
    <n v="4"/>
    <n v="4"/>
    <n v="3"/>
    <n v="4"/>
    <n v="37"/>
    <s v="SI"/>
    <m/>
    <s v="SI, SON PRI"/>
    <s v="ok tienen todos los datos"/>
    <e v="#N/A"/>
    <e v="#N/A"/>
    <m/>
    <n v="2"/>
    <n v="10"/>
    <n v="10"/>
    <n v="0"/>
    <n v="10"/>
    <n v="15"/>
    <n v="20"/>
    <n v="9"/>
    <n v="9"/>
    <n v="64"/>
    <n v="0.4"/>
    <m/>
    <n v="3.5"/>
    <n v="2.5"/>
    <n v="0"/>
    <n v="3"/>
    <n v="3.5"/>
    <n v="2.5"/>
    <n v="0"/>
    <n v="3"/>
    <n v="64"/>
    <n v="0.4"/>
    <s v="Negado"/>
    <e v="#N/A"/>
    <m/>
    <m/>
    <n v="0"/>
    <m/>
    <m/>
    <s v="Derecho"/>
    <e v="#N/A"/>
    <m/>
    <e v="#N/A"/>
  </r>
  <r>
    <s v="TI"/>
    <n v="1078459561"/>
    <s v="1000405687"/>
    <s v="LUIS ALEJANDRO GENEZ RENTERIA"/>
    <s v="Estudios por primera vez"/>
    <x v="1"/>
    <s v="Descartado por baja prioridad pregrado"/>
    <m/>
    <s v="En publico objetivo"/>
    <s v="1er Cohorte"/>
    <s v="Admitido"/>
    <s v="lagenezr@eafit.edu.co"/>
    <e v="#N/A"/>
    <s v="luisex820@gmail.com"/>
    <s v="573224275621"/>
    <d v="2025-04-25T00:00:00"/>
    <s v="Activo en Programa"/>
    <s v="015-Geología"/>
    <s v="E Ciencias Aplic e Ingeniería"/>
    <d v="2008-02-12T00:00:00"/>
    <n v="17"/>
    <s v="Chocó"/>
    <s v="Quibdó"/>
    <s v="Hombre"/>
    <s v="Soltero"/>
    <s v="NO"/>
    <s v="NO"/>
    <n v="0"/>
    <s v="NO"/>
    <s v="NA"/>
    <s v="SI"/>
    <s v="Afrocolombianos"/>
    <s v="SI"/>
    <s v="Afrocolombianos"/>
    <s v="No"/>
    <s v="322/427-5621"/>
    <s v="573224275621"/>
    <s v="Estrato 3"/>
    <s v="CR 36 A #63 48"/>
    <s v="Antioquia"/>
    <s v="Medellín"/>
    <s v="No aplica, no soy foráneo"/>
    <s v="Familiar"/>
    <s v="SI"/>
    <s v="2024"/>
    <s v="AC202436716195"/>
    <n v="326"/>
    <n v="72"/>
    <n v="64"/>
    <s v="Privada"/>
    <s v="Institución Educativa Comfachocó"/>
    <n v="2024"/>
    <m/>
    <s v="Medellín"/>
    <s v="Bachillerato"/>
    <s v="Académico"/>
    <m/>
    <s v="11"/>
    <s v="Escala de 0 - 5"/>
    <s v="Escala de 0 - 5"/>
    <s v="4"/>
    <s v="5"/>
    <m/>
    <s v="4"/>
    <s v="4"/>
    <m/>
    <n v="4"/>
    <n v="4"/>
    <m/>
    <n v="4"/>
    <n v="4"/>
    <m/>
    <s v="4,5"/>
    <s v="4,5"/>
    <m/>
    <s v="4"/>
    <s v="4"/>
    <m/>
    <s v="4"/>
    <s v="4"/>
    <m/>
    <s v="De 9 y 10"/>
    <n v="4"/>
    <s v="NO"/>
    <s v="NA"/>
    <n v="0"/>
    <n v="0"/>
    <s v="No"/>
    <n v="50"/>
    <m/>
    <n v="50"/>
    <m/>
    <n v="45"/>
    <m/>
    <m/>
    <n v="48.333333333333336"/>
    <s v="Con detalle por componente"/>
    <s v="Otras (por ejemplo, un talento extraordinario)"/>
    <s v="Con el apoyo económico de la beca, Yo Luis Alejandro Genez Renteria me visualizo como un profesional destacado que, gracias a la Geología podrá descubrir y usar la tierra colombiana para el beneficio humano, sin dañarla ni explotarla, consiguiendo un aumento en turismo debido a mis futuros descubrimientos."/>
    <s v="Referencias familiares"/>
    <s v="Por la oferta académica."/>
    <s v="Alta empleabilidad."/>
    <n v="2"/>
    <s v="1"/>
    <s v="NO"/>
    <s v="NO"/>
    <s v="Entre 3 y 4 millones"/>
    <s v="No"/>
    <s v="NO"/>
    <s v="SI"/>
    <s v="Crédito educativo propio"/>
    <s v="NO"/>
    <m/>
    <s v="NO"/>
    <s v=""/>
    <s v=""/>
    <s v="Si"/>
    <s v="Ronald Genez Álvarez"/>
    <s v="Soltero"/>
    <s v="ESPECIALIZACIÓN"/>
    <s v="51"/>
    <s v="Contador público"/>
    <s v="Independiente (trabaja por cuenta propia)"/>
    <s v="Desempleado"/>
    <s v="N/A"/>
    <n v="1000000"/>
    <s v="No"/>
    <s v="NO"/>
    <s v="NO"/>
    <s v=""/>
    <s v="Si"/>
    <s v="Flor Inés Rentería Echeverry"/>
    <s v="Soltero"/>
    <s v="ESPECIALIZACIÓN"/>
    <s v="48"/>
    <s v="Abogada"/>
    <s v="Empleado (con contrato laboral)"/>
    <s v="Defensora de Familia"/>
    <s v="ICBF"/>
    <n v="8000000"/>
    <s v="No"/>
    <s v="SI"/>
    <s v="NO"/>
    <s v=""/>
    <n v="9000000"/>
    <s v="Si"/>
    <s v="Ronald Eduardo Genez Renteria"/>
    <s v="Hermano / Hermana"/>
    <s v="19"/>
    <s v="Desempleado"/>
    <s v="N/A"/>
    <n v="0"/>
    <s v="No"/>
    <s v="Herminia Stella Echeverry de Renteria"/>
    <s v="Abuelo / Abuela"/>
    <s v="81"/>
    <s v="Pensionada"/>
    <s v="N/A"/>
    <n v="1200000"/>
    <s v="Si"/>
    <s v=""/>
    <s v=""/>
    <s v=""/>
    <s v=""/>
    <s v=""/>
    <m/>
    <s v=""/>
    <s v=""/>
    <n v="0"/>
    <n v="140000000"/>
    <n v="0"/>
    <n v="0"/>
    <n v="0"/>
    <s v="No"/>
    <s v=""/>
    <s v=""/>
    <n v="0"/>
    <s v="No"/>
    <s v=""/>
    <s v=""/>
    <n v="0"/>
    <s v="No"/>
    <s v=""/>
    <s v=""/>
    <s v=""/>
    <n v="0"/>
    <s v=""/>
    <n v="4"/>
    <n v="4"/>
    <n v="3"/>
    <n v="3"/>
    <n v="3"/>
    <n v="3"/>
    <n v="4"/>
    <n v="4"/>
    <n v="2"/>
    <n v="4"/>
    <n v="34"/>
    <s v="SI"/>
    <s v="SI, TIPO IE"/>
    <s v="PRI SIN TIPO IE"/>
    <s v="pendiente tipo ie"/>
    <e v="#N/A"/>
    <e v="#N/A"/>
    <m/>
    <n v="1"/>
    <n v="10"/>
    <n v="8"/>
    <n v="5"/>
    <n v="15"/>
    <n v="10"/>
    <n v="20"/>
    <n v="8.5"/>
    <n v="8.5"/>
    <n v="68.5"/>
    <n v="0.4"/>
    <m/>
    <n v="2"/>
    <n v="3.5"/>
    <n v="1"/>
    <n v="2"/>
    <n v="2"/>
    <n v="3.5"/>
    <n v="1"/>
    <n v="2"/>
    <n v="66.5"/>
    <n v="0.4"/>
    <n v="0.4"/>
    <e v="#N/A"/>
    <m/>
    <m/>
    <s v="SI, TIPO IE"/>
    <m/>
    <m/>
    <s v="Geología"/>
    <e v="#N/A"/>
    <s v="015"/>
    <e v="#N/A"/>
  </r>
  <r>
    <s v="CC"/>
    <n v="1080046640"/>
    <s v="1000391476"/>
    <s v="SAMANTHA GUERRERO PATIÑO"/>
    <s v="Estudios por primera vez"/>
    <x v="1"/>
    <s v="Descartado por PG y pregrado"/>
    <m/>
    <s v="En publico objetivo"/>
    <s v="2da Cohorte"/>
    <s v="Admitido"/>
    <s v="sguerrerp1@eafit.edu.co"/>
    <s v="sguerrerp1@eafit.edu.co"/>
    <s v="samaguerrerooo@gmail.com"/>
    <s v="321/667-3739"/>
    <d v="2025-05-16T00:00:00"/>
    <s v="Activo en Programa"/>
    <s v="237-Diseño Interactivo"/>
    <s v="Escuela de Artes y Humanidades"/>
    <d v="2006-05-30T00:00:00"/>
    <n v="19"/>
    <s v="Nariño"/>
    <s v="Pasto"/>
    <s v="Mujer"/>
    <s v="Soltero"/>
    <s v="NO"/>
    <s v="NO"/>
    <n v="0"/>
    <s v="NO"/>
    <s v="NA"/>
    <s v="NO"/>
    <s v="NA"/>
    <s v="NO"/>
    <s v="NA"/>
    <s v="No"/>
    <s v="032/737-1199"/>
    <s v="321/667-3739"/>
    <s v="Estrato 1"/>
    <s v="C 5 3 14 URB CORAZÓN DE JESÚS"/>
    <s v="Nariño"/>
    <s v="Yacuanquer"/>
    <s v="Si"/>
    <s v="Arriendo"/>
    <s v="SI"/>
    <s v="2022"/>
    <s v="AC202242978625"/>
    <n v="331"/>
    <n v="66"/>
    <n v="70"/>
    <s v="Privada"/>
    <s v="INST CHAMPAGNAT"/>
    <n v="2022"/>
    <m/>
    <s v="Pasto"/>
    <s v="Bachillerato"/>
    <s v="BACHILLER"/>
    <s v="TIPO: Privada, INSTITUCION: INST CHAMPAGNAT, AÑO: 2022, CIUDAD: Pasto, TITULO: BACHILLER"/>
    <s v="11"/>
    <s v="Escala de 0 - 5"/>
    <s v="Escala de 0 - 5"/>
    <s v="4,5"/>
    <s v="4"/>
    <m/>
    <s v="4,5"/>
    <s v="4"/>
    <m/>
    <n v="4.5"/>
    <n v="4.5"/>
    <m/>
    <n v="4.5999999999999996"/>
    <n v="4.5"/>
    <m/>
    <s v="4,5"/>
    <s v="5"/>
    <m/>
    <s v="4,5"/>
    <s v="4,1"/>
    <m/>
    <s v="4,5"/>
    <s v="4,5"/>
    <m/>
    <s v="De 9 y 10"/>
    <n v="4.5250000000000004"/>
    <s v="NO"/>
    <s v="NA"/>
    <n v="0"/>
    <n v="0"/>
    <s v="No"/>
    <n v="40"/>
    <m/>
    <n v="40"/>
    <m/>
    <n v="45"/>
    <m/>
    <m/>
    <n v="41.666666666666664"/>
    <s v="Con detalle por componente"/>
    <s v="Artísticas o culturales,Espacios de liderazgo o representación social,Trabajo social o comunitario"/>
    <s v="Desde que era pequeña, he sentido una conexión profunda con mi hogar, Yacuanquer, un lugar lleno de tradición, creatividad y un potencial que aún está por descubrir. Al ser admitida en el pregrado de Diseño Interactivo en EAFIT, me imagino un futuro donde pueda crear soluciones digitales que unan a comunidades rurales como la mía, brindando muchas oportunidades tanto en lo educativo, como en lo cultural y económico._x000a__x000a_Mi deseo es desarrollar plataformas y experiencias digitales accesibles que celebren nuestra identidad y fortalezcan nuestras capacidades regionales. Quiero trabajar con jóvenes y adultos de mi comunidad, capacitándolos en herramientas tecnológicas y diseño digital para que puedan contar sus propias historias, impulsar sus emprendimientos y participar activamente en un mundo cada vez más conectado. Estamos en la “era tecnológica”, y el futuro está estrechamente ligado a esto._x000a__x000a_La obtención de la beca significa para mí mucho más que un apoyo económico: es una puerta que me permitirá dedicarme plenamente a mi formación, sin las limitaciones que impone mi contexto social y económico. Gracias a esta oportunidad, podré enfocarme en ser una Eafitense comprometida, creativa y solidaria, y regresar a mi región con las herramientas necesarias para generar un impacto real._x000a__x000a_Estoy convencida de que el diseño tiene el poder de transformar vidas, y con esta ayuda, quiero ser una de esas vidas que, al cambiar, podrá cambiar muchas más. Aspiro a ser un puente entre lo digital y humano, entre la innovación y tradición, conectando Medellín, Yacuanquer y, en general, Nariño._x000a__x000a_Con esta beca, estoy haciendo realidad un propósito más grande: llevar el espíritu de mi región a cada proyecto. Como dice Lucio Feuillet, “no se nace en vano al pie de un volcán”._x000a__x000a_¿Hasta dónde pueden llegar mis sueños? Con el apoyo de EAFIT, no veo límites."/>
    <s v="Estudiantes de EAFIT"/>
    <s v="Por la calidad académica."/>
    <s v="Vocación."/>
    <n v="2"/>
    <s v="1"/>
    <s v="SI"/>
    <s v="NO"/>
    <s v="Entre 2 y 3 millones"/>
    <s v="Si"/>
    <n v="0"/>
    <s v="N"/>
    <m/>
    <s v="Y"/>
    <m/>
    <s v="NO"/>
    <s v="NA"/>
    <s v="NA"/>
    <s v="Sin información"/>
    <n v="0"/>
    <m/>
    <m/>
    <m/>
    <s v=""/>
    <s v=""/>
    <m/>
    <s v=""/>
    <m/>
    <s v=""/>
    <m/>
    <m/>
    <s v="Sin información"/>
    <s v="Si"/>
    <s v="María Camila Patiño Obando"/>
    <s v="Soltero"/>
    <s v="UNIVERSITARIOS"/>
    <s v="35"/>
    <s v="Administración de empresas"/>
    <s v="Independiente (trabaja por cuenta propia)"/>
    <s v="Comerciante minorista"/>
    <s v="Hogar"/>
    <n v="2850000"/>
    <s v="Si"/>
    <s v="NO"/>
    <s v="NO"/>
    <m/>
    <n v="2850000"/>
    <s v="Si"/>
    <s v="Joaquín Emiliano De La Rosa Patiño"/>
    <s v="Hermano / Hermana"/>
    <s v="5"/>
    <s v="Estudiante"/>
    <s v="Jardín infantil casita de sueños"/>
    <n v="0"/>
    <s v="No"/>
    <s v=""/>
    <s v=""/>
    <s v=""/>
    <s v=""/>
    <s v=""/>
    <m/>
    <s v=""/>
    <s v=""/>
    <s v=""/>
    <s v=""/>
    <s v=""/>
    <s v=""/>
    <m/>
    <s v=""/>
    <s v=""/>
    <n v="0"/>
    <n v="0"/>
    <n v="0"/>
    <n v="0"/>
    <n v="0"/>
    <s v="Si"/>
    <s v="Chevrolet"/>
    <s v="2013"/>
    <n v="20000000"/>
    <s v="No"/>
    <s v=""/>
    <s v=""/>
    <n v="0"/>
    <s v="No"/>
    <s v=""/>
    <s v=""/>
    <s v=""/>
    <n v="0"/>
    <m/>
    <n v="4"/>
    <n v="4"/>
    <n v="3"/>
    <n v="4"/>
    <n v="4"/>
    <n v="4"/>
    <n v="4"/>
    <n v="4"/>
    <n v="3"/>
    <n v="4"/>
    <n v="38"/>
    <s v="SI"/>
    <m/>
    <s v="SI, SON PRI"/>
    <s v="ok tienen todos los datos"/>
    <s v="Negada"/>
    <n v="20251"/>
    <m/>
    <n v="3"/>
    <n v="6"/>
    <n v="6"/>
    <n v="10"/>
    <n v="20"/>
    <n v="15"/>
    <n v="10"/>
    <n v="18.5"/>
    <n v="18.5"/>
    <n v="79.5"/>
    <n v="0.6"/>
    <m/>
    <n v="2"/>
    <n v="4.5"/>
    <n v="8"/>
    <n v="4"/>
    <n v="2"/>
    <n v="4"/>
    <n v="8"/>
    <n v="4.5"/>
    <n v="79.5"/>
    <n v="0.7"/>
    <n v="0.7"/>
    <e v="#N/A"/>
    <m/>
    <m/>
    <n v="0"/>
    <m/>
    <m/>
    <s v="Diseño Interactivo"/>
    <e v="#N/A"/>
    <s v="237"/>
    <e v="#N/A"/>
  </r>
  <r>
    <s v="TI"/>
    <n v="1081278560"/>
    <s v="1000403387"/>
    <s v="JOSE DAVID JARAMILLO NIÑO"/>
    <s v="Estudios por primera vez"/>
    <x v="16"/>
    <s v="Descartados por año graduacion 2025"/>
    <s v="Año graduacion e icfes 2025 - ver colegio"/>
    <s v="En publico objetivo"/>
    <s v="3ra Cohorte"/>
    <s v="Admitido"/>
    <s v="jdjaramiln@eafit.edu.co"/>
    <s v="jdjaramiln@eafit.edu.co"/>
    <s v="jaramilloninojosedavid@gmail.com"/>
    <s v="573218438144"/>
    <d v="2025-05-30T00:00:00"/>
    <s v="Activo en Programa"/>
    <s v="085-Ingeniería Diseño de Producto"/>
    <s v="E Ciencias Aplic e Ingeniería"/>
    <d v="2008-09-15T00:00:00"/>
    <n v="17"/>
    <s v="Nariño"/>
    <s v="Pasto"/>
    <s v="Hombre"/>
    <s v="Soltero"/>
    <s v="NO"/>
    <s v="NO"/>
    <n v="0"/>
    <s v="NO"/>
    <s v="NA"/>
    <s v="NO"/>
    <s v="NA"/>
    <s v="NO"/>
    <s v="NA"/>
    <s v="No"/>
    <s v="321/843-8144"/>
    <s v="573218438144"/>
    <s v="Estrato 1"/>
    <s v="VEREDA CALIBIO LT 3 B 1 LA SABANA"/>
    <s v="Cauca"/>
    <s v="Popayán"/>
    <s v="No"/>
    <s v="Propio"/>
    <s v="SI"/>
    <s v="2025"/>
    <s v="AC202510070631"/>
    <n v="384"/>
    <n v="84"/>
    <n v="75"/>
    <s v="Privada"/>
    <s v="COL GIMNASIO CALIBIO"/>
    <n v="2025"/>
    <s v="Cauca"/>
    <s v="Popayán"/>
    <s v="BACHILLER"/>
    <s v="ACAD"/>
    <s v="TIPO: Privada, INSTITUCION: COL GIMNASIO CALIBIO, AÑO: 2025, CIUDAD: Popayán, TITULO: BACHILLER"/>
    <s v="11"/>
    <s v="Escala de 0 - 5"/>
    <s v="Escala de 0 - 5"/>
    <s v="3,8"/>
    <s v="3,6"/>
    <m/>
    <s v="3,6"/>
    <s v="3,7"/>
    <m/>
    <n v="4"/>
    <n v="3.6"/>
    <m/>
    <n v="4"/>
    <n v="4.5"/>
    <m/>
    <s v="4"/>
    <s v="4"/>
    <m/>
    <s v="4"/>
    <s v="3,5"/>
    <m/>
    <s v="4"/>
    <s v="4,5"/>
    <m/>
    <s v="De 9 y 10"/>
    <n v="4.0250000000000004"/>
    <s v="NO"/>
    <s v="NA"/>
    <n v="0"/>
    <n v="0"/>
    <s v="No"/>
    <n v="40"/>
    <m/>
    <n v="40"/>
    <m/>
    <n v="40"/>
    <m/>
    <m/>
    <n v="40"/>
    <s v="Con detalle por componente"/>
    <s v="Artísticas o culturales,Trabajo social o comunitario,Espacios de liderazgo o representación social"/>
    <s v="Toda la vida he soñado y buscado una forma en la cual mi pasión por el diseño, la creación y la creatividad me hicieran salir adelante. Cuando me enteré de la ingeniería en diseño de producto, fue imposible ocultar el brillo en mis ojos mientras veía el video introductivo a la carrera; es como un sueño hecho realidad._x000a__x000a_Desde pequeño he tenido la necesidad de juntar el ingenio con el día a día y llevar la creatividad de la mano de la cotidianidad. Mi padre ha sido mecánico desde que tengo memoria y me enseñó que las soluciones a los problemas se limitan a la capacidad que tiene el hombre de pensar. Me ha llevado a la conclusión de que entre más ingenioso seas, más formas hay de resolver un problema. Para mí, la creatividad es la forma más efectiva de avanzar, y el único límite de ese avance está en la mente._x000a__x000a_La cantidad de cosas que podría hacer en esa carrera son inimaginables para mí. Pienso en todo lo que me pueden brindar unas instalaciones de ese calibre y se me pone la piel de gallina. Aunque los medios nunca me han limitado para crear y modificar cosas, como dije, entre más ingenioso se sea, más soluciones se encuentran. Estar en un entorno así sería como un niño rodeado de juguetes nuevos; no me cansaría de explotar mi creatividad, y me encantaría llevar a mi ciudad por los aires, aprovechando todo lo que brinda la universidad._x000a__x000a_Vivo en Popayán, una ciudad a la que le falta bastante desarrollo, pero como dije, el límite de la creatividad está en la mente de cada uno. Y para mí, ese es un límite que vale la pena exceder."/>
    <s v="Empleados o profesores EAFIT"/>
    <s v="Proyección laboral."/>
    <s v="Vocación."/>
    <n v="3"/>
    <s v="2"/>
    <s v="NO"/>
    <s v="NO"/>
    <s v="Entre 1 y 2 millones"/>
    <s v="No"/>
    <s v="NO"/>
    <s v="SI"/>
    <s v="Crédito entidad externa"/>
    <s v="SI"/>
    <s v="Patrocinio empresarial"/>
    <s v="NO"/>
    <s v=""/>
    <s v=""/>
    <s v="Si"/>
    <s v="Jorge Donaldo Jaramillo Mora"/>
    <s v="Casado"/>
    <s v="TÉCNICA"/>
    <s v="52"/>
    <s v="mecanico"/>
    <s v="Independiente (trabaja por cuenta propia)"/>
    <s v="Mecánico automotriz"/>
    <s v="Independiente"/>
    <n v="1900000"/>
    <s v="Si"/>
    <s v="SI"/>
    <s v="NO"/>
    <s v="Mi padre me apila en todo y está muy emocionado de que estudie en la universidad pero no tiene la solvencia económica. Confía mucho en mi"/>
    <s v="Si"/>
    <s v="Mónica Esther Niño mera"/>
    <s v="Casado"/>
    <s v="UNIVERSITARIOS"/>
    <s v="49"/>
    <s v="Enfermera"/>
    <s v="Desempleado (Se encuentra en la búsqueda activa de empleo)"/>
    <s v="Enfermera"/>
    <s v="No tiene por el momento"/>
    <n v="0"/>
    <s v="Si"/>
    <s v="NO"/>
    <s v="NO"/>
    <s v="Mi madre no tiene empleo por el momento pero está en busca de uno para apoyarme un poco con la manutención, yo asumiré parte también."/>
    <n v="1900000"/>
    <s v="Si"/>
    <s v="María Paula Jaramillo Niño"/>
    <s v="Hermano / Hermana"/>
    <s v="24"/>
    <s v="independiente"/>
    <s v="independiente"/>
    <n v="1200000"/>
    <s v="No"/>
    <s v=""/>
    <s v=""/>
    <s v=""/>
    <s v=""/>
    <s v=""/>
    <m/>
    <s v=""/>
    <s v=""/>
    <s v=""/>
    <s v=""/>
    <s v=""/>
    <s v=""/>
    <m/>
    <s v=""/>
    <s v=""/>
    <n v="210405000"/>
    <n v="0"/>
    <n v="0"/>
    <n v="0"/>
    <n v="0"/>
    <s v="No"/>
    <s v=""/>
    <s v=""/>
    <n v="0"/>
    <s v="No"/>
    <s v=""/>
    <s v=""/>
    <n v="0"/>
    <s v="Si"/>
    <s v="Moto"/>
    <s v="Victory"/>
    <s v="2021"/>
    <n v="3500000"/>
    <s v="Tenemos una Víctory switch"/>
    <n v="3"/>
    <n v="4"/>
    <n v="3"/>
    <n v="3"/>
    <n v="4"/>
    <n v="4"/>
    <n v="2"/>
    <n v="3"/>
    <n v="4"/>
    <n v="3"/>
    <n v="33"/>
    <s v="SI"/>
    <m/>
    <s v="SI, SON PRI"/>
    <s v="ok tienen todos los datos"/>
    <e v="#N/A"/>
    <e v="#N/A"/>
    <m/>
    <n v="3"/>
    <n v="6"/>
    <n v="6"/>
    <n v="15"/>
    <n v="15"/>
    <n v="10"/>
    <n v="10"/>
    <n v="13.5"/>
    <n v="13.5"/>
    <n v="69.5"/>
    <n v="0.4"/>
    <n v="0.4"/>
    <n v="2"/>
    <n v="2.5"/>
    <n v="8"/>
    <n v="1"/>
    <n v="2"/>
    <n v="2.5"/>
    <n v="8"/>
    <n v="1"/>
    <n v="69.5"/>
    <n v="0.4"/>
    <s v="Negado"/>
    <e v="#N/A"/>
    <m/>
    <m/>
    <n v="0"/>
    <m/>
    <m/>
    <s v="Ingeniería Diseño de Producto"/>
    <e v="#N/A"/>
    <m/>
    <e v="#N/A"/>
  </r>
  <r>
    <s v="CC"/>
    <n v="1082851654"/>
    <s v="1000407357"/>
    <s v="JEAN CARLOS USUGA CARDONA"/>
    <s v="Estudios por primera vez"/>
    <x v="1"/>
    <s v="No cumple, puntaje ICFES menor a 300"/>
    <m/>
    <s v="En publico objetivo"/>
    <s v="2da Cohorte"/>
    <s v="Admitido"/>
    <s v="jcusugac@eafit.edu.co"/>
    <e v="#N/A"/>
    <s v="jeancarlosusuga@gmail.com"/>
    <s v="573024325768"/>
    <d v="2025-05-16T00:00:00"/>
    <s v="Activo en Programa"/>
    <s v="169-Mercadeo"/>
    <s v="Escuela de Administración"/>
    <d v="2002-04-05T00:00:00"/>
    <n v="23"/>
    <s v="Magdalena"/>
    <s v="Santa Marta"/>
    <s v="Hombre"/>
    <s v="Soltero"/>
    <s v="SI"/>
    <s v="SI"/>
    <s v="Medellín"/>
    <s v="NO"/>
    <s v="NA"/>
    <s v="NO"/>
    <s v="NA"/>
    <s v="NO"/>
    <s v="NA"/>
    <s v="No"/>
    <s v="302/432-5768"/>
    <s v="573024325768"/>
    <s v="Estrato 1"/>
    <s v="AV 38 C #42 DD 75"/>
    <s v="Antioquia"/>
    <s v="Bello"/>
    <s v="No aplica, no soy foráneo"/>
    <s v="Arriendo"/>
    <s v="SI"/>
    <s v="2020"/>
    <s v="AC202043797305"/>
    <n v="263"/>
    <n v="54"/>
    <n v="60"/>
    <s v="Pública"/>
    <s v="I. E. Fontidueño Jaime Arango Rojas"/>
    <n v="2020"/>
    <m/>
    <s v="Bello"/>
    <s v="Bachillerato"/>
    <s v="Académico"/>
    <m/>
    <s v="11"/>
    <s v="Escala de 0 - 5"/>
    <s v="Escala de 0 - 5"/>
    <s v="4"/>
    <s v="4"/>
    <m/>
    <s v="4"/>
    <s v="4"/>
    <m/>
    <n v="4.5"/>
    <n v="5"/>
    <m/>
    <n v="4"/>
    <n v="4"/>
    <m/>
    <s v="4"/>
    <s v="4"/>
    <m/>
    <s v="4"/>
    <s v="4"/>
    <m/>
    <s v="4"/>
    <s v="4"/>
    <m/>
    <s v="De 9 y 10"/>
    <n v="4.375"/>
    <s v="NO"/>
    <s v="NA"/>
    <n v="0"/>
    <n v="0"/>
    <s v="No"/>
    <n v="50"/>
    <m/>
    <n v="35"/>
    <m/>
    <n v="50"/>
    <m/>
    <m/>
    <n v="45"/>
    <s v="Con detalle por componente"/>
    <s v="Ninguna"/>
    <s v="Cuando termine mi carrera, quiero trabajar en las mejores empresas de mi país y como lo voy a lograr, estudiando mas por mi cuenta como tomando cursos, talleres y programas de formación avanzadas ya que me permitirán mantenerme actualizado y competitivo en el sector, agarrar mucha experiencia ya que me servirá para ayudar a mi sector como hacer estrategias que prioricen el bienestar social y ambiental, desarrollando campañas que no solo busquen resultados comerciales, sino que también generen valor cultural y emocional para las audiencias, asegurándome de que las estrategias sean inclusivas, representando y respetando la diversidad cultural, social y de género"/>
    <s v="Amigos"/>
    <s v="Proyección laboral."/>
    <s v="Vocación."/>
    <n v="5"/>
    <s v="2"/>
    <s v="SI"/>
    <s v="NO"/>
    <s v="Entre 1 y 2 millones"/>
    <s v="Si"/>
    <n v="0"/>
    <s v="NO"/>
    <m/>
    <s v="SI"/>
    <s v="Beca"/>
    <s v="SI"/>
    <s v="REDMAN"/>
    <s v="Líder de logística"/>
    <s v="Sin información"/>
    <n v="0"/>
    <m/>
    <m/>
    <m/>
    <s v=""/>
    <s v=""/>
    <m/>
    <s v=""/>
    <m/>
    <s v=""/>
    <m/>
    <m/>
    <s v="Nunca supe de él"/>
    <s v="Si"/>
    <s v="Ledis Patricia Usuga Cardona"/>
    <s v="Unión marital"/>
    <s v="PRIMARIA"/>
    <s v="39"/>
    <s v="ama de casa"/>
    <s v="Independiente (trabaja por cuenta propia)"/>
    <s v="NA"/>
    <s v="NA"/>
    <n v="1400000"/>
    <s v="Si"/>
    <s v="NO"/>
    <s v="NO"/>
    <s v="Mi madre es ama de casa, no trabaja en ninguna empresa, pero el gobierno una vez le dio un emprendimiento por ser desplazados y entonces ella tiene una tienda pequeña acá en la casa"/>
    <n v="1400000"/>
    <s v="Si"/>
    <s v="Kevin Daniel Usuga Cardona"/>
    <s v="Hermano / Hermana"/>
    <s v="21"/>
    <s v="Domiciliario"/>
    <s v="Mil Variedades"/>
    <n v="1971000"/>
    <s v="Si"/>
    <s v="Javier Enrique Pérez Usuga"/>
    <s v="Hermano / Hermana"/>
    <s v="18"/>
    <s v="NA"/>
    <s v="NA"/>
    <n v="0"/>
    <s v="No"/>
    <s v=""/>
    <s v=""/>
    <s v=""/>
    <s v=""/>
    <s v=""/>
    <m/>
    <s v=""/>
    <s v="Mi hermano domiciliario tiene como meta el próximo año estudiar ya que este está pagando unas cosas, y mi otro hermano está pensando que estudiar ya que todavía no encuentra algo que le llame mucha atención"/>
    <n v="0"/>
    <n v="0"/>
    <n v="0"/>
    <n v="0"/>
    <n v="0"/>
    <s v="Si"/>
    <s v="Renault"/>
    <s v="1988"/>
    <n v="4800000"/>
    <s v="No"/>
    <s v=""/>
    <s v=""/>
    <n v="0"/>
    <s v="Si"/>
    <s v="Moto"/>
    <s v="yamaha"/>
    <s v="2026"/>
    <n v="1610000"/>
    <s v="Mi mamá me ayudó a sacar una moto ya que por el tema del trabajo y posteriormente la universidad, necesito movilizarme ágilmente y que más fácil que una moto"/>
    <n v="3"/>
    <n v="4"/>
    <n v="3"/>
    <n v="4"/>
    <n v="3"/>
    <n v="4"/>
    <n v="3"/>
    <n v="4"/>
    <n v="4"/>
    <n v="3"/>
    <n v="35"/>
    <s v="SI"/>
    <s v="SI, TIPO IE"/>
    <s v="PRI SIN TIPO IE"/>
    <s v="pendiente tipo ie"/>
    <e v="#N/A"/>
    <e v="#N/A"/>
    <m/>
    <n v="3"/>
    <n v="6"/>
    <n v="6"/>
    <n v="0"/>
    <n v="15"/>
    <n v="15"/>
    <n v="15"/>
    <n v="20"/>
    <n v="20"/>
    <n v="71"/>
    <s v="80 - 100%"/>
    <m/>
    <n v="3.5"/>
    <n v="4.5"/>
    <n v="8"/>
    <n v="4"/>
    <n v="3.5"/>
    <n v="4"/>
    <n v="8"/>
    <n v="4.5"/>
    <n v="71"/>
    <s v="80 - 100%"/>
    <n v="0.7"/>
    <e v="#N/A"/>
    <s v="se baja por icfes inferior a 300"/>
    <m/>
    <s v="SI, TIPO IE"/>
    <m/>
    <m/>
    <s v="Mercadeo"/>
    <e v="#N/A"/>
    <s v="169"/>
    <e v="#N/A"/>
  </r>
  <r>
    <s v="CC"/>
    <n v="1082885877"/>
    <s v="1000401680"/>
    <s v="JERONIMO CUBAQUE VALENCIA"/>
    <s v="Estudios por primera vez"/>
    <x v="9"/>
    <s v="No cumple, estrato 5 o 6"/>
    <s v="Ya pago matricula"/>
    <s v="En publico objetivo"/>
    <s v="1er Cohorte"/>
    <s v="Admitido"/>
    <s v="jcubaquev@eafit.edu.co"/>
    <s v="jcubaquev@eafit.edu.co"/>
    <s v="jeronimocubaquev@gmail.com"/>
    <s v="573023254343"/>
    <d v="2025-04-25T00:00:00"/>
    <s v="Activo en Programa"/>
    <s v="010-Ingeniería de Sistemas"/>
    <s v="E Ciencias Aplic e Ingeniería"/>
    <d v="2006-10-12T00:00:00"/>
    <n v="19"/>
    <s v="Magdalena"/>
    <s v="Santa Marta"/>
    <s v="Hombre"/>
    <s v="Soltero"/>
    <s v="NO"/>
    <s v="NO"/>
    <n v="0"/>
    <s v="NO"/>
    <s v="NA"/>
    <s v="NO"/>
    <s v="NA"/>
    <s v="NO"/>
    <s v="NA"/>
    <s v="No"/>
    <s v="302/325-4343"/>
    <s v="573023254343"/>
    <s v="Estrato 5"/>
    <s v="CL 5 · 5 137"/>
    <s v="Magdalena"/>
    <s v="Santa Marta"/>
    <s v="Si"/>
    <s v="Arriendo"/>
    <s v="SI"/>
    <n v="2025"/>
    <s v="AC202510691451"/>
    <n v="362"/>
    <n v="76"/>
    <n v="69"/>
    <s v="Privada"/>
    <s v="COLEGIO BILINGUE  SANTA MARTA"/>
    <n v="2025"/>
    <s v="Magdalena"/>
    <s v="Santa Marta"/>
    <s v="BACHILLER"/>
    <s v="ACAD"/>
    <s v="TIPO: Privada, INSTITUCION: COLEGIO BILINGUE  SANTA MARTA, AÑO: 2025, CIUDAD: Santa Marta, TITULO: BACHILLER"/>
    <s v="12"/>
    <s v="Escala Desempeño"/>
    <s v="Escala de 0 - 5"/>
    <m/>
    <s v="4,5"/>
    <s v="4,5"/>
    <m/>
    <s v="4,5"/>
    <s v="4,5"/>
    <m/>
    <n v="4"/>
    <n v="4.5"/>
    <m/>
    <n v="4.5"/>
    <n v="4.5"/>
    <m/>
    <s v="4,5"/>
    <s v="4,5"/>
    <m/>
    <s v="4,5"/>
    <s v="4,5"/>
    <m/>
    <s v="4,5"/>
    <s v="4"/>
    <s v="De 10 y 11"/>
    <n v="4.375"/>
    <s v="NO"/>
    <s v="NA"/>
    <n v="0"/>
    <n v="0"/>
    <s v="No"/>
    <n v="45"/>
    <m/>
    <n v="50"/>
    <m/>
    <n v="45"/>
    <m/>
    <s v="Persona convencida de su deseo de estudiar Ingeniería de sistemas, conoce la estructura del pregrado"/>
    <n v="46.666666666666664"/>
    <s v="Con detalle por componente"/>
    <s v="Ninguna"/>
    <s v="Me visualizo ejerciendo mi profesión con mucha dedicación, perseverancia y responsabilidad, pero también disfrutando y divirtiéndome con la carrera que elegí. Si llego a ganar esta beca, me va a permitir relajarme y concentrarme en los estudios sin la carga financiera encima, lo que me ayudará a alcanzar mis metas._x000a__x000a_Uno de mis principales objetivos es ayudar a mi mamá y poder darle una vida mucho más cómoda, ya que con el trabajo que tiene, pues no la tiene. No quiero que tenga tantas preocupaciones económicas como las que tiene ahora. En casa, como vivimos en la costa, no prendemos mucho el aire acondicionado porque la electricidad es muy costosa. Esto hace que ella, que a veces debe atender llamadas, esté más incómoda. Tampoco tenemos a una persona que nos ayude con el aseo, así que mi mamá debe encargarse de todo además de su trabajo, lo que le suma aún más responsabilidades._x000a__x000a_Me gustaría poder aliviarle un poco esa carga, para que pueda vivir una vida más tranquila, sin tantas preocupaciones, y dedicarse más a ella misma y a su felicidad._x000a__x000a_Y aunque mi mamá es mi prioridad, también me gustaría, en el futuro, apoyar a algunos vecinos y familiares que nos han brindado su apoyo, no solo económico sino también emocional. Esta beca sería un paso muy importante para empezar a construir ese futuro que deseo para mí y para las personas que más quiero."/>
    <s v="Amigos"/>
    <s v="Por la calidad académica."/>
    <s v="Vocación."/>
    <n v="2"/>
    <s v="1"/>
    <s v="SI"/>
    <s v="NO"/>
    <s v="Entre 9 y 10 millones"/>
    <s v="No"/>
    <s v="SI"/>
    <s v="NO"/>
    <m/>
    <s v="NO"/>
    <m/>
    <s v="NO"/>
    <s v=""/>
    <s v=""/>
    <s v="Si"/>
    <s v="Leonardo Cubaque"/>
    <s v="Casado"/>
    <s v="ESPECIALIZACIÓN"/>
    <s v="51"/>
    <s v="Ingeniero Naval"/>
    <s v="Empleado (con contrato laboral)"/>
    <s v="Ingeniero de proyectos"/>
    <s v="Drumond"/>
    <n v="15000000"/>
    <s v="No"/>
    <s v="NO"/>
    <s v="NO"/>
    <s v="Mi papa vive en un apartamento con otra familia, con la cual me llevo bien y voy a visitarlos casi todos los fines de semana los domingos. No tengo tanta Conexion con mi papa si lo comparamos con la que tengo con mi mama, sin embargo, puedo decir que es un hombre inteligente, líder, racional, y lo primero en su vida es su familia, incluyéndome."/>
    <s v="Si"/>
    <s v="Silvia Valencia Hurtado"/>
    <s v="Soltero"/>
    <s v="TECNOLOGÍA"/>
    <s v="59"/>
    <s v="Agente inmobiliario"/>
    <s v="Independiente (trabaja por cuenta propia)"/>
    <s v="Agente inmobiliario"/>
    <s v="NO APLICA"/>
    <n v="6000000"/>
    <s v="Si"/>
    <s v="NO"/>
    <s v="NO"/>
    <s v="Yo vivo solo con mi mama, a ella le gusta apoyarme en las cosas que hago y le entusiasma la carrera que elegí. Ella es de personalidad tranquila, reflectiva, es inteligente, y es muy pendiente de mi. No le gusta el conflicto pero se para en la raya. Es una persona sumamente empatica."/>
    <n v="21000000"/>
    <s v="No, solo vivo con mis padres"/>
    <s v=""/>
    <s v=""/>
    <s v=""/>
    <s v=""/>
    <s v=""/>
    <m/>
    <s v=""/>
    <s v=""/>
    <s v=""/>
    <s v=""/>
    <s v=""/>
    <s v=""/>
    <m/>
    <s v=""/>
    <s v=""/>
    <s v=""/>
    <s v=""/>
    <s v=""/>
    <s v=""/>
    <m/>
    <s v=""/>
    <s v=""/>
    <n v="0"/>
    <n v="560000000"/>
    <n v="0"/>
    <n v="0"/>
    <n v="0"/>
    <s v="Si"/>
    <s v="Peugot"/>
    <s v="2014"/>
    <n v="29000000"/>
    <s v="No"/>
    <s v=""/>
    <s v=""/>
    <n v="0"/>
    <s v="No"/>
    <s v=""/>
    <s v=""/>
    <s v=""/>
    <n v="0"/>
    <m/>
    <n v="4"/>
    <n v="3"/>
    <n v="4"/>
    <n v="4"/>
    <n v="3"/>
    <n v="4"/>
    <n v="4"/>
    <n v="3"/>
    <n v="4"/>
    <n v="4"/>
    <n v="37"/>
    <s v="SI"/>
    <m/>
    <s v="SI, SON PRI"/>
    <s v="ok tienen todos los datos"/>
    <e v="#N/A"/>
    <e v="#N/A"/>
    <m/>
    <n v="3"/>
    <s v="NA"/>
    <s v="NA"/>
    <s v="NA"/>
    <s v="NA"/>
    <s v="NA"/>
    <s v="NA"/>
    <e v="#VALUE!"/>
    <e v="#VALUE!"/>
    <e v="#VALUE!"/>
    <s v="NCR"/>
    <m/>
    <s v="NA"/>
    <s v="NA"/>
    <s v="NA"/>
    <s v="NA"/>
    <s v="NA"/>
    <s v="NA"/>
    <s v="NA"/>
    <s v="NA"/>
    <e v="#VALUE!"/>
    <s v="NCR"/>
    <s v="Negado"/>
    <e v="#N/A"/>
    <m/>
    <m/>
    <n v="0"/>
    <m/>
    <m/>
    <s v="Ingeniería de Sistemas"/>
    <e v="#N/A"/>
    <m/>
    <s v="NCR"/>
  </r>
  <r>
    <s v="TI"/>
    <n v="1083879249"/>
    <s v="1000409234"/>
    <s v="PAULINA SANTOS BENAVIDES"/>
    <s v="Estudios por primera vez"/>
    <x v="5"/>
    <s v="Cumple Nutresa"/>
    <m/>
    <s v="En publico objetivo"/>
    <s v="3ra Cohorte"/>
    <s v="Admitido"/>
    <s v="psantosb@eafit.edu.co"/>
    <e v="#N/A"/>
    <s v="santosbpaulina20@gmail.com"/>
    <s v="573187325597"/>
    <d v="2025-05-30T00:00:00"/>
    <s v="Activo en Programa"/>
    <s v="004-Ingeniería de Procesos"/>
    <s v="E Ciencias Aplic e Ingeniería"/>
    <d v="2007-01-20T00:00:00"/>
    <n v="18"/>
    <s v="Huila"/>
    <s v="Pitalito"/>
    <s v="Mujer"/>
    <s v="Soltero"/>
    <s v="NO"/>
    <s v="NO"/>
    <n v="0"/>
    <s v="NO"/>
    <s v="NA"/>
    <s v="NO"/>
    <s v="NA"/>
    <s v="NO"/>
    <s v="NA"/>
    <s v="No"/>
    <s v="316/496-2346"/>
    <s v="573187325597"/>
    <s v="Estrato 2"/>
    <s v="MZ F CA 10 BRR PLAZUELAS DE LA VILLA"/>
    <s v="Quindío"/>
    <s v="Calarca"/>
    <s v="No aplica, no soy foráneo"/>
    <s v="Arriendo"/>
    <s v="SI"/>
    <s v="2023"/>
    <s v="AC202340239681"/>
    <n v="320"/>
    <n v="62"/>
    <n v="69"/>
    <s v="Privada"/>
    <s v="COL PRESENTACION"/>
    <n v="2023"/>
    <s v="Huila"/>
    <s v="Pitalito"/>
    <s v="BACHILLER"/>
    <s v="ACAD"/>
    <s v="TIPO: Privada, INSTITUCION: COL PRESENTACION, AÑO: 2023, CIUDAD: Pitalito, TITULO: BACHILLER"/>
    <s v="11"/>
    <s v="Escala de 0 - 5"/>
    <s v="Escala de 0 - 5"/>
    <s v="4,5"/>
    <s v="4,5"/>
    <m/>
    <s v="4,5"/>
    <s v="4,5"/>
    <m/>
    <n v="4.4000000000000004"/>
    <n v="4.7"/>
    <m/>
    <n v="4.7"/>
    <n v="4.8"/>
    <m/>
    <s v="4,3"/>
    <s v="4,5"/>
    <m/>
    <s v="4,5"/>
    <s v="5"/>
    <m/>
    <s v="4,9"/>
    <s v="4,8"/>
    <m/>
    <s v="De 9 y 10"/>
    <n v="4.6500000000000004"/>
    <s v="NO"/>
    <s v="NA"/>
    <n v="0"/>
    <n v="0"/>
    <s v="No"/>
    <n v="45"/>
    <m/>
    <n v="40"/>
    <m/>
    <n v="45"/>
    <m/>
    <m/>
    <n v="43.333333333333336"/>
    <s v="Con detalle por componente"/>
    <s v="Artísticas o culturales,Deportistas de alto rendimiento o representativo"/>
    <s v="Me visualizo como una ingeniera de procesos comprometida con la optimización de recursos y la mejora continua en sistemas productivos sostenibles y respetuosos con el medio ambiente. Esta beca representa una gran oportunidad para mí, para el emprendimiento familiar y el de mi comunidad, ya que me permitirá acceder a una formación de calidad que fortalecerá mis habilidades humanas y profesionales. Gracias a ello, podré contribuir al desarrollo del sector productivo local. La beca será el punto de partida para generar un impacto positivo desde la educación, la innovación y el compromiso social."/>
    <s v="Redes sociales"/>
    <s v="Universidad reconocida."/>
    <s v="Vocación."/>
    <n v="3"/>
    <s v="2"/>
    <s v="NO"/>
    <s v="NO"/>
    <s v="Entre 2 y 3 millones"/>
    <s v="Si"/>
    <n v="0"/>
    <s v="SI"/>
    <s v="Crédito ICETEX"/>
    <s v="SI"/>
    <s v="Beca"/>
    <s v="NO"/>
    <s v=""/>
    <s v=""/>
    <s v="Si"/>
    <s v="EIDER SANTOS MARTINEZ"/>
    <s v="Casado"/>
    <s v="TECNOLOGÍA"/>
    <s v="48"/>
    <s v="TECNOLOGO EN GESTION DE MERCADOS"/>
    <s v="Empleado (con contrato laboral)"/>
    <s v="AUXILIAR DE SERVICIOS GENERALES"/>
    <s v="SECRETARIA DEPARTAMENTAL DEL QUINDIO"/>
    <n v="2867000"/>
    <s v="Si"/>
    <s v="NO"/>
    <s v="NO"/>
    <s v="Mi papá es muy trabajador, luchador, es un gran apoyo para mi mamá y mis hermanos."/>
    <s v="Si"/>
    <s v="MARIA NELCY BENAVIDES VALENCIA"/>
    <s v="Casado"/>
    <s v="TECNOLOGÍA"/>
    <s v="48"/>
    <s v="TECNOLOGA EN ADMINSITRACION DE EMPRESAS"/>
    <s v="Emprendedor (inicia un proyecto productivo o negocio propio)"/>
    <s v="Ama de casa, gestiona las ventas en el emprendimiento familiar"/>
    <s v="Hogar"/>
    <n v="500000"/>
    <s v="Si"/>
    <s v="NO"/>
    <s v="NO"/>
    <s v="Mi madre está en silla de ruedas por enfermedad, es una guerrera y una luchadora.  Ha iniciado con mis tías un emprendimiento de lácteos."/>
    <n v="3367000"/>
    <s v="Si"/>
    <s v="Sebastian Santos Benavides"/>
    <s v="Hermano / Hermana"/>
    <s v="16"/>
    <s v="Estudiante"/>
    <s v="COLEGIO LA PRESENTACION"/>
    <n v="0"/>
    <s v="No"/>
    <s v="VALENTINA SANTOS BENAVIDES"/>
    <s v="Hermano / Hermana"/>
    <s v="19"/>
    <s v="Estudiante"/>
    <s v="UNIVERSIDAD ICESI"/>
    <n v="0"/>
    <s v="No"/>
    <s v=""/>
    <s v=""/>
    <s v=""/>
    <s v=""/>
    <s v=""/>
    <m/>
    <s v=""/>
    <s v=""/>
    <n v="0"/>
    <n v="0"/>
    <n v="0"/>
    <n v="0"/>
    <n v="0"/>
    <s v="No"/>
    <s v=""/>
    <s v=""/>
    <n v="0"/>
    <s v="No"/>
    <s v=""/>
    <s v=""/>
    <n v="0"/>
    <s v="No"/>
    <s v=""/>
    <s v=""/>
    <s v=""/>
    <n v="0"/>
    <s v="NO HAY BIENES NI VEHICULOS"/>
    <n v="3"/>
    <n v="4"/>
    <n v="3"/>
    <n v="3"/>
    <n v="4"/>
    <n v="3"/>
    <n v="4"/>
    <n v="4"/>
    <n v="4"/>
    <n v="4"/>
    <n v="36"/>
    <s v="SI"/>
    <m/>
    <s v="SI, SON PRI"/>
    <s v="ok tienen todos los datos"/>
    <e v="#N/A"/>
    <e v="#N/A"/>
    <m/>
    <n v="3"/>
    <n v="10"/>
    <n v="10"/>
    <n v="5"/>
    <n v="20"/>
    <n v="15"/>
    <n v="15"/>
    <n v="18.5"/>
    <n v="18.5"/>
    <n v="83.5"/>
    <n v="0.6"/>
    <m/>
    <n v="2"/>
    <n v="4.5"/>
    <n v="8"/>
    <n v="4"/>
    <n v="2"/>
    <n v="4"/>
    <n v="8"/>
    <n v="4.5"/>
    <n v="83.5"/>
    <n v="0.7"/>
    <n v="0.7"/>
    <s v="PAULINA SANTOS BENAVIDES"/>
    <m/>
    <m/>
    <n v="0"/>
    <s v="EN ORDEN"/>
    <n v="0"/>
    <s v="Ingeniería de Procesos"/>
    <s v="Pres. para revision docs nutresa"/>
    <m/>
    <s v="NUTRESA"/>
  </r>
  <r>
    <s v="TI"/>
    <n v="1084054576"/>
    <s v="1000404471"/>
    <s v="ISABELLA CHAHIN ORTIZ"/>
    <s v="Estudios por primera vez"/>
    <x v="7"/>
    <s v="Descartado por ingresos altos"/>
    <m/>
    <s v="En publico objetivo"/>
    <s v="1er Cohorte"/>
    <s v="Admitido"/>
    <s v="ichahino@eafit.edu.co"/>
    <e v="#N/A"/>
    <s v="isa.chahin07@gmail.com"/>
    <s v="573127449736"/>
    <d v="2025-04-25T00:00:00"/>
    <s v="Activo en Programa"/>
    <s v="010-Ingeniería de Sistemas"/>
    <s v="E Ciencias Aplic e Ingeniería"/>
    <d v="2007-10-11T00:00:00"/>
    <n v="18"/>
    <s v="Magdalena"/>
    <s v="Santa Marta"/>
    <s v="Mujer"/>
    <s v="Soltero"/>
    <s v="NO"/>
    <s v="NO"/>
    <n v="0"/>
    <s v="NO"/>
    <s v="NA"/>
    <s v="NO"/>
    <s v="NA"/>
    <s v="NO"/>
    <s v="NA"/>
    <s v="No"/>
    <s v="315/644-1812"/>
    <s v="573127449736"/>
    <s v="Estrato 3"/>
    <s v="SANTA MARTA"/>
    <s v="Magdalena"/>
    <s v="Santa Marta"/>
    <s v="Si"/>
    <s v="Propio"/>
    <s v="SI"/>
    <s v="2024"/>
    <s v="AC202433325107"/>
    <n v="418"/>
    <n v="82"/>
    <n v="73"/>
    <s v="Privada"/>
    <s v="COLEGIO EL DIVINO NINO"/>
    <n v="2024"/>
    <s v="Magdalena"/>
    <s v="Santa Marta"/>
    <s v="BACHILLER"/>
    <s v="ACAD"/>
    <s v="TIPO: Privada, INSTITUCION: COLEGIO EL DIVINO NINO, AÑO: 2024, CIUDAD: Santa Marta, TITULO: BACHILLER"/>
    <s v="11"/>
    <s v="Escala de 0 - 5"/>
    <s v="Escala de 0 - 5"/>
    <s v="4,9"/>
    <s v="4,9"/>
    <m/>
    <s v="4,9"/>
    <s v="4,9"/>
    <m/>
    <n v="4.8"/>
    <n v="4.7"/>
    <m/>
    <n v="4.5999999999999996"/>
    <n v="4.8"/>
    <m/>
    <s v="4,8"/>
    <s v="4,8"/>
    <m/>
    <s v="4,4"/>
    <s v="4,9"/>
    <m/>
    <s v="4,4"/>
    <s v="4,9"/>
    <m/>
    <s v="De 9 y 10"/>
    <n v="4.7249999999999996"/>
    <s v="NO"/>
    <s v="NA"/>
    <n v="0"/>
    <n v="0"/>
    <s v="No"/>
    <n v="50"/>
    <m/>
    <n v="50"/>
    <m/>
    <n v="50"/>
    <m/>
    <m/>
    <n v="50"/>
    <s v="Con detalle por componente"/>
    <s v="Artísticas o culturales,Espacios de liderazgo o representación social,Trabajo social o comunitario"/>
    <s v="Desde niña, crecí rodeada de tecnología. Mis padres, ambos ingenieros de sistemas, me contagiaron su curiosidad por entender qué hay detrás del funcionamiento de cada dispositivo tecnológico. Ese fue mi primer contacto con el mundo que hoy quiero convertir en mi profesión. Gracias a sus enseñanzas, comprendí que las herramientas digitales no solo conectan personas, sino que también abren puertas y nos permiten imaginar un futuro mejor._x000a_Con el tiempo, entendí que no solo quería entender cómo funciona el mundo, sino ayudar a transformarlo. Me sueño como ingeniera de sistemas, desarrollando soluciones reales para las necesidades de mi comunidad. Quiero innovar, emprender, imaginar lo que aún no existe y hacerlo posible. Me veo liderando proyectos propios, creando plataformas que faciliten la vida de las personas y construyendo herramientas digitales con impacto._x000a_Esa visión cobra aún más fuerza cuando pienso en mis raíces. Me enorgullece la riqueza cultural de mi tierra y la fuerza de su gente, pero también reconozco los desafíos y desigualdades que enfrentamos. Por eso aplico a la Beca de EAFIT, porque quiero tener la oportunidad de formarme al más alto nivel. Estoy convencida de que, con la educación que brinda la Universidad EAFIT, podré desarrollar las habilidades necesarias para aportar al desarrollo de Santa Marta y el Magdalena._x000a_Uno de mis grandes propósitos es crear plataformas de capacitación virtual accesibles para todos, sin importar la ubicación o la situación económica. Como ingeniera de sistemas, deseo contribuir a que ninguna persona tenga que renunciar a sus sueños y aun mejor futuro por falta de acceso a la información."/>
    <s v="Página WEB"/>
    <s v="Por la calidad académica."/>
    <s v="Vocación."/>
    <n v="3"/>
    <s v="1"/>
    <s v="SI"/>
    <s v="NO"/>
    <s v="Entre 7 y 8 millones"/>
    <s v="No"/>
    <n v="0"/>
    <n v="0"/>
    <m/>
    <s v="SI"/>
    <s v="Beca"/>
    <s v="NO"/>
    <s v=""/>
    <s v=""/>
    <s v="Si"/>
    <s v="Juan Antonio Chahin Noreña"/>
    <s v="Casado"/>
    <s v="UNIVERSITARIOS"/>
    <s v="54"/>
    <s v="Ingeniero de Sistemas"/>
    <s v="Empleado (con contrato laboral)"/>
    <s v="Docente"/>
    <s v="Secretaría de Educación Distrital de Santa Marta"/>
    <n v="7987557"/>
    <s v="Si"/>
    <s v="SI"/>
    <s v="NO"/>
    <s v="Sus ingresos son para el sostenimiento de su núcleo familiar y de su madre."/>
    <s v="Si"/>
    <s v="María Elena Ortiz Martínez"/>
    <s v="Casado"/>
    <s v="UNIVERSITARIOS"/>
    <s v="48"/>
    <s v="Ingeniera de Sistemas"/>
    <s v="Empleado (con contrato laboral)"/>
    <s v="Docente"/>
    <s v="Secretaría de Educación Distrital de Santa Marta"/>
    <n v="9255205"/>
    <s v="Si"/>
    <s v="NO"/>
    <s v="NO"/>
    <s v="Sus ingresos sirven de apoyo para los gastos de la familia."/>
    <n v="17242762"/>
    <s v="No, solo vivo con mis padres"/>
    <s v=""/>
    <s v=""/>
    <s v=""/>
    <s v=""/>
    <s v=""/>
    <m/>
    <s v=""/>
    <s v=""/>
    <s v=""/>
    <s v=""/>
    <s v=""/>
    <s v=""/>
    <m/>
    <s v=""/>
    <s v=""/>
    <s v=""/>
    <s v=""/>
    <s v=""/>
    <s v=""/>
    <m/>
    <s v=""/>
    <s v=""/>
    <n v="125955000"/>
    <n v="0"/>
    <n v="0"/>
    <n v="0"/>
    <n v="0"/>
    <s v="Si"/>
    <s v="Toyota"/>
    <s v="2023"/>
    <n v="110000000"/>
    <s v="No"/>
    <s v=""/>
    <s v=""/>
    <n v="0"/>
    <s v="No"/>
    <s v=""/>
    <s v=""/>
    <s v=""/>
    <n v="0"/>
    <s v="Adquiridos por crédito."/>
    <n v="4"/>
    <n v="4"/>
    <n v="3"/>
    <n v="4"/>
    <n v="4"/>
    <n v="4"/>
    <n v="4"/>
    <n v="4"/>
    <n v="3"/>
    <n v="4"/>
    <n v="38"/>
    <s v="SI"/>
    <m/>
    <s v="SI, SON PRI"/>
    <s v="ok tienen todos los datos"/>
    <e v="#N/A"/>
    <e v="#N/A"/>
    <m/>
    <n v="3"/>
    <n v="10"/>
    <n v="8"/>
    <n v="15"/>
    <n v="20"/>
    <n v="15"/>
    <n v="20"/>
    <n v="6.5"/>
    <n v="6.5"/>
    <n v="86.5"/>
    <n v="0.4"/>
    <m/>
    <n v="2"/>
    <n v="2.5"/>
    <n v="0"/>
    <n v="2"/>
    <n v="2"/>
    <n v="2.5"/>
    <n v="0"/>
    <n v="2"/>
    <n v="84.5"/>
    <n v="0.4"/>
    <s v="Negado"/>
    <e v="#N/A"/>
    <m/>
    <m/>
    <n v="0"/>
    <m/>
    <m/>
    <s v="Ingeniería de Sistemas"/>
    <e v="#N/A"/>
    <m/>
    <e v="#N/A"/>
  </r>
  <r>
    <s v="TI"/>
    <n v="1084451857"/>
    <s v="1000407862"/>
    <s v="SANTIAGO JOSE FERNÁNDEZ DE CASTRO VÁSQUEZ"/>
    <s v="Estudios por primera vez"/>
    <x v="1"/>
    <s v="Descartado por ingresos altos"/>
    <m/>
    <s v="En publico objetivo"/>
    <s v="2da Cohorte"/>
    <s v="Admitido"/>
    <s v="sjfernandc@eafit.edu.co"/>
    <e v="#N/A"/>
    <s v="santiago.fdz08@gmail.com"/>
    <s v="573195811355"/>
    <d v="2025-05-16T00:00:00"/>
    <s v="Activo en Programa"/>
    <s v="260-Ingeniería Industrial"/>
    <s v="E Ciencias Aplic e Ingeniería"/>
    <d v="2007-12-08T00:00:00"/>
    <n v="18"/>
    <s v="Magdalena"/>
    <s v="Santa Marta"/>
    <s v="Hombre"/>
    <s v="Soltero"/>
    <s v="NO"/>
    <s v="NO"/>
    <n v="0"/>
    <s v="NO"/>
    <s v="NA"/>
    <s v="NO"/>
    <s v="NA"/>
    <s v="NO"/>
    <s v="NA"/>
    <s v="No"/>
    <s v="319/581-1355"/>
    <s v="573195811355"/>
    <s v="Estrato 3"/>
    <s v="SANTA MARTA"/>
    <s v="Magdalena"/>
    <s v="Santa Marta"/>
    <s v="Si"/>
    <s v="Propio"/>
    <s v="SI"/>
    <s v="2024"/>
    <s v="AC202430551932"/>
    <n v="385"/>
    <n v="81"/>
    <n v="76"/>
    <s v="Privada"/>
    <s v="COLEGIO IDPHU BILINGUE DE SANT"/>
    <n v="2024"/>
    <s v="Magdalena"/>
    <s v="Santa Marta"/>
    <s v="BACHILLER"/>
    <s v="ACAD"/>
    <s v="TIPO: Privada, INSTITUCION: COLEGIO IDPHU BILINGUE DE SANT, AÑO: 2024, CIUDAD: Santa Marta, TITULO: BACHILLER"/>
    <s v="11"/>
    <s v="Escala de 0 - 5"/>
    <s v="Escala de 0 - 5"/>
    <s v="5"/>
    <s v="5"/>
    <m/>
    <s v="5"/>
    <s v="4,5"/>
    <m/>
    <n v="5"/>
    <n v="5"/>
    <m/>
    <n v="5"/>
    <n v="5"/>
    <m/>
    <s v="5"/>
    <s v="5"/>
    <m/>
    <s v="4,5"/>
    <s v="4,5"/>
    <m/>
    <s v="5"/>
    <s v="4,5"/>
    <m/>
    <s v="De 9 y 10"/>
    <n v="5"/>
    <s v="NO"/>
    <s v="NA"/>
    <n v="0"/>
    <n v="0"/>
    <s v="No"/>
    <n v="40"/>
    <m/>
    <n v="45"/>
    <m/>
    <n v="45"/>
    <m/>
    <m/>
    <n v="43.333333333333336"/>
    <s v="Con detalle por componente"/>
    <s v="Espacios de liderazgo o representación social,Otras (por ejemplo, un talento extraordinario)"/>
    <s v="Decidí estudiar ingeniería industrial sin embargo siempre he tenido claro que no quiero limitarme a aprender sobre procesos o gestión, mi objetivo es convertirme en un profesional capaz de impulsar el desarrollo de mi región, generando oportunidades y resolviendo dificultades._x000a_Me proyecto creando una gran empresa que potencie el talento local y estoy convencido que los conocimientos que me brinda mi formación universitaria serán esenciales para lograrlo. _x000a__x000a_Para mí esta beca no solo representa un respaldo financiero, representa poder acceder a una educación de excelencia, significa la oportunidad de generar un impacto positivo  por medio de proyectos, metas y objetivos desde los primeros años de universidad. _x000a__x000a_Mi meta es convertirme en un empresario que inspire a otros jóvenes en creer en su potencial, quiero demostrar que con compromiso, disciplina y valores, se pueden transformar vidas y aportar al crecimiento de la región. _x000a__x000a_Esta beca para mí es el punto de partida para alcanzar este propósito, me comprometo a aprovecharla al máximo para crecer como persona y como profesional, retribuyendo ese apoyo con acciones en pro de nuestra comunidad."/>
    <s v="Otro"/>
    <s v="Por la calidad académica."/>
    <s v="Recomendación."/>
    <n v="4"/>
    <s v="1"/>
    <s v="SI"/>
    <s v="NO"/>
    <s v="Entre 6 y 7 millones"/>
    <s v="No"/>
    <n v="0"/>
    <n v="0"/>
    <m/>
    <s v="SI"/>
    <s v="Beca"/>
    <s v="NO"/>
    <s v=""/>
    <s v=""/>
    <s v="Si"/>
    <s v="José Luis fernández de castro"/>
    <s v="Casado"/>
    <s v="MAESTRÍA"/>
    <s v="45"/>
    <s v="Jefe de ventas"/>
    <s v="Empleado (con contrato laboral)"/>
    <s v="Jefe de ventas"/>
    <s v="Homecenter"/>
    <n v="9000000"/>
    <s v="Si"/>
    <s v="SI"/>
    <s v="NO"/>
    <s v="Disciplinado y siempre cuento con su apoyo"/>
    <s v="Si"/>
    <s v="Breaxy Vásquez"/>
    <s v="Casado"/>
    <s v="ESPECIALIZACIÓN"/>
    <s v="47"/>
    <s v="ama de casa"/>
    <s v="Labores del hogar y cuidado"/>
    <s v="Hogar"/>
    <s v="No"/>
    <n v="0"/>
    <s v="Si"/>
    <s v="NO"/>
    <s v="NO"/>
    <s v="Organizada e inteligente"/>
    <n v="9000000"/>
    <s v="Si"/>
    <s v="María José fernández de castro vásquez"/>
    <s v="Hermano / Hermana"/>
    <s v="13"/>
    <s v="Estudiante"/>
    <s v="Colegio Idphu"/>
    <n v="0"/>
    <s v="No"/>
    <s v=""/>
    <s v=""/>
    <s v=""/>
    <s v=""/>
    <s v=""/>
    <m/>
    <s v=""/>
    <s v=""/>
    <s v=""/>
    <s v=""/>
    <s v=""/>
    <s v=""/>
    <m/>
    <s v=""/>
    <s v=""/>
    <n v="260000000"/>
    <n v="0"/>
    <n v="0"/>
    <n v="0"/>
    <n v="0"/>
    <s v="Si"/>
    <s v="Mazda"/>
    <s v="2020"/>
    <n v="80000000"/>
    <s v="No"/>
    <s v=""/>
    <s v=""/>
    <n v="0"/>
    <s v="No"/>
    <s v=""/>
    <s v=""/>
    <s v=""/>
    <n v="0"/>
    <m/>
    <n v="4"/>
    <n v="4"/>
    <n v="4"/>
    <n v="4"/>
    <n v="4"/>
    <n v="3"/>
    <n v="3"/>
    <n v="3"/>
    <n v="3"/>
    <n v="4"/>
    <n v="36"/>
    <s v="SI"/>
    <m/>
    <s v="SI, SON PRI"/>
    <s v="ok tienen todos los datos"/>
    <e v="#N/A"/>
    <e v="#N/A"/>
    <m/>
    <n v="3"/>
    <n v="10"/>
    <n v="8"/>
    <n v="15"/>
    <n v="20"/>
    <n v="15"/>
    <n v="15"/>
    <n v="6.5"/>
    <n v="6.5"/>
    <n v="81.5"/>
    <n v="0.4"/>
    <m/>
    <n v="2"/>
    <n v="2.5"/>
    <n v="1"/>
    <n v="1"/>
    <n v="2"/>
    <n v="2.5"/>
    <n v="1"/>
    <n v="1"/>
    <n v="79.5"/>
    <n v="0.4"/>
    <n v="0.4"/>
    <e v="#N/A"/>
    <m/>
    <m/>
    <n v="0"/>
    <m/>
    <m/>
    <s v="Ingeniería Industrial"/>
    <e v="#N/A"/>
    <m/>
    <e v="#N/A"/>
  </r>
  <r>
    <s v="CC"/>
    <n v="1088262939"/>
    <s v="1000407931"/>
    <s v="JUAN ESTEBAN TORRES PARRA"/>
    <s v="Transferencia Externa"/>
    <x v="4"/>
    <s v="No cumple, otros estudios de pregrado"/>
    <m/>
    <s v="En publico objetivo"/>
    <s v="2da Cohorte"/>
    <s v="Admitido"/>
    <s v="jetorresp1@eafit.edu.co"/>
    <e v="#N/A"/>
    <s v="juanestebantorresparra15@gmail.com"/>
    <s v="573028616659"/>
    <d v="2025-05-16T00:00:00"/>
    <s v="Activo en Programa"/>
    <s v="112-Comunicación Social"/>
    <s v="Escuela de Artes y Humanidades"/>
    <d v="2006-11-01T00:00:00"/>
    <n v="19"/>
    <s v="Risaralda"/>
    <s v="Pereira"/>
    <s v="Hombre"/>
    <s v="Soltero"/>
    <s v="NO"/>
    <s v="NO"/>
    <n v="0"/>
    <s v="NO"/>
    <s v="NA"/>
    <s v="NO"/>
    <s v="NA"/>
    <s v="NO"/>
    <s v="NA"/>
    <s v="No"/>
    <s v="302/861-6659"/>
    <s v="573028616659"/>
    <s v="Estrato 3"/>
    <s v="CL 80 SUR #47 C- 61 AP 2002"/>
    <s v="Antioquia"/>
    <s v="Sabaneta"/>
    <s v="No aplica, no soy foráneo"/>
    <s v="Arriendo"/>
    <s v="SI"/>
    <s v="2023"/>
    <s v="AC202340601872"/>
    <n v="373"/>
    <n v="82"/>
    <n v="73"/>
    <s v="Pública"/>
    <s v="CASD HERMOGENES MAZA"/>
    <n v="2023"/>
    <m/>
    <s v="Armenia"/>
    <s v="Bachillerato"/>
    <s v="BACHILLER"/>
    <s v="TIPO: Pública, INSTITUCION: CASD HERMOGENES MAZA, AÑO: 2023, CIUDAD: Armenia, TITULO: BACHILLER"/>
    <n v="0"/>
    <n v="0"/>
    <s v="PCA TEX"/>
    <m/>
    <m/>
    <m/>
    <m/>
    <m/>
    <m/>
    <m/>
    <m/>
    <m/>
    <m/>
    <m/>
    <m/>
    <m/>
    <m/>
    <m/>
    <m/>
    <m/>
    <m/>
    <m/>
    <m/>
    <m/>
    <s v="Ver PCA TEX"/>
    <n v="4.3"/>
    <s v="SI"/>
    <s v="TIPO: Pública, INSTITUCION: UNIVERSIDAD DE ANTIOQUIA, AÑO: 0, CIUDAD: Medellín, TITULO: COMUNICADOR (Medellín)"/>
    <s v="PREGRADO"/>
    <s v=" TITULO: COMUNICADOR (Medellín)"/>
    <s v="No"/>
    <n v="35"/>
    <m/>
    <n v="45"/>
    <m/>
    <n v="40"/>
    <m/>
    <m/>
    <n v="40"/>
    <s v="Con detalle por componente"/>
    <s v="Artísticas o culturales"/>
    <s v="Siempre he sido una persona muy conversadora, me gusta relacionarme con la gente pero también me ha gustado mucho el mundo de la televisión, me veo ejerciendo la comunicación social desde el ámbito de la televisión, trabajar en un programa en el cual las personas puedan exponer sus dudas, sus quejas y sus vivencias para que así se pueda buscar una solución a estas problemáticas, también no todo es malo, se pueden generar espacios para el entretenimiento de la comunidad y reducir de una u otra forma ese estrés del día a día, que la gente se sienta cómoda con lo que ven, y sobre todo, un canal cien por ciento transparente._x000a_Otra pasión también es poder llegar a las diferentes regiones del país y poder vivir esa experiencia de estar con la gente, convivir y poder llevar la voz de las personas a todos lados para que así puedan ser escuchados._x000a_Gracias a la beca podría estudiar en la universidad EAFIT ya que no cuento con los recursos necesarios para costearme el semestre en la universidad. un pregrado el cual sé que me va a brindar todo el apoyo y los conocimientos necesarios para poder algún día ejercer esta profesión y pueda cumplir mis metas, comenzar trabajando en los medios de comunicación regionales, escuchar a la gente, hacer que se oiga el pueblo, ir a los lugares mas remotos de Antioquia y conocer como es la vida en cada región. también ir al Quindío, una región la cual considero mucho ya que fui criado la mayor parte de mi vida allí y siento que si cuento con un medio para hacerse conocer, lo mínimo que haría seria ayudar a una de las regiones que me lo dio todo."/>
    <s v="Estudiantes de EAFIT"/>
    <s v="Por la calidad académica."/>
    <s v="Vocación."/>
    <n v="1"/>
    <s v="2"/>
    <s v="SI"/>
    <s v="NO"/>
    <s v="Entre 7 y 8 millones"/>
    <s v="No"/>
    <n v="0"/>
    <n v="0"/>
    <m/>
    <s v="Y"/>
    <m/>
    <s v="NO"/>
    <s v="NA"/>
    <s v="NA"/>
    <s v="Si"/>
    <s v="Ricardo Alonso Torres Montoya"/>
    <s v="Soltero"/>
    <s v="TECNOLOGÍA"/>
    <s v="52"/>
    <s v="Ingeniero de ventas"/>
    <s v="Empleado (con contrato laboral)"/>
    <s v="Ingeniero de ventas"/>
    <s v="VSM Latinoamerica S.A.S"/>
    <n v="9569700"/>
    <s v="Si"/>
    <s v="NO"/>
    <s v="NO"/>
    <s v="buena relación, vivimos hace un año juntos"/>
    <s v="Si"/>
    <s v="Maria Elena Parra Quintero"/>
    <s v="Soltero"/>
    <s v="TECNOLOGÍA"/>
    <s v="48"/>
    <s v="oficios varios"/>
    <s v="Independiente (trabaja por cuenta propia)"/>
    <s v="oficios varios"/>
    <s v="NO APLICA"/>
    <n v="0"/>
    <s v="No"/>
    <s v="NO"/>
    <s v="NO"/>
    <s v="mi mamá vive en España, no ha encontrado un trabajo formal, actualmente no tiene un sueldo fijo ni una empresa fija en donde trabajar"/>
    <n v="9569700"/>
    <s v="No, solo vivo con mis padres"/>
    <s v=""/>
    <s v=""/>
    <s v=""/>
    <s v=""/>
    <s v=""/>
    <m/>
    <s v=""/>
    <s v=""/>
    <s v=""/>
    <s v=""/>
    <s v=""/>
    <s v=""/>
    <m/>
    <s v=""/>
    <s v=""/>
    <s v=""/>
    <s v=""/>
    <s v=""/>
    <s v=""/>
    <m/>
    <s v=""/>
    <s v=""/>
    <n v="96000000"/>
    <n v="0"/>
    <n v="0"/>
    <n v="0"/>
    <n v="0"/>
    <s v="Si"/>
    <s v="KIA"/>
    <s v="2026"/>
    <n v="95000000"/>
    <s v="No"/>
    <s v=""/>
    <s v=""/>
    <n v="0"/>
    <s v="No"/>
    <s v=""/>
    <s v=""/>
    <s v=""/>
    <n v="0"/>
    <s v="actualmente se está pagando el carro"/>
    <n v="4"/>
    <n v="3"/>
    <n v="3"/>
    <n v="4"/>
    <n v="4"/>
    <n v="3"/>
    <n v="3"/>
    <n v="3"/>
    <n v="3"/>
    <n v="4"/>
    <n v="34"/>
    <s v="SI"/>
    <m/>
    <s v="SI, SON TEX, EN LUGAR DE NOTAS TIENEN PCA"/>
    <s v="ok tienen todos los datos"/>
    <e v="#N/A"/>
    <e v="#N/A"/>
    <m/>
    <n v="2"/>
    <n v="10"/>
    <n v="8"/>
    <n v="15"/>
    <n v="15"/>
    <n v="10"/>
    <n v="10"/>
    <n v="10.5"/>
    <n v="11"/>
    <n v="71"/>
    <n v="0.4"/>
    <m/>
    <n v="3.5"/>
    <n v="3.5"/>
    <n v="1"/>
    <n v="3"/>
    <n v="3.5"/>
    <n v="3"/>
    <n v="1"/>
    <n v="3"/>
    <n v="68.5"/>
    <n v="0.4"/>
    <s v="Negado"/>
    <e v="#N/A"/>
    <m/>
    <m/>
    <n v="0"/>
    <m/>
    <m/>
    <s v="Comunicación Social"/>
    <e v="#N/A"/>
    <m/>
    <e v="#N/A"/>
  </r>
  <r>
    <s v="CC"/>
    <n v="1090273775"/>
    <s v="1000407962"/>
    <s v="JUAN JOSE GALEANO DIAZ"/>
    <s v="Estudios por primera vez"/>
    <x v="1"/>
    <s v="No cumple, puntaje ICFES menor a 300"/>
    <m/>
    <s v="En publico objetivo"/>
    <s v="3ra Cohorte"/>
    <s v="Admitido"/>
    <s v="jjgaleanod@eafit.edu.co"/>
    <e v="#N/A"/>
    <s v="juanjosegaleanodiaz@gmail.com"/>
    <s v="313/743-6313"/>
    <d v="2025-05-30T00:00:00"/>
    <s v="Activo en Programa"/>
    <s v="230-Ingeniería Agronómica"/>
    <s v="E Ciencias Aplic e Ingeniería"/>
    <d v="2006-04-21T00:00:00"/>
    <n v="19"/>
    <s v="Quindío"/>
    <s v="Armenia"/>
    <s v="Hombre"/>
    <s v="Soltero"/>
    <s v="NO"/>
    <s v="NO"/>
    <n v="0"/>
    <s v="NO"/>
    <s v="NA"/>
    <s v="NO"/>
    <s v="NA"/>
    <s v="NO"/>
    <s v="NA"/>
    <s v="No"/>
    <s v="313/743-6313"/>
    <s v="313/743-6313"/>
    <s v="Estrato 2"/>
    <s v="VEREDA SAN CARLOS CORREGIMIENTO BUENOS AIRES ANDESANTIOQUIA"/>
    <s v="Antioquia"/>
    <s v="Andes"/>
    <s v="Si"/>
    <s v="Familiar"/>
    <s v="SI"/>
    <s v="2022"/>
    <s v="AC202240901017"/>
    <n v="270"/>
    <n v="47"/>
    <n v="61"/>
    <s v="Pública"/>
    <s v="Institución educativa Felipe Henao Jaramillo"/>
    <n v="2022"/>
    <m/>
    <s v="Andes"/>
    <s v="Bachillerato"/>
    <s v="Académico"/>
    <m/>
    <s v="11"/>
    <s v="Escala de 0 - 5"/>
    <s v="Escala de 0 - 5"/>
    <s v="4"/>
    <s v="4"/>
    <m/>
    <s v="4"/>
    <s v="4"/>
    <m/>
    <n v="4"/>
    <n v="4.5"/>
    <m/>
    <n v="4"/>
    <n v="4.5"/>
    <m/>
    <s v="4"/>
    <s v="4,5"/>
    <m/>
    <s v="4,5"/>
    <s v="4,5"/>
    <m/>
    <s v="4,5"/>
    <s v="4"/>
    <m/>
    <s v="De 9 y 10"/>
    <n v="4.25"/>
    <s v="NO"/>
    <s v="NA"/>
    <n v="0"/>
    <n v="0"/>
    <s v="No"/>
    <n v="50"/>
    <m/>
    <n v="50"/>
    <m/>
    <n v="45"/>
    <m/>
    <m/>
    <n v="48.333333333333336"/>
    <s v="Con detalle por componente"/>
    <s v="Artísticas o culturales"/>
    <s v="Me visualizo como un ingeniero agrónomo comprometido con el desarrollo sostenible del campo colombiano. Aspiro a desempeñar un trabajo en el que pueda aplicar los conocimientos adquiridos y que, al mismo tiempo, me permita seguir creciendo como persona y profesional. Quiero poner todo mi esfuerzo en contribuir a mejorar la eficiencia en el campo, especialmente en el manejo de cultivos, su productividad y rentabilidad._x000a__x000a_También deseo detectar y prevenir enfermedades mediante el uso de tecnologías, identificar los tipos de suelo y definir las medidas necesarias antes de sembrar o aplicar fertilizantes. Además, brindar soluciones frente a plagas y enfermedades, y asesorar a los productores en sus procesos. Todo esto lo haré con un enfoque sostenible, priorizando el cuidado de los recursos naturales._x000a__x000a_Obtener esta beca representa para mí una gran oportunidad. No solo me permitirá acceder a una educación de calidad, sino que me abrirá las puertas para llevar progreso y conocimiento a mi región. Quiero contribuir al bienestar de mi comunidad, apoyando a los pequeños productores para que mejoren sus cultivos, comercialicen sus productos de manera más efectiva y tomen decisiones acertadas en el manejo del agro. Sueño con ver una región más productiva, consciente y preparada para enfrentar los retos del futuro."/>
    <s v="Redes sociales"/>
    <s v="Por la calidad académica."/>
    <s v="Vocación."/>
    <n v="3"/>
    <s v="2"/>
    <s v="SI"/>
    <s v="NO"/>
    <s v="Entre 1 y 2 millones"/>
    <s v="No"/>
    <n v="0"/>
    <n v="0"/>
    <m/>
    <s v="SI"/>
    <s v="Beca"/>
    <s v="NO"/>
    <s v=""/>
    <s v=""/>
    <s v="Si"/>
    <s v="Edgar de Jesús Galeano Mejia"/>
    <s v="Casado"/>
    <s v="PRIMARIA"/>
    <s v="63"/>
    <s v="Oficios varios"/>
    <s v="Empleado (con contrato laboral)"/>
    <s v="Oficios varios"/>
    <s v="Ninguna"/>
    <n v="1423500"/>
    <s v="Si"/>
    <s v="NO"/>
    <s v="NO"/>
    <s v="Trabaja en una finca con contrato laboral desempeñando oficios varios relacionados con labores del campo."/>
    <s v="Si"/>
    <s v="Beatriz Elena Díaz Restrepo"/>
    <s v="Soltero"/>
    <s v="PRIMARIA"/>
    <s v="53"/>
    <s v="ama de casa"/>
    <s v="Labores del hogar y cuidado"/>
    <s v="Ama de casa"/>
    <s v="NINGUNA"/>
    <n v="0"/>
    <s v="Si"/>
    <s v="NO"/>
    <s v="NO"/>
    <s v="No tiene empleo formal, se dedica a los cuidados del hogar"/>
    <n v="1423500"/>
    <s v="No, solo vivo con mis padres"/>
    <s v=""/>
    <s v=""/>
    <s v=""/>
    <s v=""/>
    <s v=""/>
    <m/>
    <s v=""/>
    <s v=""/>
    <s v=""/>
    <s v=""/>
    <s v=""/>
    <s v=""/>
    <m/>
    <s v=""/>
    <s v=""/>
    <s v=""/>
    <s v=""/>
    <s v=""/>
    <s v=""/>
    <m/>
    <s v=""/>
    <s v=""/>
    <n v="0"/>
    <n v="0"/>
    <n v="0"/>
    <n v="0"/>
    <n v="0"/>
    <s v="No"/>
    <s v=""/>
    <s v=""/>
    <n v="0"/>
    <s v="No"/>
    <s v=""/>
    <s v=""/>
    <n v="0"/>
    <s v="No"/>
    <s v=""/>
    <s v=""/>
    <s v=""/>
    <n v="0"/>
    <m/>
    <n v="4"/>
    <n v="4"/>
    <n v="4"/>
    <n v="4"/>
    <n v="4"/>
    <n v="4"/>
    <n v="4"/>
    <n v="3"/>
    <n v="3"/>
    <n v="4"/>
    <n v="38"/>
    <s v="SI"/>
    <s v="SI, TIPO IE"/>
    <s v="PRI SIN TIPO IE"/>
    <s v="pendiente tipo ie"/>
    <e v="#N/A"/>
    <e v="#N/A"/>
    <m/>
    <n v="3"/>
    <n v="10"/>
    <n v="10"/>
    <n v="0"/>
    <n v="15"/>
    <n v="15"/>
    <n v="20"/>
    <n v="19.5"/>
    <n v="19"/>
    <n v="79"/>
    <n v="0.7"/>
    <m/>
    <n v="3.5"/>
    <n v="3.5"/>
    <n v="8"/>
    <n v="4"/>
    <n v="3.5"/>
    <n v="3.5"/>
    <n v="8"/>
    <n v="4.5"/>
    <n v="79.5"/>
    <s v="80 - 100%"/>
    <n v="0.8"/>
    <e v="#N/A"/>
    <m/>
    <m/>
    <s v="SI, TIPO IE"/>
    <m/>
    <m/>
    <s v="Ingeniería Agronómica"/>
    <e v="#N/A"/>
    <s v="230"/>
    <e v="#N/A"/>
  </r>
  <r>
    <s v="CC"/>
    <n v="1090274152"/>
    <s v="1000404393"/>
    <s v="MANUELA SALAZAR GIRALDO"/>
    <s v="Estudios por primera vez"/>
    <x v="1"/>
    <s v="No cumple, estrato 4"/>
    <m/>
    <s v="En publico objetivo"/>
    <s v="1er Cohorte"/>
    <s v="Admitido"/>
    <s v="msalazarg8@eafit.edu.co"/>
    <e v="#N/A"/>
    <s v="manu120506@gmail.com"/>
    <s v="573136241901"/>
    <d v="2025-04-25T00:00:00"/>
    <s v="Activo en Programa"/>
    <s v="003-Economía"/>
    <s v="E.Finanzas, Economía, Gobierno"/>
    <d v="2006-12-05T00:00:00"/>
    <n v="19"/>
    <s v="Quindío"/>
    <s v="Armenia"/>
    <s v="Mujer"/>
    <s v="Soltero"/>
    <s v="NO"/>
    <s v="NO"/>
    <n v="0"/>
    <s v="NO"/>
    <s v="NA"/>
    <s v="NO"/>
    <s v="NA"/>
    <s v="NO"/>
    <s v="NA"/>
    <s v="No"/>
    <s v="313/624-1901"/>
    <s v="573136241901"/>
    <s v="Estrato 4"/>
    <s v="CL 9 #13 29"/>
    <s v="Quindío"/>
    <s v="Armenia"/>
    <s v="Si"/>
    <s v="Arriendo"/>
    <s v="SI"/>
    <s v="2024"/>
    <s v="AC202434498697"/>
    <n v="332"/>
    <n v="77"/>
    <n v="64"/>
    <s v="Privada"/>
    <s v="SAN JOSE HERMANOS MARISTAS"/>
    <n v="2024"/>
    <s v="Quindío"/>
    <s v="Armenia"/>
    <s v="BACHILLER"/>
    <s v="ACAD"/>
    <s v="TIPO: Privada, INSTITUCION: SAN JOSE HERMANOS MARISTAS, AÑO: 2024, CIUDAD: Armenia, TITULO: BACHILLER"/>
    <s v="11"/>
    <s v="Escala de 0 - 10"/>
    <s v="Escala de 0 - 10"/>
    <s v="6"/>
    <s v="6,9"/>
    <m/>
    <s v="6"/>
    <s v="7,2"/>
    <m/>
    <n v="7.5"/>
    <n v="7.4"/>
    <m/>
    <n v="7.4"/>
    <n v="7.2"/>
    <m/>
    <s v="6,5"/>
    <s v="7,6"/>
    <m/>
    <s v="6,5"/>
    <s v="6,9"/>
    <m/>
    <s v="6,9"/>
    <s v="6,9"/>
    <m/>
    <s v="De 9 y 10"/>
    <n v="7.375"/>
    <s v="NO"/>
    <s v="NA"/>
    <n v="0"/>
    <n v="0"/>
    <s v="No"/>
    <n v="45"/>
    <m/>
    <n v="50"/>
    <m/>
    <n v="45"/>
    <m/>
    <s v="Aspirante que busca beca talento, de Armenia"/>
    <n v="46.666666666666664"/>
    <s v="Con detalle por componente"/>
    <s v="Deportistas de alto rendimiento o representativo"/>
    <s v="Visualizo mi futuro como economista comprometida con el desarrollo sostenible de mi región y del país. La economía, para mí, no es solo una ciencia social; es una herramienta poderosa para transformar la realidad de comunidades vulnerables como las de mi ciudad natal, Armenia. Desde mi formación en EAFIT, deseo adquirir las habilidades necesarias para proponer soluciones concretas a problemáticas como el desempleo juvenil, la desigualdad y la baja productividad regional._x000a__x000a_Gracias a la beca, podría mudarme a Medellín y acceder a una educación de excelencia, que no solo me forme académicamente, sino que también me inspire a liderar proyectos de impacto social y económico en el Quindío. Esta oportunidad significaría no solo cumplir un sueño personal, sino abrir una puerta para que otros jóvenes de mi región vean la educación como un camino posible._x000a__x000a_Me apasiona la investigación económica, el análisis de datos y el diseño de políticas públicas. En el futuro, aspiro a trabajar en proyectos que fortalezcan la economía local mediante el emprendimiento, la educación financiera y la innovación social._x000a__x000a_Con el lema de EAFIT como guía (inspira, crea, transforma) quiero ser una agente de cambio que, desde la economía, transforme realidades, cree oportunidades y sirva de inspiración para otros jóvenes que, como yo, sueñan con un país más justo y equitativo. La beca no solo apoyaría mi formación, sino que sería el punto de partida para impactar positivamente mi entorno."/>
    <s v="Estudiantes de EAFIT"/>
    <s v="Universidad reconocida."/>
    <s v="Vocación."/>
    <n v="4"/>
    <s v="0"/>
    <s v="SI"/>
    <s v="NO"/>
    <s v="Entre 5 y 6 millones"/>
    <s v="No"/>
    <n v="0"/>
    <n v="0"/>
    <m/>
    <s v="SI"/>
    <s v="Beca"/>
    <s v="NO"/>
    <s v=""/>
    <s v=""/>
    <s v="Si"/>
    <s v="Hermes Augusto Salazar"/>
    <s v="Unión marital"/>
    <s v="TÉCNICA"/>
    <s v="51"/>
    <s v="tecnico"/>
    <s v="Desempleado (Se encuentra en la búsqueda activa de empleo)"/>
    <s v="Comerciante"/>
    <s v="ninguna desde noviembre del 2023"/>
    <n v="5000000"/>
    <s v="Si"/>
    <s v="NO"/>
    <s v="NO"/>
    <s v=""/>
    <s v="Si"/>
    <s v="Natalia Giraldo Ramirez"/>
    <s v="Unión marital"/>
    <s v="TÉCNICA"/>
    <s v="39"/>
    <s v="tecnica"/>
    <s v="Labores del hogar y cuidado"/>
    <s v="Ama de casa"/>
    <s v="NINGUNA"/>
    <n v="0"/>
    <s v="Si"/>
    <s v="NO"/>
    <s v="NO"/>
    <m/>
    <n v="5000000"/>
    <s v="Si"/>
    <s v="Gabriela Ramirez Giraldo"/>
    <s v="Abuelo / Abuela"/>
    <s v="62"/>
    <s v="Pensionada"/>
    <s v="jubilada"/>
    <n v="3000000"/>
    <s v="Si"/>
    <s v=""/>
    <s v=""/>
    <s v=""/>
    <s v=""/>
    <s v=""/>
    <m/>
    <s v=""/>
    <s v=""/>
    <s v=""/>
    <s v=""/>
    <s v=""/>
    <s v=""/>
    <m/>
    <s v=""/>
    <s v=""/>
    <n v="0"/>
    <n v="0"/>
    <n v="0"/>
    <n v="0"/>
    <n v="0"/>
    <s v="No"/>
    <s v=""/>
    <s v=""/>
    <n v="0"/>
    <s v="No"/>
    <s v=""/>
    <s v=""/>
    <n v="0"/>
    <s v="Si"/>
    <s v="Moto"/>
    <s v="nmax"/>
    <s v="2026"/>
    <n v="16000000"/>
    <m/>
    <n v="4"/>
    <n v="4"/>
    <n v="4"/>
    <n v="4"/>
    <n v="4"/>
    <n v="4"/>
    <n v="4"/>
    <n v="4"/>
    <n v="4"/>
    <n v="4"/>
    <n v="40"/>
    <s v="SI"/>
    <m/>
    <s v="SI, SON PRI"/>
    <s v="ok tienen todos los datos"/>
    <s v="Negada"/>
    <n v="20251"/>
    <m/>
    <n v="2"/>
    <n v="4"/>
    <n v="4"/>
    <n v="10"/>
    <n v="10"/>
    <n v="15"/>
    <n v="20"/>
    <n v="16.5"/>
    <n v="13.5"/>
    <n v="72.5"/>
    <n v="0.4"/>
    <m/>
    <n v="2"/>
    <n v="4.5"/>
    <n v="3"/>
    <n v="4"/>
    <n v="2"/>
    <n v="4"/>
    <n v="6"/>
    <n v="4.5"/>
    <n v="75.5"/>
    <n v="0.5"/>
    <n v="0.5"/>
    <e v="#N/A"/>
    <m/>
    <m/>
    <n v="0"/>
    <m/>
    <m/>
    <s v="Economía"/>
    <e v="#N/A"/>
    <s v="003"/>
    <e v="#N/A"/>
  </r>
  <r>
    <s v="TI"/>
    <n v="1090274648"/>
    <s v="1000403610"/>
    <s v="SARA BALLÉN PELÁEZ"/>
    <s v="Estudios por primera vez"/>
    <x v="5"/>
    <s v="Cumple Nutresa"/>
    <s v="Padre profesional"/>
    <s v="En publico objetivo"/>
    <s v="1er Cohorte"/>
    <s v="Admitido"/>
    <s v="sballenp@eafit.edu.co"/>
    <s v="sballenp@eafit.edu.co"/>
    <s v="sarabp0101@gmail.com"/>
    <s v="573015224565"/>
    <d v="2025-04-25T00:00:00"/>
    <s v="Activo en Programa"/>
    <s v="085-Ingeniería Diseño de Producto"/>
    <s v="E Ciencias Aplic e Ingeniería"/>
    <d v="2007-06-05T00:00:00"/>
    <n v="18"/>
    <s v="Quindío"/>
    <s v="Armenia"/>
    <s v="Mujer"/>
    <s v="Soltero"/>
    <s v="NO"/>
    <s v="NO"/>
    <n v="0"/>
    <s v="NO"/>
    <s v="NA"/>
    <s v="NO"/>
    <s v="NA"/>
    <s v="NO"/>
    <s v="NA"/>
    <s v="No"/>
    <s v="606 7296716"/>
    <s v="573015224565"/>
    <s v="Estrato 2"/>
    <s v="PINARES MZ 4# 18"/>
    <s v="Quindío"/>
    <s v="Armenia"/>
    <s v="Si"/>
    <s v="Propio"/>
    <s v="SI"/>
    <s v="2024"/>
    <s v="AC202432227411"/>
    <n v="326"/>
    <n v="71"/>
    <n v="60"/>
    <s v="Pública"/>
    <s v="LAURA VICU?"/>
    <n v="2024"/>
    <s v="Quindío"/>
    <s v="Armenia"/>
    <s v="BACHILLER"/>
    <s v="ACAD"/>
    <s v="TIPO: Pública, INSTITUCION: LAURA VICU?, AÑO: 2024, CIUDAD: Armenia, TITULO: BACHILLER"/>
    <s v="11"/>
    <s v="Escala de 0 - 5"/>
    <s v="Escala de 0 - 5"/>
    <s v="4,6"/>
    <s v="5"/>
    <m/>
    <s v="5"/>
    <s v="5"/>
    <m/>
    <n v="5"/>
    <n v="5"/>
    <m/>
    <n v="5"/>
    <n v="4.3"/>
    <m/>
    <s v="4,3"/>
    <s v="4,4"/>
    <m/>
    <s v="4,2"/>
    <s v="4,4"/>
    <m/>
    <s v="5"/>
    <s v="4,5"/>
    <m/>
    <s v="De 9 y 10"/>
    <n v="4.8250000000000002"/>
    <s v="NO"/>
    <s v="NA"/>
    <n v="0"/>
    <n v="0"/>
    <s v="No"/>
    <n v="45"/>
    <m/>
    <n v="45"/>
    <m/>
    <n v="45"/>
    <m/>
    <s v="vive en Armenia Q. vivira en Medellin con la hermana. buen promedio. no programación."/>
    <n v="45"/>
    <s v="Con detalle por componente"/>
    <s v="Artísticas o culturales,Deportistas de alto rendimiento o representativo,Trabajo social o comunitario"/>
    <s v="Me visualizo como una profesional capaz de diseñar soluciones reales y empáticas que respondan a las necesidades cotidianas de las personas, especialmente aquellas que viven en situaciones difíciles o con bajos recursos. Como ingeniera en diseño de producto, mi meta es crear artefactos funcionales, asequibles y emocionalmente significativos para quienes los usan. Quiero participar en cada etapa del proceso: desde observar el entorno y comprender a las personas, hasta crear prototipos y ver cómo mis ideas se convierten en herramientas que transforman vidas._x000a__x000a_Acceder a esta beca significaría más que una ayuda económica: sería la oportunidad de recibir una formación de alta calidad que me permita fortalecer mis habilidades técnicas y creativas, y, sobre todo, mantener mi objetivo de generar un cambio positivo en mi comunidad. Me motiva la posibilidad de desarrollar proyectos que se conviertan en soluciones prácticas y humanas para las personas que, en el Quindío, aún no cuentan con productos diseñados desde la empatía y la comprensión de su entorno. Quiero regresar a mi región con una visión innovadora y la capacidad de impulsar iniciativas que realmente mejoren la calidad de vida de quienes más lo necesiten."/>
    <s v="Otro"/>
    <s v="Por la oferta académica."/>
    <s v="Vocación."/>
    <n v="3"/>
    <s v="1"/>
    <s v="NO"/>
    <s v="NO"/>
    <s v="Entre 1 y 2 millones"/>
    <s v="No"/>
    <n v="0"/>
    <s v="SI"/>
    <s v="Crédito ICETEX"/>
    <s v="SI"/>
    <s v="Beca"/>
    <s v="NO"/>
    <s v=""/>
    <s v=""/>
    <s v="Si"/>
    <s v="Juan Carlos Ballén Ramírez"/>
    <s v="Otro"/>
    <s v="UNIVERSITARIOS"/>
    <s v="52"/>
    <s v="Administrador de empresas"/>
    <s v="Empleado (con contrato laboral)"/>
    <s v="Administrador Catering"/>
    <s v="Agencia logística de las fuerzas militares regional suroccidente"/>
    <n v="2569133"/>
    <s v="No"/>
    <s v="SI"/>
    <s v="NO"/>
    <s v=""/>
    <s v="Si"/>
    <s v="Alba Liliana Peláez Rivas"/>
    <s v="Soltero"/>
    <s v="BACHILLERATO"/>
    <s v="59"/>
    <s v="Trabajadora Independiente"/>
    <s v="Independiente (trabaja por cuenta propia)"/>
    <s v="Manicurista"/>
    <s v="Domicilio"/>
    <n v="1300000"/>
    <s v="Si"/>
    <s v="NO"/>
    <s v="NO"/>
    <m/>
    <n v="3869133"/>
    <s v="Si"/>
    <s v="Carmelina Rivas Barragán"/>
    <s v="Abuelo / Abuela"/>
    <s v="84"/>
    <s v="Ama de casa"/>
    <s v="Casa"/>
    <n v="0"/>
    <s v="No"/>
    <s v="Laura Ballén Peláez"/>
    <s v="Hermano / Hermana"/>
    <s v="28"/>
    <s v="Publicista"/>
    <s v="Heinsohn business technology"/>
    <n v="2600000"/>
    <s v="Si"/>
    <s v=""/>
    <s v=""/>
    <s v=""/>
    <s v=""/>
    <s v=""/>
    <m/>
    <s v=""/>
    <s v=""/>
    <n v="69392000"/>
    <n v="0"/>
    <n v="0"/>
    <n v="0"/>
    <n v="0"/>
    <s v="No"/>
    <s v=""/>
    <s v=""/>
    <n v="0"/>
    <s v="No"/>
    <s v=""/>
    <s v=""/>
    <n v="0"/>
    <s v="Si"/>
    <s v="Moto"/>
    <s v="Yamaha Crypton Fi"/>
    <s v="2022"/>
    <n v="7000000"/>
    <m/>
    <n v="4"/>
    <n v="4"/>
    <n v="3"/>
    <n v="4"/>
    <n v="4"/>
    <n v="4"/>
    <n v="3"/>
    <n v="3"/>
    <n v="3"/>
    <n v="4"/>
    <n v="36"/>
    <s v="SI"/>
    <m/>
    <s v="SI, SON PRI"/>
    <s v="ok tienen todos los datos"/>
    <e v="#N/A"/>
    <e v="#N/A"/>
    <m/>
    <n v="3"/>
    <n v="10"/>
    <n v="10"/>
    <n v="5"/>
    <n v="20"/>
    <n v="15"/>
    <n v="15"/>
    <n v="16"/>
    <n v="15"/>
    <n v="80"/>
    <n v="0.4"/>
    <m/>
    <n v="3.5"/>
    <n v="2.5"/>
    <n v="6"/>
    <n v="3"/>
    <n v="3.5"/>
    <n v="2.5"/>
    <n v="7"/>
    <n v="3"/>
    <n v="81"/>
    <n v="0.5"/>
    <n v="0.5"/>
    <s v="SARA BALLÉN PELÁEZ"/>
    <m/>
    <m/>
    <n v="0"/>
    <s v="EN ORDEN"/>
    <n v="0"/>
    <s v="Ingeniería Diseño de Producto"/>
    <s v="Pres. para revision docs nutresa"/>
    <m/>
    <s v="NUTRESA"/>
  </r>
  <r>
    <s v="TI"/>
    <n v="1091359726"/>
    <s v="1000385335"/>
    <s v="SARA SOFIA JAIME MONTOYA"/>
    <s v="Estudios por primera vez"/>
    <x v="1"/>
    <s v="No cumple, estrato 4"/>
    <m/>
    <s v="En publico objetivo"/>
    <s v="2da Cohorte"/>
    <s v="Admitido"/>
    <s v="ssjaimem@eafit.edu.co"/>
    <s v="ssjaimem@eafit.edu.co"/>
    <s v="sarasofiajaimemontoya21@gmail.com"/>
    <s v="573142096470"/>
    <d v="2025-05-16T00:00:00"/>
    <s v="Activo en Programa"/>
    <s v="014-Ingeniería Mecánica"/>
    <s v="E Ciencias Aplic e Ingeniería"/>
    <d v="2007-10-21T00:00:00"/>
    <n v="18"/>
    <s v="Norte de Santander"/>
    <s v="Cúcuta"/>
    <s v="Mujer"/>
    <s v="Soltero"/>
    <s v="NO"/>
    <s v="NO"/>
    <n v="0"/>
    <s v="NO"/>
    <s v="NA"/>
    <s v="NO"/>
    <s v="NA"/>
    <s v="NO"/>
    <s v="NA"/>
    <s v="No"/>
    <s v="310/259-9736"/>
    <s v="573142096470"/>
    <s v="Estrato 4"/>
    <s v="CR 83 A #48 BB- 81 CALASANZ"/>
    <s v="Antioquia"/>
    <s v="Medellín"/>
    <s v="No aplica, no soy foráneo"/>
    <s v="Arriendo"/>
    <s v="SI"/>
    <s v="2024"/>
    <s v="AC202431748334"/>
    <n v="392"/>
    <n v="100"/>
    <n v="67"/>
    <s v="Privada"/>
    <s v="COL CORAZONISTA"/>
    <n v="2024"/>
    <s v="Antioquia"/>
    <s v="Medellín"/>
    <s v="BACHILLER"/>
    <n v="0"/>
    <s v="TIPO: Privada, INSTITUCION: COL CORAZONISTA, AÑO: 2024, CIUDAD: Medellín, TITULO: BACHILLER"/>
    <s v="11"/>
    <s v="Escala de 0 - 10"/>
    <s v="Escala de 0 - 10"/>
    <s v="8,3"/>
    <s v="7,7"/>
    <m/>
    <s v="8,3"/>
    <s v="7,7"/>
    <m/>
    <n v="6.3"/>
    <n v="8.1"/>
    <m/>
    <n v="7.8"/>
    <n v="7.3"/>
    <m/>
    <s v="7,9"/>
    <s v="8,5"/>
    <m/>
    <s v="8,7"/>
    <s v="8,5"/>
    <m/>
    <s v="8,3"/>
    <s v="8,2"/>
    <m/>
    <s v="De 9 y 10"/>
    <n v="7.375"/>
    <s v="NO"/>
    <s v="NA"/>
    <n v="0"/>
    <n v="0"/>
    <s v="No"/>
    <n v="50"/>
    <m/>
    <n v="45"/>
    <m/>
    <n v="45"/>
    <m/>
    <s v="Clara elección de pregrado, buena comunicación oral, capacidad de argumentación y coherencia en ideas."/>
    <n v="46.666666666666664"/>
    <s v="Con detalle por componente"/>
    <s v="Artísticas o culturales,Trabajo social o comunitario"/>
    <s v="En un futuro me visualizo ejerciendo la profesión de ingeniería mecánica, la cual puede ser útil en diversos aspectos. Inicialmente, mi enfoque está dirigido al ámbito aeroespacial o aeronáutico, pero también deseo implementar nuevos sistemas mecánicos que contribuyan al bienestar de la población en Colombia. Me veo trabajando para impulsar el avance del país en el mejoramiento de la calidad de vida y el sistema de transporte aéreo. A través de la beca puedo acceder a estudiar mi pregrado en la Universidad EAFIT, donde podré desarrollar los conocimientos necesarios para aportar mejoras a mi lugar de origen: Tibú-Norte de Santander, este municipio se encuentra ubicado en la región del Catatumbo, una zona donde la calidad de vida se encuentra afectada principalmente por la violencia, pero también por la precariedad en los servicios básicos. Los conocimientos que reciba gracias a la Universidad EAFIT pueden generar un impacto positivo en esta región, debido a que la carrera que deseo estudiar me formará profesionalmente para contribuir, mediante diferentes sistemas mecánicos, a la mejora en la generación y distribución de energía, el suministro de agua potable, la explotación y producción sostenible de recursos naturales, y el fortalecimiento de la economía local que puede escalar a nivel nacional. De igual manera, esta región cuenta con muchos recursos para el mejoramiento de la economía en el país, sin embargo, el difícil acceso a esta región representa un obstáculo. Gracias a la ingeniería mecánica, el respaldo de la universidad EAFIT y a mi compromiso como ciudadana, se puede mejorar el sistema de transporte hacia esta zona, de forma que llegar no sea riesgoso ni demorado. Mejorando así el sector de la economía, transporte y calidad de vida."/>
    <s v="Redes sociales"/>
    <s v="Por la calidad académica."/>
    <s v="Vocación."/>
    <n v="2"/>
    <s v="3"/>
    <s v="NO"/>
    <s v="NO"/>
    <s v="Entre 3 y 4 millones"/>
    <s v="No"/>
    <s v="SI"/>
    <s v="NO"/>
    <m/>
    <s v="SI"/>
    <s v="Beca"/>
    <s v="NO"/>
    <s v=""/>
    <s v=""/>
    <s v="Si"/>
    <s v="Julio César Jaime Rueda"/>
    <s v="Soltero"/>
    <s v="TECNOLOGÍA"/>
    <s v="52"/>
    <s v="Comerciante"/>
    <s v="Independiente (trabaja por cuenta propia)"/>
    <s v="Comerciante Independiente"/>
    <s v="Particular"/>
    <n v="1500000"/>
    <s v="No"/>
    <s v="SI"/>
    <s v="NO"/>
    <s v=""/>
    <s v="Si"/>
    <s v="Aura Elena Montoya Gómez"/>
    <s v="Unión marital"/>
    <s v="UNIVERSITARIOS"/>
    <s v="42"/>
    <s v="Enfermera"/>
    <s v="Empleado (con contrato laboral)"/>
    <s v="PROFESIONAL DE ACCESO DE PSP"/>
    <s v="CENCISALUD S.A.S."/>
    <n v="3388000"/>
    <s v="Si"/>
    <s v="NO"/>
    <s v="NO"/>
    <m/>
    <n v="4888000"/>
    <s v="Si"/>
    <s v="Luigi Alejandro Montagut Montoya"/>
    <s v="Hermano / Hermana"/>
    <s v="5"/>
    <s v="Estudiante"/>
    <s v="Gimnasio Infantil Pepe Grillo"/>
    <n v="0"/>
    <s v="No"/>
    <s v=""/>
    <s v=""/>
    <s v=""/>
    <s v=""/>
    <s v=""/>
    <m/>
    <s v=""/>
    <s v=""/>
    <s v=""/>
    <s v=""/>
    <s v=""/>
    <s v=""/>
    <m/>
    <s v=""/>
    <s v=""/>
    <n v="50000000"/>
    <n v="0"/>
    <n v="0"/>
    <n v="0"/>
    <n v="0"/>
    <s v="Si"/>
    <s v="Toyota"/>
    <s v="1998"/>
    <n v="10000000"/>
    <s v="No"/>
    <s v=""/>
    <s v=""/>
    <n v="0"/>
    <s v="No"/>
    <s v=""/>
    <s v=""/>
    <s v=""/>
    <n v="0"/>
    <m/>
    <n v="4"/>
    <n v="4"/>
    <n v="3"/>
    <n v="4"/>
    <n v="3"/>
    <n v="3"/>
    <n v="3"/>
    <n v="4"/>
    <n v="2"/>
    <n v="3"/>
    <n v="33"/>
    <s v="SI"/>
    <m/>
    <s v="SI, SON PRI"/>
    <s v="ok tienen todos los datos"/>
    <e v="#N/A"/>
    <e v="#N/A"/>
    <m/>
    <n v="3"/>
    <n v="4"/>
    <n v="4"/>
    <n v="15"/>
    <n v="10"/>
    <n v="10"/>
    <n v="20"/>
    <n v="14"/>
    <n v="14.5"/>
    <n v="73.5"/>
    <n v="0.4"/>
    <m/>
    <n v="2"/>
    <n v="3.5"/>
    <n v="6"/>
    <n v="3"/>
    <n v="2"/>
    <n v="3"/>
    <n v="6"/>
    <n v="3"/>
    <n v="73"/>
    <n v="0.5"/>
    <n v="0.5"/>
    <e v="#N/A"/>
    <m/>
    <m/>
    <n v="0"/>
    <m/>
    <m/>
    <s v="Ingeniería Mecánica"/>
    <e v="#N/A"/>
    <s v="014"/>
    <e v="#N/A"/>
  </r>
  <r>
    <s v="CC"/>
    <n v="1091968947"/>
    <s v="1000404015"/>
    <s v="SANTIAGO PÉREZ PARRA"/>
    <s v="Transferencia Externa"/>
    <x v="1"/>
    <s v="No cumple, otros estudios de pregrado"/>
    <m/>
    <s v="En publico objetivo"/>
    <s v="2da Cohorte"/>
    <s v="Admitido"/>
    <s v="sperezp15@eafit.edu.co"/>
    <e v="#N/A"/>
    <s v="santiagoperezparra122005@gmail.com"/>
    <s v="573053456402"/>
    <d v="2025-05-16T00:00:00"/>
    <s v="Activo en Programa"/>
    <s v="111-Ciencias Políticas"/>
    <s v="E.Finanzas, Economía, Gobierno"/>
    <d v="2005-11-11T00:00:00"/>
    <n v="20"/>
    <s v="Norte de Santander"/>
    <s v="Cúcuta"/>
    <s v="Hombre"/>
    <s v="Soltero"/>
    <s v="NO"/>
    <s v="NO"/>
    <n v="0"/>
    <s v="NO"/>
    <s v="NA"/>
    <s v="NO"/>
    <s v="NA"/>
    <s v="NO"/>
    <s v="NA"/>
    <s v="No"/>
    <s v="305/345-6402"/>
    <s v="573053456402"/>
    <s v="Estrato 3"/>
    <s v="CUATRO ESQUINAS LA LELA- CR 40 #38 A- 15"/>
    <s v="Antioquia"/>
    <s v="Rionegro"/>
    <s v="No aplica, no soy foráneo"/>
    <s v="Arriendo"/>
    <s v="SI"/>
    <s v="2022"/>
    <s v="AC202240549152"/>
    <n v="360"/>
    <n v="76"/>
    <n v="71"/>
    <s v="Privada"/>
    <s v="COLEGIO SAN ANTONIO DE PEREIRA"/>
    <n v="2022"/>
    <s v="Antioquia"/>
    <s v="Rionegro"/>
    <s v="BACHILLER"/>
    <s v="ACAD"/>
    <s v="TIPO: Privada, INSTITUCION: COLEGIO SAN ANTONIO DE PEREIRA, AÑO: 2022, CIUDAD: Rionegro, TITULO: BACHILLER"/>
    <n v="0"/>
    <n v="0"/>
    <s v="PCA TEX"/>
    <m/>
    <m/>
    <m/>
    <m/>
    <m/>
    <m/>
    <m/>
    <m/>
    <m/>
    <m/>
    <m/>
    <m/>
    <m/>
    <m/>
    <m/>
    <m/>
    <m/>
    <m/>
    <m/>
    <m/>
    <m/>
    <s v="Ver PCA TEX"/>
    <n v="4.5999999999999996"/>
    <s v="SI"/>
    <s v="TIPO: Pública, INSTITUCION: UNIVERSIDAD DE ANTIOQUIA, AÑO: 0, CIUDAD: Medellín, TITULO: POLITÓLOGO (Medellín)"/>
    <s v="PREGRADO"/>
    <s v=" TITULO: POLITÓLOGO (Medellín)"/>
    <s v="No"/>
    <n v="45"/>
    <m/>
    <n v="50"/>
    <m/>
    <n v="50"/>
    <m/>
    <m/>
    <n v="48.333333333333336"/>
    <s v="Con detalle por componente"/>
    <s v="Trabajo social o comunitario,Espacios de liderazgo o representación social"/>
    <s v="Me proyecto trabajando como politólogo en el sector público, como consultor en el sector privado o realizando investigaciones en una institución de educación superior. La obtención de una beca en la universidad EAFIT me permitiría acceder a una educación continua de calidad y a graduarme como politólogo. Me permitiría, además, contribuir a la comunidad académica en el área de la ciencia política, denunciar malos procesos e injusticias, al igual que ayudar a entender fenómenos políticos y procesos sociales que sucedan en mi municipio, Rionegro."/>
    <s v="Referencias familiares"/>
    <s v="Proyección laboral."/>
    <s v="Certificación."/>
    <n v="1"/>
    <s v="0"/>
    <s v="SI"/>
    <s v="NO"/>
    <s v="Entre 1 y 2 millones"/>
    <s v="No"/>
    <n v="0"/>
    <n v="0"/>
    <m/>
    <s v="SI"/>
    <s v="Beca"/>
    <s v="NO"/>
    <s v=""/>
    <s v=""/>
    <s v="Sin información"/>
    <n v="0"/>
    <m/>
    <m/>
    <m/>
    <s v=""/>
    <s v=""/>
    <m/>
    <s v=""/>
    <m/>
    <s v=""/>
    <m/>
    <m/>
    <s v="Llevo más de 10 años sin saber de él."/>
    <s v="Si"/>
    <s v="Mayra Alejandra Parra Quintero."/>
    <s v="Soltero"/>
    <s v="UNIVERSITARIOS"/>
    <s v="41"/>
    <s v="Secretaria."/>
    <s v="Empleado (con contrato laboral)"/>
    <s v="Secretaria."/>
    <s v="Ciclototal."/>
    <n v="1800000"/>
    <s v="No"/>
    <s v="NO"/>
    <s v="NO"/>
    <s v="No recibo apoyo económico de mi madre. Siempre he vivido con mis abuelos."/>
    <n v="1800000"/>
    <s v="Si"/>
    <s v="María Lida Quintero de Parra"/>
    <s v="Abuelo / Abuela"/>
    <s v="73"/>
    <s v="Cuidadora."/>
    <s v="No aplica."/>
    <n v="1600000"/>
    <s v="Si"/>
    <s v=""/>
    <s v=""/>
    <s v=""/>
    <s v=""/>
    <s v=""/>
    <m/>
    <s v=""/>
    <s v=""/>
    <s v=""/>
    <s v=""/>
    <s v=""/>
    <s v=""/>
    <m/>
    <s v=""/>
    <s v=""/>
    <n v="0"/>
    <n v="0"/>
    <n v="0"/>
    <n v="0"/>
    <n v="0"/>
    <s v="No"/>
    <s v=""/>
    <s v=""/>
    <n v="0"/>
    <s v="No"/>
    <s v=""/>
    <s v=""/>
    <n v="0"/>
    <s v="No"/>
    <s v=""/>
    <s v=""/>
    <s v=""/>
    <n v="0"/>
    <s v="Poseemos muebles y electrodomésticos en casa."/>
    <n v="4"/>
    <n v="4"/>
    <n v="4"/>
    <n v="4"/>
    <n v="4"/>
    <n v="4"/>
    <n v="2"/>
    <n v="4"/>
    <n v="3"/>
    <n v="3"/>
    <n v="36"/>
    <s v="SI"/>
    <m/>
    <s v="SI, SON TEX, EN LUGAR DE NOTAS TIENEN PCA"/>
    <s v="ok tienen todos los datos"/>
    <e v="#N/A"/>
    <e v="#N/A"/>
    <m/>
    <n v="1"/>
    <n v="10"/>
    <n v="8"/>
    <n v="10"/>
    <n v="20"/>
    <n v="15"/>
    <n v="20"/>
    <n v="18.5"/>
    <n v="18.5"/>
    <n v="93.5"/>
    <n v="0.6"/>
    <m/>
    <n v="2"/>
    <n v="4.5"/>
    <n v="8"/>
    <n v="4"/>
    <n v="2"/>
    <n v="4"/>
    <n v="8"/>
    <n v="4.5"/>
    <n v="91.5"/>
    <n v="0.7"/>
    <n v="0.8"/>
    <e v="#N/A"/>
    <m/>
    <m/>
    <n v="0"/>
    <m/>
    <m/>
    <s v="Ciencias Políticas"/>
    <e v="#N/A"/>
    <s v="111"/>
    <e v="#N/A"/>
  </r>
  <r>
    <s v="TI"/>
    <n v="1092456735"/>
    <s v="1000367185"/>
    <s v="MARIANA ARREDONDO JARAMILLO"/>
    <s v="Estudios por primera vez"/>
    <x v="1"/>
    <s v="Descartado por ingresos altos"/>
    <m/>
    <s v="En publico objetivo"/>
    <s v="2da Cohorte"/>
    <s v="Admitido"/>
    <s v="marredondj@eafit.edu.co"/>
    <s v="marredondj@eafit.edu.co"/>
    <s v="marredondj@eafit.edu.co"/>
    <s v="573024760976"/>
    <d v="2025-05-16T00:00:00"/>
    <s v="Activo en Programa"/>
    <s v="112-Comunicación Social"/>
    <s v="Escuela de Artes y Humanidades"/>
    <d v="2006-08-23T00:00:00"/>
    <n v="19"/>
    <s v="Quindío"/>
    <s v="Armenia"/>
    <s v="Mujer"/>
    <s v="Soltero"/>
    <s v="NO"/>
    <s v="NO"/>
    <n v="0"/>
    <s v="NO"/>
    <s v="NA"/>
    <s v="NO"/>
    <s v="NA"/>
    <s v="NO"/>
    <s v="NA"/>
    <s v="No"/>
    <s v="317/306-6819"/>
    <s v="573024760976"/>
    <s v="Estrato 3"/>
    <s v="FINCA EL ROSAL VEREDA BOQUIA"/>
    <s v="Quindío"/>
    <s v="Salento"/>
    <s v="Si"/>
    <s v="Familiar"/>
    <s v="SI"/>
    <s v="2022"/>
    <s v="AC202240763656"/>
    <n v="307"/>
    <n v="51"/>
    <n v="72"/>
    <s v="Privada"/>
    <s v="MARIA INMACULADA"/>
    <n v="2022"/>
    <s v="Quindío"/>
    <s v="Armenia"/>
    <s v="BACHILLER"/>
    <s v="ACAD"/>
    <s v="TIPO: Privada, INSTITUCION: MARIA INMACULADA, AÑO: 2022, CIUDAD: Armenia, TITULO: BACHILLER"/>
    <s v="11"/>
    <s v="Escala Desempeño"/>
    <s v="Escala de 0 - 5"/>
    <s v="4,5"/>
    <s v="4,5"/>
    <s v="4"/>
    <s v="4,5"/>
    <s v="4"/>
    <s v="4"/>
    <n v="5"/>
    <n v="4.5"/>
    <n v="4"/>
    <n v="4.5"/>
    <n v="4.5"/>
    <n v="4"/>
    <s v="4"/>
    <s v="4"/>
    <s v="4"/>
    <s v="4,5"/>
    <s v="5"/>
    <s v="4"/>
    <s v="4,5"/>
    <s v="4,5"/>
    <s v="4"/>
    <s v="De 9, 10 y 11"/>
    <n v="4.416666666666667"/>
    <s v="NO"/>
    <s v="NA"/>
    <n v="0"/>
    <n v="0"/>
    <s v="No"/>
    <n v="35"/>
    <m/>
    <n v="50"/>
    <m/>
    <n v="45"/>
    <m/>
    <m/>
    <n v="43.333333333333336"/>
    <s v="Con detalle por componente"/>
    <s v="Artísticas o culturales,Trabajo social o comunitario"/>
    <s v="Me visualizo ejerciendo la carrera de comunicación social con sumo compromiso y conciencia, como una herramienta fundamental de todo lo que nos conecta como sociedad, desempeñándome con responsabilidad y con el fin de ser un pilar importante para contribuir al cambio. Utilizando mi voz, las letras, la información y la imagen para darle más protagonismo a diversas problemáticas sociales y a todas las realidades más invisibilizadas y vulneradas de nuestro país. Deseo aportar significativamente a través del servicio a la comunidad, siendo la voz de los que merecen ser escuchados, de aquellos cuyas historias merecen ser contadas, siempre desde una posición integral y ética, empleando los diferentes medios locales, plataformas, organizaciones y proyectos, para promover la transformación colectiva y así generar un bienestar común. El departamento del Quindio enfrenta bastantes desafíos sociales, dando como resultado la falta de oportunidades, el desempleo y un lento desarrollo, así que me gustaría impulsar mi departamento mediante campañas comunicativas, promoviendo puntos fuertes y estratégicos, propios del departamento, como el turismo, todo lo relacionado al café y el agro, visibilizando productos y emprendimientos locales, e incentivando al desarrollo sostenible, que por consecuencia podría impulsar la economía y a su vez, generar más oportunidades. Como futura Comunicadora Social, es mi deber impulsar, transformar, promover y ayudar a las diferentes comunidades, así es como asumo el compromiso de informar, movilizar y construir narrativas que generen impacto, desde una profunda vocación de servicio, con empatía, profesionalismo y visión transformadora."/>
    <s v="Página WEB"/>
    <s v="Por estar acreditada."/>
    <s v="Vocación."/>
    <n v="3"/>
    <s v="1"/>
    <s v="NO"/>
    <s v="NO"/>
    <s v="Entre 4 y 5 millones"/>
    <s v="No"/>
    <n v="0"/>
    <n v="0"/>
    <m/>
    <s v="SI"/>
    <m/>
    <s v="NO"/>
    <s v=""/>
    <s v=""/>
    <s v="Si"/>
    <s v="Luis Miguel Arredondo Patiño"/>
    <s v="Soltero"/>
    <s v="ESPECIALIZACIÓN"/>
    <s v="66"/>
    <s v="Profesional especializado, Docencia"/>
    <s v="Empleado (con contrato laboral)"/>
    <s v="profesional universitario"/>
    <s v="Gobernación del Quindio-Laboratorio de salud publica y Universidad del Quindio"/>
    <n v="7600000"/>
    <s v="No"/>
    <s v="SI"/>
    <s v="NO"/>
    <s v="Bacteriólogo especialista en gerencia de sistemas de salud. Padre afectuoso, responsable y presente."/>
    <s v="Si"/>
    <s v="Elizabeth Jaramillo Bedoya"/>
    <s v="Soltero"/>
    <s v="ESPECIALIZACIÓN"/>
    <s v="49"/>
    <s v="Profesional especializado"/>
    <s v="Empleado (con contrato laboral)"/>
    <s v="Bacterióloga"/>
    <s v="Gobernación del Quindio-Laboratorio de salud publica"/>
    <n v="4000000"/>
    <s v="Si"/>
    <s v="NO"/>
    <s v="NO"/>
    <s v="Madre amorosa, incondicional, trabajadora y presente."/>
    <n v="11600000"/>
    <s v="Si"/>
    <s v="Sofia Varela Jaramillo"/>
    <s v="Hermano / Hermana"/>
    <s v="25"/>
    <s v="Estudiante"/>
    <s v="SENA"/>
    <n v="0"/>
    <s v="No"/>
    <s v="Maria Bedoya"/>
    <s v="Abuelo / Abuela"/>
    <s v="70"/>
    <s v="Ama de casa"/>
    <s v="NA"/>
    <n v="0"/>
    <s v="No"/>
    <s v=""/>
    <s v=""/>
    <s v=""/>
    <s v=""/>
    <s v=""/>
    <m/>
    <s v=""/>
    <s v="Unido, apoyo mutuo, estable. Hogar basado en la tolerancia, amor y respeto."/>
    <n v="0"/>
    <n v="0"/>
    <n v="0"/>
    <n v="0"/>
    <n v="0"/>
    <s v="Si"/>
    <s v="Renault"/>
    <s v="2005"/>
    <n v="12000000"/>
    <s v="No"/>
    <s v=""/>
    <s v=""/>
    <n v="0"/>
    <s v="No"/>
    <s v=""/>
    <s v=""/>
    <s v=""/>
    <n v="0"/>
    <s v="NA"/>
    <n v="4"/>
    <n v="4"/>
    <n v="3"/>
    <n v="3"/>
    <n v="3"/>
    <n v="3"/>
    <n v="4"/>
    <n v="3"/>
    <n v="3"/>
    <n v="3"/>
    <n v="33"/>
    <s v="SI"/>
    <m/>
    <s v="SI, SON PRI"/>
    <s v="ok tienen todos los datos"/>
    <e v="#N/A"/>
    <e v="#N/A"/>
    <m/>
    <n v="2"/>
    <n v="10"/>
    <n v="8"/>
    <n v="5"/>
    <n v="15"/>
    <n v="10"/>
    <n v="15"/>
    <n v="10"/>
    <n v="9.5"/>
    <n v="64.5"/>
    <n v="0.4"/>
    <m/>
    <n v="2"/>
    <n v="3.5"/>
    <n v="0"/>
    <n v="4"/>
    <n v="2"/>
    <n v="3.5"/>
    <n v="0"/>
    <n v="4.5"/>
    <n v="63"/>
    <n v="0.4"/>
    <n v="0.4"/>
    <e v="#N/A"/>
    <m/>
    <m/>
    <n v="0"/>
    <m/>
    <m/>
    <s v="Comunicación Social"/>
    <e v="#N/A"/>
    <s v="112"/>
    <e v="#N/A"/>
  </r>
  <r>
    <s v="TI"/>
    <n v="1092734083"/>
    <s v="1000382992"/>
    <s v="MATEO BACCA VERJEL"/>
    <s v="Cupo Reservado"/>
    <x v="1"/>
    <s v="Descartado por ingresos altos"/>
    <m/>
    <s v="En publico objetivo"/>
    <s v="1er Cohorte"/>
    <s v="Admitido"/>
    <s v="mbaccav@eafit.edu.co"/>
    <s v="mbaccav@eafit.edu.co"/>
    <s v="mateobacca54@gmail.com"/>
    <s v="573162395098"/>
    <d v="2025-04-25T00:00:00"/>
    <s v="Activo en Programa"/>
    <s v="199-Finanzas"/>
    <s v="E.Finanzas, Economía, Gobierno"/>
    <d v="2008-01-11T00:00:00"/>
    <n v="17"/>
    <s v="Norte de Santander"/>
    <s v="Ocaña"/>
    <s v="Hombre"/>
    <s v="Soltero"/>
    <s v="NO"/>
    <s v="NO"/>
    <n v="0"/>
    <s v="NO"/>
    <s v="NA"/>
    <s v="NO"/>
    <s v="NA"/>
    <s v="NO"/>
    <s v="NA"/>
    <s v="No"/>
    <s v="315/894-4411"/>
    <s v="573162395098"/>
    <s v="Estrato 2"/>
    <s v="NATURA AP 103 GIRASOLES TO B"/>
    <s v="Norte de Santander"/>
    <s v="Cúcuta"/>
    <s v="Si"/>
    <s v="Propio"/>
    <s v="SI"/>
    <n v="2024"/>
    <s v="AC202432868818"/>
    <n v="378"/>
    <n v="83"/>
    <n v="80"/>
    <s v="Privada"/>
    <s v="COL SANTO ANGEL DE LA GUARDA"/>
    <n v="2024"/>
    <m/>
    <s v="Cúcuta"/>
    <n v="0"/>
    <s v="BACHILLER"/>
    <s v="TIPO: Privada, INSTITUCION: COL SANTO ANGEL DE LA GUARDA, AÑO: 2024, CIUDAD: Cúcuta, TITULO: BACHILLER"/>
    <n v="0"/>
    <n v="0"/>
    <s v="Escala de 0 - 10"/>
    <m/>
    <s v="6"/>
    <m/>
    <m/>
    <s v="6"/>
    <m/>
    <m/>
    <n v="7.38"/>
    <m/>
    <m/>
    <n v="7.53"/>
    <m/>
    <m/>
    <s v="6"/>
    <m/>
    <m/>
    <s v="6"/>
    <m/>
    <m/>
    <s v="8"/>
    <m/>
    <s v="Solo de 10"/>
    <n v="7.4550000000000001"/>
    <s v="NA"/>
    <s v="NA"/>
    <n v="0"/>
    <n v="0"/>
    <s v="No"/>
    <s v="Sin informacion"/>
    <s v="Sin informacion"/>
    <s v="Sin informacion"/>
    <s v="Sin informacion"/>
    <s v="Sin informacion"/>
    <s v="Sin informacion"/>
    <s v="No se había postulado anteriormente a la convocatoria de becas"/>
    <n v="35"/>
    <s v="Cupo reservado"/>
    <s v="Trabajo social o comunitario,Espacios de liderazgo o representación social,Deportistas de alto rendimiento o representativo"/>
    <s v="Me visualizo como un profesional de Finanzas comprometido con el crecimiento de la empresa Familiar (FERRETERIA) y aspiro ejercer mis conocimientos para desarrollar su potencial y llegar a nuevos mercados. También me visualizo liderando proyectos innovadores que promuevan el desarrollo sostenible, mejoren la calidad de vida de las personas y abran nuevas oportunidades. Mi meta es convertirme en un profesional que no le tema a los cambios, capaz de identificar las necesidades y proponer soluciones._x000a_La obtención de esta beca representa para mí mucho más que un apoyo económico: es una oportunidad para formarme de manera integral y devolver ese respaldo a mi familia. Con esta formación, podré implementar iniciativas que fomenten el empleo, fortalezcan la educación, mejoren el acceso a servicios básicos y contribuyan a la equidad social de mi departamento Norte de Santander que se ha visto últimamente tan afectada por el conflicto y el alto índice de desempleo. Creo firmemente que la transformación comienza a nivel local, y sueño con inspirar a otros jóvenes de mi comunidad para que también persigan sus sueños y participen activamente en la construcción de un futuro más justo y próspero._x000a_Gracias a esta beca, no solo cumpliré mi objetivo personal de ser un profesional competente y comprometido, sino que también aportaré a la creación de una región más resiliente, innovadora y solidaria."/>
    <s v="A través del Colegio"/>
    <s v="Internacionalización."/>
    <s v="Vocación."/>
    <n v="3"/>
    <s v="Sin informacion"/>
    <s v="Sin informacion"/>
    <s v="Sin informacion"/>
    <s v="Sin informacion"/>
    <s v="Si"/>
    <n v="0"/>
    <s v="SI"/>
    <s v="Crédito educativo propio"/>
    <s v="SI"/>
    <s v="Beca"/>
    <s v="NO"/>
    <s v=""/>
    <s v=""/>
    <s v="Si"/>
    <s v="Diego Fernando Bacca Verjel"/>
    <s v="Casado"/>
    <s v="ESPECIALIZACIÓN"/>
    <s v="44"/>
    <s v="Ingeniero de Sistemas"/>
    <s v="Empleado (con contrato laboral)"/>
    <s v="Director ejecutivo"/>
    <s v="Ferretito S.A.S"/>
    <n v="8370000"/>
    <s v="Si"/>
    <s v="SI"/>
    <s v="NO"/>
    <s v="Es un padre responsable que siempre me ha exigido dar lo mejor de mí y ha estado en los momentos más cruciales de mi vida. Aunque en ocasiones tenemos nuestras diferencias, él es un ejemplo a seguir para mí en muchos aspectos de la vida."/>
    <s v="Si"/>
    <s v="Tania Paola Verjel Perez"/>
    <s v="Casado"/>
    <s v="UNIVERSITARIOS"/>
    <s v="47"/>
    <s v="Administración de empresas"/>
    <s v="Desempleado (Se encuentra en la búsqueda activa de empleo)"/>
    <s v="Cuidado del hogar"/>
    <s v="En casa"/>
    <n v="0"/>
    <s v="No"/>
    <s v="NO"/>
    <s v="NO"/>
    <s v="Debido a la separación de mis padres, mi madre no vive conmigo y, por el momento, no está económicamente muy bien. Sin embargo, ella siempre ha estado pendiente de mí y la quiero demasiado. Aunque no viva con ella, ha sido una gran madre."/>
    <n v="8370000"/>
    <s v="Si"/>
    <s v="Diana Carolina Triana Verjel"/>
    <s v="Novia de mi padre"/>
    <s v="39"/>
    <s v="Finanzas relaciones internacionales"/>
    <s v="Hoteles Decamerón"/>
    <n v="3000000"/>
    <s v="No"/>
    <s v=""/>
    <s v=""/>
    <s v=""/>
    <s v=""/>
    <s v=""/>
    <m/>
    <s v=""/>
    <s v=""/>
    <s v=""/>
    <s v=""/>
    <s v=""/>
    <s v=""/>
    <m/>
    <s v=""/>
    <s v=""/>
    <n v="369000000"/>
    <n v="150000000"/>
    <n v="0"/>
    <n v="0"/>
    <n v="0"/>
    <s v="Si"/>
    <s v="KIA"/>
    <s v="2017"/>
    <n v="60000000"/>
    <s v="Si"/>
    <s v="Dodge"/>
    <s v="1976"/>
    <n v="20000000"/>
    <s v="No"/>
    <s v=""/>
    <s v=""/>
    <s v=""/>
    <n v="0"/>
    <s v="En estos momentos los vienes se encuentran con medida de embargo y secuestro debido al proceso de divorcio de mis padres."/>
    <n v="4"/>
    <n v="4"/>
    <n v="3"/>
    <n v="4"/>
    <n v="3"/>
    <n v="4"/>
    <n v="3"/>
    <n v="4"/>
    <n v="2"/>
    <n v="3"/>
    <n v="34"/>
    <s v="SI"/>
    <s v="SI, CRE"/>
    <s v="Son CRE, sin tipo de vivienda, nada del ICFES, sin nada de entrevista, y con solo 1 nota del colegio"/>
    <s v="se reviso docs, sin tipo de vivienda ni entrevista"/>
    <e v="#N/A"/>
    <e v="#N/A"/>
    <m/>
    <n v="2"/>
    <n v="10"/>
    <n v="10"/>
    <n v="15"/>
    <n v="10"/>
    <n v="10"/>
    <n v="5"/>
    <n v="5.5"/>
    <n v="5.5"/>
    <n v="55.5"/>
    <n v="0.4"/>
    <m/>
    <n v="2"/>
    <n v="2.5"/>
    <n v="1"/>
    <n v="0"/>
    <n v="2"/>
    <n v="2.5"/>
    <n v="1"/>
    <n v="0"/>
    <n v="55.5"/>
    <n v="0.4"/>
    <n v="0.4"/>
    <e v="#N/A"/>
    <m/>
    <m/>
    <s v="SI, CRE"/>
    <m/>
    <m/>
    <s v="Finanzas"/>
    <e v="#N/A"/>
    <s v="199"/>
    <e v="#N/A"/>
  </r>
  <r>
    <s v="TI"/>
    <n v="1092734660"/>
    <s v="1000389472"/>
    <s v="ANTUAN ALEJANDRO NAVARRO ORTIZ"/>
    <s v="Estudios por primera vez"/>
    <x v="1"/>
    <s v="Descartado por notas"/>
    <m/>
    <s v="En publico objetivo"/>
    <s v="3ra Cohorte"/>
    <s v="Admitido"/>
    <s v="aanavarroo@eafit.edu.co"/>
    <s v="aanavarroo@eafit.edu.co"/>
    <s v="antuan.alejonavarro1@gmail.com"/>
    <s v="573232820271"/>
    <d v="2025-05-30T00:00:00"/>
    <s v="Activo en Programa"/>
    <s v="010-Ingeniería de Sistemas"/>
    <s v="E Ciencias Aplic e Ingeniería"/>
    <d v="2008-04-03T00:00:00"/>
    <n v="17"/>
    <s v="Norte de Santander"/>
    <s v="Ocaña"/>
    <s v="Hombre"/>
    <s v="Soltero"/>
    <s v="SI"/>
    <s v="SI"/>
    <s v="Teorama"/>
    <s v="NO"/>
    <s v="NA"/>
    <s v="NO"/>
    <s v="NA"/>
    <s v="NO"/>
    <s v="NA"/>
    <s v="No"/>
    <s v="322/392-2401"/>
    <s v="573232820271"/>
    <s v="Estrato 2"/>
    <s v="CR 48 #316"/>
    <s v="Norte de Santander"/>
    <s v="Ocaña"/>
    <s v="Si"/>
    <s v="Arriendo"/>
    <s v="SI"/>
    <s v="2024"/>
    <s v="AC202436819353"/>
    <n v="381"/>
    <n v="100"/>
    <n v="68"/>
    <s v="Pública"/>
    <s v="ITN INDUSTRIAL LUCIO PABON NUÑ"/>
    <n v="2024"/>
    <s v="Norte de Santander"/>
    <s v="Ocaña"/>
    <s v="BACHILLER"/>
    <s v="TECN"/>
    <s v="TIPO: Pública, INSTITUCION: ITN INDUSTRIAL LUCIO PABON NUÑ, AÑO: 2024, CIUDAD: Ocaña, TITULO: BACHILLER"/>
    <s v="11"/>
    <s v="Escala de 0 - 5"/>
    <s v="Escala de 0 - 5"/>
    <s v="3,4"/>
    <s v="4"/>
    <m/>
    <s v="4"/>
    <s v="4"/>
    <m/>
    <n v="4"/>
    <n v="3.5"/>
    <m/>
    <n v="3.4"/>
    <n v="3.9"/>
    <m/>
    <s v="3,4"/>
    <s v="4"/>
    <m/>
    <s v="4,1"/>
    <s v="5"/>
    <m/>
    <s v="4,1"/>
    <s v="3,5"/>
    <m/>
    <s v="De 9 y 10"/>
    <n v="3.7"/>
    <s v="NO"/>
    <s v="NA"/>
    <n v="0"/>
    <n v="0"/>
    <s v="No"/>
    <n v="45"/>
    <m/>
    <n v="50"/>
    <m/>
    <n v="50"/>
    <m/>
    <m/>
    <n v="48.333333333333336"/>
    <s v="Con detalle por componente"/>
    <s v="Deportistas de alto rendimiento o representativo,Espacios de liderazgo o representación social,Trabajo social o comunitario"/>
    <s v="Planeo crear aplicaciones que apoyen a todo tipo de personas, con la ayuda de mis conocimientos posteriormente obtenidos se que podre mejorar para bien la eficiencia en la que las personas se mueven, pagan y gestionan lugares. Gracias a esto modernizaremos cada vez mas nuestras vidas mejorando su calidad."/>
    <s v="Página WEB"/>
    <s v="Por recomendación."/>
    <s v="Alta empleabilidad."/>
    <n v="4"/>
    <s v="4"/>
    <s v="SI"/>
    <s v="NO"/>
    <s v="Entre 1 y 2 millones"/>
    <s v="Si"/>
    <s v="SI"/>
    <s v="NO"/>
    <m/>
    <s v="SI"/>
    <s v="Beca"/>
    <s v="SI"/>
    <s v="CONFECCIONES ROSITA DURÁN"/>
    <s v="Empleado"/>
    <s v="Si"/>
    <s v="Antuan Rachid Navarro Castillo"/>
    <m/>
    <m/>
    <m/>
    <s v="Comerciante"/>
    <s v="Independiente (trabaja por cuenta propia)"/>
    <s v="Vendedor"/>
    <s v="Independiente"/>
    <n v="1380000"/>
    <s v="No"/>
    <m/>
    <m/>
    <s v="No reside en la misma vivienda, mantiene una comunicación restringida con los menores y aporta un mínimo estipulado en una demanda de alimentos"/>
    <s v="Si"/>
    <s v="Leidy Yohana Ortiz Duran"/>
    <s v="Soltero"/>
    <s v="UNIVERSITARIOS"/>
    <s v="39"/>
    <s v="Costurera"/>
    <s v="Independiente (trabaja por cuenta propia)"/>
    <s v="Confecciona ropa"/>
    <s v="Confecciones Rosita Duran"/>
    <n v="1423000"/>
    <s v="Si"/>
    <s v="SI"/>
    <s v="NO"/>
    <s v="Madre cabeza de hogar"/>
    <n v="2803000"/>
    <s v="Si"/>
    <s v="antuan felipe navarro ortiz"/>
    <s v="Hermano / Hermana"/>
    <s v="10"/>
    <s v="Estudiante"/>
    <s v="Institución Educativa Francisco Fernández de Contreras"/>
    <n v="0"/>
    <s v="No"/>
    <s v=""/>
    <s v=""/>
    <s v=""/>
    <s v=""/>
    <s v=""/>
    <m/>
    <s v=""/>
    <s v=""/>
    <s v=""/>
    <s v=""/>
    <s v=""/>
    <s v=""/>
    <m/>
    <s v=""/>
    <s v="Estable y unido"/>
    <n v="0"/>
    <n v="0"/>
    <n v="0"/>
    <n v="0"/>
    <n v="40000000"/>
    <s v="No"/>
    <s v=""/>
    <s v=""/>
    <n v="0"/>
    <s v="No"/>
    <s v=""/>
    <s v=""/>
    <n v="0"/>
    <s v="No"/>
    <s v=""/>
    <s v=""/>
    <s v=""/>
    <n v="0"/>
    <m/>
    <n v="4"/>
    <n v="4"/>
    <n v="3"/>
    <n v="4"/>
    <n v="4"/>
    <n v="4"/>
    <n v="4"/>
    <n v="3"/>
    <n v="4"/>
    <n v="4"/>
    <n v="38"/>
    <s v="SI"/>
    <m/>
    <s v="SI, SON PRI"/>
    <s v="ok tienen todos los datos"/>
    <e v="#N/A"/>
    <e v="#N/A"/>
    <m/>
    <n v="3"/>
    <n v="10"/>
    <n v="10"/>
    <n v="15"/>
    <n v="10"/>
    <n v="15"/>
    <n v="20"/>
    <n v="20"/>
    <n v="19"/>
    <n v="89"/>
    <n v="0.7"/>
    <m/>
    <n v="3.5"/>
    <n v="4.5"/>
    <n v="8"/>
    <n v="3"/>
    <n v="3.5"/>
    <n v="4"/>
    <n v="8"/>
    <n v="4.5"/>
    <n v="90"/>
    <s v="80 - 100%"/>
    <n v="0.7"/>
    <e v="#N/A"/>
    <m/>
    <m/>
    <n v="0"/>
    <m/>
    <m/>
    <s v="Ingeniería de Sistemas"/>
    <e v="#N/A"/>
    <s v="010"/>
    <e v="#N/A"/>
  </r>
  <r>
    <s v="TI"/>
    <n v="1094049545"/>
    <s v="1000406423"/>
    <s v="DANNA GABRIELA ROJAS CRUZ"/>
    <s v="Estudios por primera vez"/>
    <x v="1"/>
    <s v="Descartado por ingresos altos"/>
    <m/>
    <s v="En publico objetivo"/>
    <s v="2da Cohorte"/>
    <s v="Admitido"/>
    <s v="dgrojasc@eafit.edu.co"/>
    <e v="#N/A"/>
    <s v="dannarojas603@gmail.com"/>
    <s v="573213436809"/>
    <d v="2025-05-16T00:00:00"/>
    <s v="Activo en Programa"/>
    <s v="084-Derecho"/>
    <s v="Escuela de Derecho"/>
    <d v="2007-08-06T00:00:00"/>
    <n v="18"/>
    <s v="Norte de Santander"/>
    <s v="Cúcuta"/>
    <s v="Mujer"/>
    <s v="Soltero"/>
    <s v="NO"/>
    <s v="NO"/>
    <n v="0"/>
    <s v="NO"/>
    <s v="NA"/>
    <s v="NO"/>
    <s v="NA"/>
    <s v="NO"/>
    <s v="NA"/>
    <s v="No"/>
    <s v="321/343-6809"/>
    <s v="573213436809"/>
    <s v="Estrato 2"/>
    <s v="MZ D 1 LT 5 LA CONCORDIA"/>
    <s v="Norte de Santander"/>
    <s v="Cúcuta"/>
    <s v="Si"/>
    <s v="Familiar"/>
    <s v="SI"/>
    <s v="2024"/>
    <s v="AC202432540953"/>
    <n v="323"/>
    <n v="69"/>
    <n v="56"/>
    <s v="Pública"/>
    <s v="INST TEC MERCEDES ABREGO"/>
    <n v="2024"/>
    <s v="Norte de Santander"/>
    <s v="Cúcuta"/>
    <s v="BACHILLER"/>
    <s v="TECN"/>
    <s v="TIPO: Pública, INSTITUCION: INST TEC MERCEDES ABREGO, AÑO: 2024, CIUDAD: Cúcuta, TITULO: BACHILLER"/>
    <s v="11"/>
    <s v="Escala de 0 - 5"/>
    <s v="Escala de 0 - 5"/>
    <s v="3,6"/>
    <s v="3,5"/>
    <m/>
    <s v="3,8"/>
    <s v="3,7"/>
    <m/>
    <n v="3.5"/>
    <n v="3.5"/>
    <m/>
    <n v="3.8"/>
    <n v="3.8"/>
    <m/>
    <s v="3,6"/>
    <s v="3,7"/>
    <m/>
    <s v="4,4"/>
    <s v="4,4"/>
    <m/>
    <s v="3,6"/>
    <s v="3,8"/>
    <m/>
    <s v="De 9 y 10"/>
    <n v="3.6500000000000004"/>
    <s v="NO"/>
    <s v="NA"/>
    <n v="0"/>
    <n v="0"/>
    <s v="No"/>
    <n v="45"/>
    <m/>
    <n v="45"/>
    <m/>
    <n v="40"/>
    <m/>
    <s v="Buena candidata"/>
    <n v="43.333333333333336"/>
    <s v="Con detalle por componente"/>
    <s v="Trabajo social o comunitario,Artísticas o culturales"/>
    <s v="Me gusta mucho el derecho constitucional, Cúcuta al ser zona fronteriza es especialmente afectada por el conflicto armado, por eso siento una empatía especial a las víctimas del conflicto, Me veo apoyando y ayudando a tratar el conflicto armado, ayudando a mi región, Norte de Santander, protegiendo a las víctimas, Me gustaría mucho trabajar en la JEP (justicia especializada para la paz) como una abogada haciendo una labor humanitaria, juzgando cualquier tipo de crimen sin importar la gravedad y incentivando la reparación integral de victimas y la memoria histórica."/>
    <s v="Referencias familiares"/>
    <s v="Por la calidad académica."/>
    <s v="Vocación."/>
    <n v="1"/>
    <s v="1"/>
    <s v="NO"/>
    <s v="SI"/>
    <s v="Entre 3 y 4 millones"/>
    <s v="No"/>
    <n v="0"/>
    <n v="0"/>
    <m/>
    <s v="SI"/>
    <s v="Beca"/>
    <s v="NO"/>
    <s v=""/>
    <s v=""/>
    <s v="Si"/>
    <s v="LUIS ORLANDO ROJAS NIÑO"/>
    <s v="Soltero"/>
    <s v="UNIVERSITARIOS"/>
    <s v="58"/>
    <s v="Ingeniero de Sistemas"/>
    <s v="Empleado (con contrato laboral)"/>
    <s v="COORDINADOR DE APOYO TECNOLOGICO"/>
    <s v="Rama Judicial"/>
    <n v="5061086"/>
    <s v="No"/>
    <s v="NO"/>
    <s v="NO"/>
    <s v="La mayoría del sueldo se va a deudas pendientes"/>
    <s v="Si"/>
    <s v="LUZ MARINA CRUZ PEÑA"/>
    <s v="Soltero"/>
    <s v="UNIVERSITARIOS"/>
    <s v="44"/>
    <s v="TECNICO EN SISTEMAS"/>
    <s v="Empleado (con contrato laboral)"/>
    <s v="Auxiliar administrativo"/>
    <s v="DIAN"/>
    <n v="3300000"/>
    <s v="No"/>
    <s v="SI"/>
    <s v="SI"/>
    <m/>
    <n v="8361086"/>
    <s v="Si"/>
    <s v="ALIRIA PEÑA VILLAMIZAR"/>
    <s v="Abuelo / Abuela"/>
    <s v="75"/>
    <s v="Ama de casa"/>
    <s v="Ama de casa"/>
    <n v="0"/>
    <s v="No"/>
    <s v=""/>
    <s v=""/>
    <s v=""/>
    <s v=""/>
    <s v=""/>
    <m/>
    <s v=""/>
    <s v=""/>
    <s v=""/>
    <s v=""/>
    <s v=""/>
    <s v=""/>
    <m/>
    <s v=""/>
    <s v=""/>
    <n v="8000000"/>
    <n v="0"/>
    <n v="0"/>
    <n v="0"/>
    <n v="0"/>
    <s v="Si"/>
    <s v="Renault"/>
    <s v="2023"/>
    <n v="45000000"/>
    <s v="No"/>
    <s v=""/>
    <s v=""/>
    <n v="0"/>
    <s v="No"/>
    <s v=""/>
    <s v=""/>
    <s v=""/>
    <n v="0"/>
    <m/>
    <n v="4"/>
    <n v="4"/>
    <n v="3"/>
    <n v="4"/>
    <n v="3"/>
    <n v="4"/>
    <n v="4"/>
    <n v="4"/>
    <n v="2"/>
    <n v="4"/>
    <n v="36"/>
    <s v="SI"/>
    <m/>
    <s v="SI, SON PRI"/>
    <s v="ok tienen todos los datos"/>
    <e v="#N/A"/>
    <e v="#N/A"/>
    <m/>
    <n v="2"/>
    <n v="10"/>
    <n v="10"/>
    <n v="5"/>
    <n v="10"/>
    <n v="15"/>
    <n v="15"/>
    <n v="12.5"/>
    <n v="11"/>
    <n v="66"/>
    <n v="0.4"/>
    <m/>
    <n v="3.5"/>
    <n v="3.5"/>
    <n v="1"/>
    <n v="3"/>
    <n v="3.5"/>
    <n v="3.5"/>
    <n v="1"/>
    <n v="4.5"/>
    <n v="67.5"/>
    <n v="0.4"/>
    <n v="0.4"/>
    <e v="#N/A"/>
    <m/>
    <m/>
    <n v="0"/>
    <m/>
    <m/>
    <s v="Derecho"/>
    <e v="#N/A"/>
    <s v="084"/>
    <e v="#N/A"/>
  </r>
  <r>
    <s v="TI"/>
    <n v="1095700630"/>
    <s v="1000404277"/>
    <s v="FREDDY ALEJANDRO MACIAS ALVAREZ"/>
    <s v="Estudios por primera vez"/>
    <x v="17"/>
    <s v="Descartado por propiedades"/>
    <s v="Renuncia del proceso"/>
    <s v="En publico objetivo"/>
    <s v="1er Cohorte"/>
    <s v="Admitido"/>
    <s v="famaciasa@eafit.edu.co"/>
    <e v="#N/A"/>
    <s v="fafredynorar@gmail.com"/>
    <s v="573232504565"/>
    <d v="2025-04-25T00:00:00"/>
    <s v="Activo en Programa"/>
    <s v="010-Ingeniería de Sistemas"/>
    <s v="E Ciencias Aplic e Ingeniería"/>
    <d v="2007-11-05T00:00:00"/>
    <n v="18"/>
    <s v="Santander"/>
    <s v="Barichara"/>
    <s v="Hombre"/>
    <s v="Soltero"/>
    <s v="NO"/>
    <s v="NO"/>
    <n v="0"/>
    <s v="NO"/>
    <s v="NA"/>
    <s v="NO"/>
    <s v="NA"/>
    <s v="NO"/>
    <s v="NA"/>
    <s v="No"/>
    <s v="315/926-6075"/>
    <s v="573232504565"/>
    <s v="Estrato 2"/>
    <s v="CL 3 SUR #9 44"/>
    <s v="Santander"/>
    <s v="Barichara"/>
    <s v="Si"/>
    <s v="Propio"/>
    <s v="SI"/>
    <s v="2024"/>
    <s v="AC202430011007"/>
    <n v="332"/>
    <n v="68"/>
    <n v="63"/>
    <s v="Privada"/>
    <s v="FUNDACION RESERVA PARA LA INFA"/>
    <n v="2024"/>
    <s v="Santander"/>
    <s v="Barichara"/>
    <s v="BACHILLER"/>
    <s v="ACAD"/>
    <s v="TIPO: Privada, INSTITUCION: FUNDACION RESERVA PARA LA INFA, AÑO: 2024, CIUDAD: Barichara, TITULO: BACHILLER"/>
    <s v="11"/>
    <s v="Escala de 0 - 100"/>
    <s v="Escala de 0 - 100"/>
    <s v="84"/>
    <s v="84"/>
    <m/>
    <s v="80"/>
    <s v="77"/>
    <m/>
    <n v="86"/>
    <n v="90"/>
    <m/>
    <n v="79"/>
    <n v="78"/>
    <m/>
    <s v="82"/>
    <s v="79"/>
    <m/>
    <s v="87"/>
    <s v="83"/>
    <m/>
    <s v="89"/>
    <s v="88"/>
    <m/>
    <s v="De 9 y 10"/>
    <n v="83.25"/>
    <s v="NO"/>
    <s v="NA"/>
    <n v="0"/>
    <n v="0"/>
    <s v="No"/>
    <n v="45"/>
    <m/>
    <n v="50"/>
    <m/>
    <n v="40"/>
    <m/>
    <s v="Aspirante graduado en 2024, demuestra cierta timidez al expresarse pero pleno convencimiento del pregrado a estudiar, con influencias en su familia y trabajo previo en programación"/>
    <n v="45"/>
    <s v="Con detalle por componente"/>
    <s v="Deportistas de alto rendimiento o representativo,Artísticas o culturales"/>
    <s v="Como profesional espero llegar a comprender aun mas los campos de la tecnología, desarrollar y dar uso de sus beneficios para el bien de todos y lograr mejorar la optimización y comodidad de las personas por medio de los recursos que brinda la tecnología, además de tener el objetivo de trabajar en este campo en beneficio a la comunidad sin intención alguna de promover la violencia o las armas. Por otro lado Barichara como un pueblo pequeño y colonial en el que he vivido durante muchos años he visto en el la deficiencia que se presenta en el área de la tecnología y automatización ya que no cuenta con personal o proyectos que se enfoquen en mejorar este campo abriendo paso a la idea de dar este beneficio al pueblo de acuerdo con los saberes que esta carrera podrá ofrecer. Algunos de estos problemas son los problemas con los servicios de wifi e internet del pueblo con velocidades muy limitadas en la zona urbana y en la rural señales muy bajas y con limitaciones muy altas, desinformación y poco conocimiento por parte de las personas locales del pueblo que dependen de instrucciones claras sobre cualquier movimiento o uso de programas y aplicaciones de fácil manejo como nequi, Bancolombia, whatsapp e Instagram. Entre otros problemas que siempre se han visto en este pueblo y a largo plazo puede ser un problema mayor con el constante avance de las ciudades y la llegada de la inteligencia artificial al mundo."/>
    <s v="Amigos"/>
    <s v="Por la calidad académica."/>
    <s v="Alta empleabilidad."/>
    <n v="6"/>
    <s v="2"/>
    <s v="NO"/>
    <s v="NO"/>
    <s v="Entre 2 y 3 millones"/>
    <s v="Si"/>
    <n v="0"/>
    <n v="0"/>
    <m/>
    <s v="SI"/>
    <s v="Beca"/>
    <s v="SI"/>
    <s v="COMPUTECNICO"/>
    <s v="EMPLEADO/ SERVICIO AL CLIENTE"/>
    <s v="Si"/>
    <s v="Fredy Armando Macias"/>
    <s v="Casado"/>
    <s v="UNIVERSITARIOS"/>
    <s v="46"/>
    <s v="Venta de ropa y tapicería limitada (Iniciando)"/>
    <s v="Independiente (trabaja por cuenta propia)"/>
    <s v="Dueño"/>
    <s v="Sastrería Noe"/>
    <n v="1500000"/>
    <s v="Si"/>
    <s v="SI"/>
    <s v="NO"/>
    <s v="Un hombre trabajador y dedicado a su familia que no se deja vencer por las situaciones y adversidades de la vida, amable y pendiente de lo que puede pasar en el núcleo familiar y los demás integrantes de la familia paterna y materna."/>
    <s v="Si"/>
    <s v="Luz Marina Álvarez Calderón"/>
    <s v="Casado"/>
    <s v="BACHILLERATO"/>
    <s v="49"/>
    <s v="Modista"/>
    <s v="Independiente (trabaja por cuenta propia)"/>
    <s v="Dueño"/>
    <s v="De Barichara Confecciones"/>
    <n v="2000000"/>
    <s v="Si"/>
    <s v="NO"/>
    <s v="NO"/>
    <s v="Mujer trabajadora independiente de carácter fuerte y espíritu de liderazgo frente a toda la familia, resuelve y puede con toda situacion que se afronta."/>
    <n v="3500000"/>
    <s v="Si"/>
    <s v="Silvia Beatriz Avila Alvarez"/>
    <s v="Hermano / Hermana"/>
    <s v="28"/>
    <s v="Asalariada"/>
    <s v="De Barichara confecciones"/>
    <n v="600000"/>
    <s v="No"/>
    <s v="Julián David Macias Álvarez"/>
    <s v="Hermano / Hermana"/>
    <s v="11"/>
    <s v="Estudiante"/>
    <s v="Fundación Reserva Para la infancia"/>
    <n v="0"/>
    <s v="No"/>
    <s v="Luciana Ávila Álvarez"/>
    <s v="Sobrina"/>
    <s v="2"/>
    <s v="Estudiante"/>
    <s v="Fundación Reserva Para la infancia"/>
    <n v="0"/>
    <s v="No"/>
    <s v="Un grupo unido, aunque el carácter de la familia termina en discusiones."/>
    <n v="300000000"/>
    <n v="0"/>
    <n v="0"/>
    <n v="0"/>
    <n v="0"/>
    <s v="Si"/>
    <s v="Chevrolet sprint"/>
    <s v="94"/>
    <n v="4000000"/>
    <s v="No"/>
    <s v=""/>
    <s v=""/>
    <n v="0"/>
    <s v="No"/>
    <s v=""/>
    <s v=""/>
    <s v=""/>
    <n v="0"/>
    <s v="Tan solo poseemos una vivienda y un transporte"/>
    <n v="4"/>
    <n v="4"/>
    <n v="3"/>
    <n v="4"/>
    <n v="3"/>
    <n v="3"/>
    <n v="4"/>
    <n v="4"/>
    <n v="3"/>
    <n v="3"/>
    <n v="35"/>
    <s v="SI"/>
    <m/>
    <s v="SI, SON PRI"/>
    <s v="ok tienen todos los datos"/>
    <e v="#N/A"/>
    <e v="#N/A"/>
    <m/>
    <n v="3"/>
    <n v="10"/>
    <n v="10"/>
    <n v="10"/>
    <n v="15"/>
    <n v="15"/>
    <n v="15"/>
    <n v="13.5"/>
    <n v="11.5"/>
    <n v="76.5"/>
    <n v="0.4"/>
    <m/>
    <n v="2"/>
    <n v="2.5"/>
    <n v="6"/>
    <n v="1"/>
    <n v="2"/>
    <n v="2.5"/>
    <n v="8"/>
    <n v="1"/>
    <n v="78.5"/>
    <n v="0.4"/>
    <n v="0.4"/>
    <e v="#N/A"/>
    <m/>
    <m/>
    <n v="0"/>
    <m/>
    <m/>
    <s v="Ingeniería de Sistemas"/>
    <e v="#N/A"/>
    <m/>
    <e v="#N/A"/>
  </r>
  <r>
    <s v="CC"/>
    <n v="1096802205"/>
    <s v="1000377488"/>
    <s v="FRANCISCO JAVIER BARON HERNANDEZ"/>
    <s v="Estudios por primera vez"/>
    <x v="1"/>
    <s v="Cumple Nutresa"/>
    <s v="Madre profesional"/>
    <s v="En publico objetivo"/>
    <s v="3ra Cohorte"/>
    <s v="Admitido"/>
    <s v="fjbaronh@eafit.edu.co"/>
    <s v="fjbaronh@eafit.edu.co"/>
    <s v="franciscojavierbaronhernandez@gmail.com"/>
    <s v="573166222538"/>
    <d v="2025-05-30T00:00:00"/>
    <s v="Activo en Programa"/>
    <s v="013-Ingeniería Civil"/>
    <s v="E Ciencias Aplic e Ingeniería"/>
    <d v="2006-02-20T00:00:00"/>
    <n v="19"/>
    <s v="Santander"/>
    <s v="Barrancabermeja"/>
    <s v="Hombre"/>
    <s v="Soltero"/>
    <s v="NO"/>
    <s v="NO"/>
    <n v="0"/>
    <s v="SI"/>
    <s v="Otra"/>
    <s v="NO"/>
    <s v="NA"/>
    <s v="NO"/>
    <s v="NA"/>
    <s v="No"/>
    <s v="316/622-2538"/>
    <s v="573166222538"/>
    <s v="Estrato 2"/>
    <s v="LA CEJA"/>
    <s v="Antioquia"/>
    <s v="La Ceja"/>
    <s v="No aplica, no soy foráneo"/>
    <s v="Arriendo"/>
    <s v="SI"/>
    <s v="2023"/>
    <s v="AC202341553080"/>
    <n v="336"/>
    <n v="70"/>
    <n v="73"/>
    <s v="Privada"/>
    <s v="CIBERCOLEGIO UCN"/>
    <n v="2023"/>
    <m/>
    <s v="Santa Rosa De Osos"/>
    <s v="Bachillerato"/>
    <s v="BACHILLER"/>
    <s v="TIPO: Privada, INSTITUCION: CIBERCOLEGIO UCN, AÑO: 2023, CIUDAD: Santa Rosa De Osos, TITULO: BACHILLER"/>
    <s v="11"/>
    <s v="Escala de 0 - 5"/>
    <s v="Escala de 0 - 5"/>
    <s v="5"/>
    <s v="5"/>
    <s v="50"/>
    <s v="4,5"/>
    <s v="5"/>
    <s v="44"/>
    <n v="5"/>
    <n v="4.5"/>
    <n v="5"/>
    <n v="5"/>
    <n v="4.5"/>
    <n v="5"/>
    <s v="5"/>
    <s v="4,5"/>
    <s v="50"/>
    <s v="5"/>
    <s v="5"/>
    <s v="44"/>
    <s v="4,5"/>
    <s v="5"/>
    <s v="50"/>
    <s v="De 9, 10 y 11"/>
    <n v="4.833333333333333"/>
    <s v="NO"/>
    <s v="NA"/>
    <n v="0"/>
    <n v="0"/>
    <s v="No"/>
    <n v="50"/>
    <m/>
    <n v="50"/>
    <m/>
    <n v="50"/>
    <m/>
    <s v="Se admite al programa"/>
    <n v="50"/>
    <s v="Con detalle por componente"/>
    <s v="Espacios de liderazgo o representación social,Deportistas de alto rendimiento o representativo,Trabajo social o comunitario"/>
    <s v="La ingeniería Civil siempre ha sido de mi interés por su naturaleza de construir, por esa misma razón es la tercera vez que me postulo, desde niño he estado fascinado por crear, pintar, armar y las matemáticas, mi forma de ser me ha llevado poco a poco a esta carrera, como una vocación, cuando pienso en mí ejerciendo esta carrera a futuro me imagino haciendo uso de mis conocimientos para innovar, no quiero seguir la línea recta que todo el mundo ha trazado de esta carrera, ya que, no solo existen estructuras cuadradas y rectangulares, me imagino innovando y buscando ideas que hagan que los espacios civiles no solo sean funcionales y espaciosos, sino también bellos a la vista, que a la gente le dé gusto estar ahí, tanto si es privado o público, quiero dar el máximo de mi para que mi trabajo sea diferente, que haga un cambio aquí en Antioquia, que es donde vivo, como en el país entero, tengo sueños muy grandes, mi disciplina y determinación están al nivel de estos sueños, pero como dije en mi primera carta para esta beca, grandes sueños requieren de grandes maestros, EAFIT es una universidad que crea empresarios, emprendedores y grandes personas, yo quiero ser una de estas, no tengo la capacidad financiera de solventar los gastos de una matrícula como esta, pero mi corazón y determinación están puestos en poder recibir una educación de esta calidad, porque se que la aprovechare, solo necesito una oportunidad de beca que se acople a mis capacidades, tengo todo el entusiasmo y capacidades para ser un estudiante de EAFIT, y se que cuando se tiene un sueño no hay que desistir nunca, el mío es ser un ingeniero civil de calidad egresado de esta universidad."/>
    <s v="Amigos"/>
    <s v="Proyección laboral."/>
    <s v="Vocación."/>
    <n v="4"/>
    <s v="2"/>
    <s v="NO"/>
    <s v="NO"/>
    <s v="Entre 2 y 3 millones"/>
    <s v="No"/>
    <n v="0"/>
    <n v="0"/>
    <m/>
    <s v="Y"/>
    <m/>
    <s v="NO"/>
    <s v="NA"/>
    <s v="NA"/>
    <s v="Si"/>
    <s v="Javier Francisco Baron Cáceres"/>
    <s v="Casado"/>
    <s v="BACHILLERATO"/>
    <s v="49"/>
    <s v="vendedor"/>
    <s v="Independiente (trabaja por cuenta propia)"/>
    <s v="vendedor de motos"/>
    <s v="Independiente"/>
    <n v="1000000"/>
    <s v="Si"/>
    <s v="NO"/>
    <s v="NO"/>
    <s v="se encuentra estudiando administración ambiental con matricula cero en UNAD"/>
    <s v="Si"/>
    <s v="Angelica Maria Hernandez Lillo"/>
    <s v="Casado"/>
    <s v="UNIVERSITARIOS"/>
    <s v="46"/>
    <s v="Administradora de empresas"/>
    <s v="Independiente (trabaja por cuenta propia)"/>
    <s v="contratista del DANE"/>
    <s v="DANE"/>
    <n v="1680000"/>
    <s v="Si"/>
    <s v="NO"/>
    <s v="NO"/>
    <s v="Ninguna"/>
    <n v="2680000"/>
    <s v="Si"/>
    <s v="Maria jose Baron Hernande"/>
    <s v="Hermano / Hermana"/>
    <s v="21"/>
    <s v="Estudiante"/>
    <s v="UDEA"/>
    <n v="0"/>
    <s v="No"/>
    <s v="Maria Gabriela Baron Hernandez"/>
    <s v="Hermano / Hermana"/>
    <s v="16"/>
    <s v="postulándose para estudiar en la UDEA"/>
    <s v="ninguna"/>
    <n v="0"/>
    <s v="No"/>
    <s v=""/>
    <s v=""/>
    <s v=""/>
    <s v=""/>
    <s v=""/>
    <m/>
    <s v=""/>
    <s v=""/>
    <n v="0"/>
    <n v="0"/>
    <n v="0"/>
    <n v="0"/>
    <n v="0"/>
    <s v="No"/>
    <s v=""/>
    <s v=""/>
    <n v="0"/>
    <s v="No"/>
    <s v=""/>
    <s v=""/>
    <n v="0"/>
    <s v="No"/>
    <s v=""/>
    <s v=""/>
    <s v=""/>
    <n v="0"/>
    <m/>
    <n v="4"/>
    <n v="4"/>
    <n v="3"/>
    <n v="4"/>
    <n v="4"/>
    <n v="3"/>
    <n v="4"/>
    <n v="4"/>
    <n v="3"/>
    <n v="3"/>
    <n v="36"/>
    <s v="SI"/>
    <m/>
    <s v="SI, SON PRI"/>
    <s v="ok tienen todos los datos"/>
    <n v="0.6"/>
    <n v="20242"/>
    <m/>
    <n v="2"/>
    <n v="10"/>
    <n v="10"/>
    <n v="10"/>
    <n v="20"/>
    <n v="15"/>
    <n v="20"/>
    <n v="18.5"/>
    <n v="18.5"/>
    <n v="93.5"/>
    <n v="0.6"/>
    <m/>
    <n v="2"/>
    <n v="4.5"/>
    <n v="8"/>
    <n v="4"/>
    <n v="2"/>
    <n v="4"/>
    <n v="8"/>
    <n v="4.5"/>
    <n v="93.5"/>
    <n v="0.7"/>
    <n v="1"/>
    <e v="#N/A"/>
    <m/>
    <s v="X"/>
    <n v="0"/>
    <s v="EN ORDEN"/>
    <n v="0"/>
    <s v="Ingeniería Civil"/>
    <s v="Pres. para revision docs nutresa"/>
    <s v="013"/>
    <e v="#N/A"/>
  </r>
  <r>
    <s v="TI"/>
    <n v="1097498436"/>
    <s v="1000407456"/>
    <s v="TOMAS GOMEZ TORRES"/>
    <s v="Estudios por primera vez"/>
    <x v="1"/>
    <s v="Descartado por ingresos altos"/>
    <m/>
    <s v="En publico objetivo"/>
    <s v="2da Cohorte"/>
    <s v="Admitido"/>
    <s v="tgomezt@eafit.edu.co"/>
    <e v="#N/A"/>
    <s v="tomasgomeztorres560@gmail.com"/>
    <s v="573203720687"/>
    <d v="2025-05-16T00:00:00"/>
    <s v="Activo en Programa"/>
    <s v="001-Administración de Negocios"/>
    <s v="Escuela de Administración"/>
    <d v="2008-03-10T00:00:00"/>
    <n v="17"/>
    <s v="Santander"/>
    <s v="Bucaramanga"/>
    <s v="Hombre"/>
    <s v="Soltero"/>
    <s v="NO"/>
    <s v="NO"/>
    <n v="0"/>
    <s v="NO"/>
    <s v="NA"/>
    <s v="NO"/>
    <s v="NA"/>
    <s v="NO"/>
    <s v="NA"/>
    <s v="No"/>
    <s v="320/372-0687"/>
    <s v="573203720687"/>
    <s v="Estrato 3"/>
    <s v="CR 99#65 265 ED LUNA DEL CAMPO AP 903"/>
    <s v="Antioquia"/>
    <s v="Medellín"/>
    <s v="Si"/>
    <s v="Arriendo"/>
    <s v="SI"/>
    <s v="2024"/>
    <s v="AC202432076958"/>
    <n v="355"/>
    <n v="79"/>
    <n v="65"/>
    <s v="Privada"/>
    <s v="Instituto Santa Teresita de Floridablanca"/>
    <n v="2024"/>
    <m/>
    <s v="Floridablanca"/>
    <s v="Bachillerato"/>
    <s v="Académico"/>
    <m/>
    <s v="11"/>
    <s v="Escala de 0 - 100"/>
    <s v="Escala de 0 - 5"/>
    <s v="4,5"/>
    <s v="4,5"/>
    <m/>
    <s v="4,5"/>
    <s v="4,5"/>
    <m/>
    <n v="4.5"/>
    <n v="4.5"/>
    <m/>
    <n v="4.5"/>
    <n v="4"/>
    <m/>
    <s v="4,5"/>
    <s v="4,5"/>
    <m/>
    <s v="4,5"/>
    <s v="4,5"/>
    <m/>
    <s v="4"/>
    <s v="4"/>
    <m/>
    <s v="De 9 y 10"/>
    <n v="4.375"/>
    <s v="NO"/>
    <s v="NA"/>
    <n v="0"/>
    <n v="0"/>
    <s v="No"/>
    <n v="50"/>
    <m/>
    <n v="50"/>
    <m/>
    <n v="50"/>
    <m/>
    <s v="Recién salió del colegio, pero está muy claro en lo que quiere y es Administración de Negocios"/>
    <n v="50"/>
    <s v="Con detalle por componente"/>
    <s v="Deportistas de alto rendimiento o representativo,Espacios de liderazgo o representación social"/>
    <s v="Me visualizo como un gran profesional en administración capaz de afrontar los diferentes retos que se presentan en el mundo empresarial, también sueño con formarme como un gran líder con herramientas con las que pueda impactar a las personas de manera positiva. Con mi conocimiento y la experiencia que adquiera voy a construir mi propia empresa y también planeo formalizar cada día mas la finca de mi abuelo, con el objetivo de mejorar los procesos que suceden en ella."/>
    <s v="Otro"/>
    <s v="Por la calidad académica."/>
    <s v="Alta empleabilidad."/>
    <n v="2"/>
    <s v="1"/>
    <s v="SI"/>
    <s v="NO"/>
    <s v="Entre 7 y 8 millones"/>
    <s v="Si"/>
    <n v="0"/>
    <n v="0"/>
    <m/>
    <s v="SI"/>
    <s v="Beca"/>
    <s v="NO"/>
    <s v=""/>
    <s v=""/>
    <s v="Si"/>
    <s v="Jorge Alberto Gómez Moreno"/>
    <s v="Soltero"/>
    <s v="TECNOLOGÍA"/>
    <s v="49"/>
    <s v="Servidor publico en el Inpec"/>
    <s v="Pensionado"/>
    <s v="Dragoneante"/>
    <s v="Inpec"/>
    <n v="3665377"/>
    <s v="No"/>
    <s v="NO"/>
    <s v="NO"/>
    <s v="Mi padre es un hombre que me enseño muchos valores, que me sirven para ser buena persona, siempre me brinda su apoyo, en este momento por mi sueño de estudiar en Medellín, vamos a separarnos pues el sigue viviendo en floridablanca"/>
    <s v="Si"/>
    <s v="Maria Juliana Torres Paffen"/>
    <m/>
    <m/>
    <m/>
    <s v="Ingeniera industrial"/>
    <s v="Independiente (trabaja por cuenta propia)"/>
    <s v="Independiente"/>
    <s v="Independiente"/>
    <n v="3000000"/>
    <s v="No"/>
    <m/>
    <m/>
    <s v="Mi madre también a sido una gran ayuda para mi en este proceso ya que siempre ha estado pendiente de todo y dándome su ayuda para dar el siguiente paso, ella vive en España hace más de 2 años y desde allá trata de acompañarme en todo mi proceso"/>
    <n v="6665377"/>
    <s v="Si"/>
    <s v="Diana Carolina Londoño Diaz"/>
    <s v="Tío / Tía"/>
    <s v="33"/>
    <s v="Administradora de Negocios Internacionales"/>
    <s v="Sandwich Qbano - pdv Castilla Alfa Food sas"/>
    <n v="6495000"/>
    <s v="Si"/>
    <s v="Maria Camila Gómez Moreno"/>
    <s v="Tío / Tía"/>
    <s v="35"/>
    <s v="empresaria"/>
    <s v="Inversiones Fruto bendito sas Zomac"/>
    <n v="5000000"/>
    <s v="Si"/>
    <s v=""/>
    <s v=""/>
    <s v=""/>
    <s v=""/>
    <s v=""/>
    <m/>
    <s v=""/>
    <s v=""/>
    <n v="0"/>
    <n v="85071000"/>
    <n v="0"/>
    <n v="0"/>
    <n v="0"/>
    <s v="No"/>
    <s v=""/>
    <s v=""/>
    <n v="0"/>
    <s v="No"/>
    <s v=""/>
    <s v=""/>
    <n v="0"/>
    <s v="No"/>
    <s v=""/>
    <s v=""/>
    <s v=""/>
    <n v="0"/>
    <s v="Referente al apartamento de mi padre esta ubicado en el conjunto Bosque Central Carrera 23 # 27-51 en la Torre 2 apto 1002, Proyecto Vis Estrato 3 en floridablanca."/>
    <n v="4"/>
    <n v="3"/>
    <n v="3"/>
    <n v="3"/>
    <n v="4"/>
    <n v="3"/>
    <n v="4"/>
    <n v="3"/>
    <n v="3"/>
    <n v="4"/>
    <n v="34"/>
    <s v="SI"/>
    <s v="SI, TIPO IE"/>
    <s v="PRI SIN TIPO IE"/>
    <s v="pendiente tipo ie"/>
    <e v="#N/A"/>
    <e v="#N/A"/>
    <m/>
    <n v="3"/>
    <n v="10"/>
    <n v="8"/>
    <n v="10"/>
    <n v="15"/>
    <n v="10"/>
    <n v="20"/>
    <n v="11"/>
    <n v="11.5"/>
    <n v="76.5"/>
    <n v="0.4"/>
    <m/>
    <n v="2"/>
    <n v="3.5"/>
    <n v="3"/>
    <n v="3"/>
    <n v="2"/>
    <n v="3"/>
    <n v="3"/>
    <n v="3"/>
    <n v="74"/>
    <n v="0.4"/>
    <n v="0.4"/>
    <e v="#N/A"/>
    <m/>
    <m/>
    <s v="SI, TIPO IE"/>
    <m/>
    <m/>
    <s v="Administración de Negocios"/>
    <e v="#N/A"/>
    <s v="001"/>
    <e v="#N/A"/>
  </r>
  <r>
    <s v="CC"/>
    <n v="1097991605"/>
    <s v="1000376253"/>
    <s v="BRANDON STEVEN VELEZ MARQUEZ"/>
    <s v="Estudios por primera vez"/>
    <x v="1"/>
    <s v="Descartado por bajo icfes"/>
    <m/>
    <s v="En publico objetivo"/>
    <s v="3ra Cohorte"/>
    <s v="Admitido"/>
    <s v="bsvelezm@eafit.edu.co"/>
    <s v="bsvelezm@eafit.edu.co"/>
    <s v="elmarquez0307@gmail.com"/>
    <s v="573216703165"/>
    <d v="2025-05-30T00:00:00"/>
    <s v="Activo en Programa"/>
    <s v="199-Finanzas"/>
    <s v="E.Finanzas, Economía, Gobierno"/>
    <d v="2006-01-03T00:00:00"/>
    <n v="19"/>
    <s v="Santander"/>
    <s v="Landázuri"/>
    <s v="Hombre"/>
    <s v="Soltero"/>
    <s v="SI"/>
    <s v="SI"/>
    <s v="Puerto Boyacá"/>
    <s v="SI"/>
    <s v="Visión"/>
    <s v="NO"/>
    <s v="NA"/>
    <s v="NO"/>
    <s v="NA"/>
    <s v="No"/>
    <s v="321/670-3165"/>
    <s v="573216703165"/>
    <s v="Estrato 3"/>
    <s v="CR 65 55 51"/>
    <s v="Antioquia"/>
    <s v="Medellín"/>
    <s v="Si"/>
    <s v="Arriendo"/>
    <s v="SI"/>
    <s v="2023"/>
    <s v="AC202346811400"/>
    <n v="319"/>
    <n v="62"/>
    <n v="56"/>
    <s v="Pública"/>
    <s v="I. E. LIBORIO BATALLER"/>
    <n v="2023"/>
    <s v="Antioquia"/>
    <s v="Segovia"/>
    <s v="BACHILLER"/>
    <n v="0"/>
    <s v="TIPO: Pública, INSTITUCION: I. E. LIBORIO BATALLER, AÑO: 2023, CIUDAD: Segovia, TITULO: BACHILLER"/>
    <s v="11"/>
    <s v="Escala de 0 - 50"/>
    <s v="Escala de 0 - 5"/>
    <s v="3,6"/>
    <s v="3,5"/>
    <s v="3"/>
    <s v="3,5"/>
    <s v="3,5"/>
    <s v="3"/>
    <n v="4"/>
    <n v="4.5"/>
    <n v="4.0999999999999996"/>
    <n v="4.5"/>
    <n v="5"/>
    <n v="5"/>
    <s v="4,4"/>
    <s v="45"/>
    <s v="4"/>
    <s v="45"/>
    <s v="4"/>
    <s v="4"/>
    <s v="4,5"/>
    <s v="4"/>
    <s v="3"/>
    <s v="De 9, 10 y 11"/>
    <n v="4.5166666666666666"/>
    <s v="NO"/>
    <s v="NA"/>
    <n v="0"/>
    <n v="0"/>
    <s v="No"/>
    <n v="45"/>
    <s v="Canto, gimnasia y media técnica"/>
    <n v="45"/>
    <m/>
    <n v="45"/>
    <m/>
    <s v="se graduó en 2023_x000a_Es de Segovia_x000a_Saber 319"/>
    <n v="45"/>
    <s v="Con detalle por componente"/>
    <s v="Artísticas o culturales,Deportistas de alto rendimiento o representativo,Trabajo social o comunitario"/>
    <s v="En el futuro me visualizo siendo parte activa del cambio en el municipio de Segovia. Considero que existe una mala administración, negociación y redistribución de los recursos públicos. A pesar de ser el segundo municipio con mayores exportaciones de oro en Colombia, la mayoría de su población vive en condiciones de pobreza extrema, con calles deterioradas, costumbres marginalizadas y múltiples carencias que limitan una vida digna._x000a__x000a_Creo firmemente que Segovia tiene el potencial para transformarse, pero necesita liderazgo real, acciones concretas y una administración financiera honesta y eficiente. A través de mi formación profesional y con el apoyo de esta beca, quiero prepararme para liderar procesos de cambio, fiscalización y justicia social, y así devolverle a mi comunidad las oportunidades que merece."/>
    <s v="Estudiantes de EAFIT"/>
    <s v="Por la calidad académica."/>
    <s v="Vocación."/>
    <n v="1"/>
    <s v="2"/>
    <s v="SI"/>
    <s v="NO"/>
    <s v="Entre 1 y 2 millones"/>
    <s v="Si"/>
    <n v="0"/>
    <s v="SI"/>
    <s v="Crédito entidad externa"/>
    <s v="SI"/>
    <s v="Beca"/>
    <s v="SI"/>
    <s v="ASESORES CORPORATIVOS SAS"/>
    <s v="Asesor comercial"/>
    <s v="No, fallecido"/>
    <n v="0"/>
    <m/>
    <m/>
    <m/>
    <s v=""/>
    <s v=""/>
    <m/>
    <s v=""/>
    <m/>
    <s v=""/>
    <m/>
    <m/>
    <s v="Fue desaparecido en contra de su voluntad en la época del conflicto armado"/>
    <s v="Si"/>
    <s v="Luz Janeth Velez Marquez"/>
    <s v="Soltero"/>
    <s v="PRIMARIA"/>
    <s v="48"/>
    <s v="Tendera"/>
    <s v="Independiente (trabaja por cuenta propia)"/>
    <s v="Administra una tienda de menor tamaño de víveres y ocasionalmente comidas"/>
    <s v="N/N"/>
    <n v="1200000"/>
    <s v="Si"/>
    <s v="NO"/>
    <s v="NO"/>
    <s v="Mi madre es el único familiar con el que cuento económica y amorosamente, es de hecho con la única persona que vivo actualmente ya que a pesar de tener dos hermanos mayores, cada uno tiene su núcleo familiar y se han alejado lo suficiente como para no tenerlos en cuenta."/>
    <n v="1200000"/>
    <s v="No, solo vivo con mis padres"/>
    <s v=""/>
    <s v=""/>
    <s v=""/>
    <s v=""/>
    <s v=""/>
    <m/>
    <s v=""/>
    <s v=""/>
    <s v=""/>
    <s v=""/>
    <s v=""/>
    <s v=""/>
    <m/>
    <s v=""/>
    <s v=""/>
    <s v=""/>
    <s v=""/>
    <s v=""/>
    <s v=""/>
    <m/>
    <s v=""/>
    <s v=""/>
    <n v="0"/>
    <n v="0"/>
    <n v="0"/>
    <n v="5000000"/>
    <n v="0"/>
    <s v="No"/>
    <s v=""/>
    <s v=""/>
    <n v="0"/>
    <s v="No"/>
    <s v=""/>
    <s v=""/>
    <n v="0"/>
    <s v="No"/>
    <s v=""/>
    <s v=""/>
    <s v=""/>
    <n v="0"/>
    <s v="Actualmente no contamos sino con la casa que está en vía de legalización (Por ende no está valorizada) y con la tienda de mamá (Que se asemeja más a una caseta que a un negocio)"/>
    <n v="4"/>
    <n v="4"/>
    <n v="4"/>
    <n v="4"/>
    <n v="4"/>
    <n v="4"/>
    <n v="4"/>
    <n v="4"/>
    <n v="4"/>
    <n v="4"/>
    <n v="40"/>
    <s v="SI"/>
    <m/>
    <s v="SI, SON PRI"/>
    <s v="ok tienen todos los datos"/>
    <n v="0.5"/>
    <n v="20242"/>
    <m/>
    <n v="2"/>
    <n v="10"/>
    <n v="8"/>
    <n v="5"/>
    <n v="20"/>
    <n v="15"/>
    <n v="15"/>
    <n v="20"/>
    <n v="19"/>
    <n v="84"/>
    <n v="0.7"/>
    <m/>
    <n v="3.5"/>
    <n v="4.5"/>
    <n v="8"/>
    <n v="3"/>
    <n v="3.5"/>
    <n v="4"/>
    <n v="8"/>
    <n v="4.5"/>
    <n v="83"/>
    <s v="80 - 100%"/>
    <n v="1"/>
    <e v="#N/A"/>
    <m/>
    <m/>
    <n v="0"/>
    <m/>
    <m/>
    <s v="Finanzas"/>
    <e v="#N/A"/>
    <s v="199"/>
    <e v="#N/A"/>
  </r>
  <r>
    <s v="CC"/>
    <n v="1099739349"/>
    <s v="1000388899"/>
    <s v="KAROL YURANY GARAY BAUTISTA"/>
    <s v="Estudios por primera vez"/>
    <x v="1"/>
    <s v="Descartado por notas"/>
    <m/>
    <s v="En publico objetivo"/>
    <s v="2da Cohorte"/>
    <s v="Admitido"/>
    <s v="kygarayb@eafit.edu.co"/>
    <s v="kygarayb@eafit.edu.co"/>
    <s v="karolgarayb9@gmail.com"/>
    <s v="573503990906"/>
    <d v="2025-05-16T00:00:00"/>
    <s v="Activo en Programa"/>
    <s v="001-Administración de Negocios"/>
    <s v="Escuela de Administración"/>
    <d v="2006-12-09T00:00:00"/>
    <n v="18"/>
    <s v="Santander"/>
    <s v="Bucaramanga"/>
    <s v="Mujer"/>
    <s v="Soltero"/>
    <s v="NO"/>
    <s v="NO"/>
    <n v="0"/>
    <s v="NO"/>
    <s v="NA"/>
    <s v="NO"/>
    <s v="NA"/>
    <s v="NO"/>
    <s v="NA"/>
    <s v="No"/>
    <s v="305/418-0131"/>
    <s v="573503990906"/>
    <s v="Estrato 2"/>
    <s v="CL 76 D #90 20"/>
    <s v="Antioquia"/>
    <s v="Medellín"/>
    <s v="No aplica, no soy foráneo"/>
    <s v="Arriendo"/>
    <s v="SI"/>
    <s v="2024"/>
    <s v="AC202433244555"/>
    <n v="350"/>
    <n v="76"/>
    <n v="70"/>
    <s v="Pública"/>
    <s v="I.E. LUCRECIO JARAMILLO VELEZ"/>
    <n v="2024"/>
    <s v="Antioquia"/>
    <s v="Medellín"/>
    <s v="BACHILLER"/>
    <s v="ACAD"/>
    <s v="TIPO: Pública, INSTITUCION: I.E. LUCRECIO JARAMILLO VELEZ, AÑO: 2024, CIUDAD: Medellín, TITULO: BACHILLER"/>
    <s v="11"/>
    <s v="Escala de 0 - 5"/>
    <s v="Escala de 0 - 5"/>
    <s v="4"/>
    <s v="3,7"/>
    <m/>
    <s v="4"/>
    <s v="4,1"/>
    <m/>
    <n v="4.0999999999999996"/>
    <n v="4.4000000000000004"/>
    <m/>
    <n v="3.8"/>
    <n v="3.7"/>
    <m/>
    <s v="4"/>
    <s v="4"/>
    <m/>
    <s v="4"/>
    <s v="3,4"/>
    <m/>
    <s v="4"/>
    <s v="4"/>
    <m/>
    <s v="De 9 y 10"/>
    <n v="4"/>
    <s v="NO"/>
    <s v="NA"/>
    <n v="0"/>
    <n v="0"/>
    <s v="No"/>
    <n v="40"/>
    <m/>
    <n v="45"/>
    <m/>
    <n v="40"/>
    <m/>
    <s v="Aspirante graduada en 2024-2. Se presentó a Beca, pero no pasó y ya estaba tarde para seguir el proceso normal de inscripción. 2025-1 ha estado estudiando en el Politécnico para auxiliar administrativa, lo que le ha permitido afianzar su decisión de estudiar Admon.; ha visto materias como contabilidad, como crear una empresa, el porque de la admón. EAFIT siempre ha sido su elección desde cuando decidió que quería estudiar admón., es su sueño; le gusta el enfoque hacia el emprendimiento, los intercambios, la infraestructura física, la preparan para ser ciudadana del mundo. De Admón., el enfoque a empresas con y sin ánimo de lucro, del pensum le gusta la parte de matemáticas, derecho, macro y micro economía, siente que da más allá de lo que requiere un administrador. La mamá es ama de casa y en ocasiones ocupa actividades de oficios varios. El papá se dedica a la conducción. La hermana mayor estudia para licenciatura en educación física y la hermana menor aún está en el colegio. Es de Bucaramanga, se mudaron a MDE hace 6 años buscando mejores universidades y opciones para la hermana mayor y para ellas. Este semestre ha tomado cursos cortos en internet de contabilidad y otros temas administrativos y ha estado estudiando inglés. En el colegio siempre le gustó la matemáticas, la física y la química. En sus ratos libres le gusta mucho caminar, el senderismo, en el Jardín Botánico y por fincas cerca de los miradores, camina con su mascota; lo que más le gusta del senderismo es la calma, alejarse del bullicio de la ciudad."/>
    <n v="41.666666666666664"/>
    <s v="Con detalle por componente"/>
    <s v="Espacios de liderazgo o representación social"/>
    <s v="Me visualizo aplicando mis conocimientos administración de negocios para apoyar emprendedores y fortalecer fundaciones en las diferentes ciudades del país, con el objetivo de crear oportunidades a las familias de escasos recursos  y mostrar alternativas a niños en situación vulnerable.                                                               Con la beca no solo cambiaré el rumbo de mi carrera profesional al adquirir conocimientos prácticos, sostenibilidad e innovación, sino también me dará las bases para transformar mi comunidad y contribuir con las perspectivas internacionales que me ofrece, aplicándolo en la creación de distintas estrategias, como la conexión de los diferentes emprendedores con las cadenas de gran escala nacionales o internacionales.                                                               Quiero demostrar el poder que tiene una buena educación, combinada con esfuerzo y determinación puede transformar realidades, que la administración es un instrumento para el cambio social, probando que el progreso no depende del destino , sino de la perseverancia y preparación."/>
    <s v="Amigos"/>
    <s v="Por la calidad académica."/>
    <s v="Nivel académico de docentes."/>
    <n v="3"/>
    <s v="2"/>
    <s v="NO"/>
    <s v="NO"/>
    <s v="Entre 2 y 3 millones"/>
    <s v="No"/>
    <s v="NO"/>
    <s v="SI"/>
    <m/>
    <s v="SI"/>
    <s v="Beca"/>
    <s v="NO"/>
    <s v=""/>
    <s v=""/>
    <s v="Si"/>
    <s v="Jhon Asdrubal Garay García"/>
    <s v="Unión marital"/>
    <s v="BACHILLERATO"/>
    <s v="58"/>
    <s v="Pesionado"/>
    <s v="Pensionado"/>
    <s v="agente"/>
    <s v="Policía Nacional"/>
    <n v="2700000"/>
    <s v="No"/>
    <s v="NO"/>
    <s v="NO"/>
    <s v=""/>
    <s v="Si"/>
    <s v="Adriana Yaneth Bautista Jaimes"/>
    <s v="Unión marital"/>
    <s v="TÉCNICA"/>
    <s v="51"/>
    <s v="ama de casa"/>
    <s v="Labores del hogar y cuidado"/>
    <s v="Ama de casa"/>
    <s v="casa"/>
    <n v="0"/>
    <s v="Si"/>
    <s v="NO"/>
    <s v="NO"/>
    <m/>
    <n v="2700000"/>
    <s v="Si"/>
    <s v="Karen Juliana Garay Bautista"/>
    <s v="Hermano / Hermana"/>
    <s v="22"/>
    <s v="Estudiante"/>
    <s v="Universidad de Antioquia"/>
    <n v="0"/>
    <s v="No"/>
    <s v="Kelen Nicol Garay Bautista"/>
    <s v="Hermano / Hermana"/>
    <s v=""/>
    <s v="Estudiante"/>
    <s v="Instituto Educativo Lucrecio Jaramillo Velez"/>
    <n v="0"/>
    <s v="No"/>
    <s v=""/>
    <s v=""/>
    <s v=""/>
    <s v=""/>
    <s v=""/>
    <m/>
    <s v=""/>
    <s v=""/>
    <n v="68761000"/>
    <n v="0"/>
    <n v="0"/>
    <n v="0"/>
    <n v="0"/>
    <s v="No"/>
    <s v=""/>
    <s v=""/>
    <n v="0"/>
    <s v="No"/>
    <s v=""/>
    <s v=""/>
    <n v="0"/>
    <s v="No"/>
    <s v=""/>
    <s v=""/>
    <s v=""/>
    <n v="0"/>
    <m/>
    <n v="4"/>
    <n v="4"/>
    <n v="3"/>
    <n v="4"/>
    <n v="3"/>
    <n v="4"/>
    <n v="4"/>
    <n v="4"/>
    <n v="3"/>
    <n v="4"/>
    <n v="37"/>
    <s v="SI"/>
    <m/>
    <s v="SI, SON PRI"/>
    <s v="ok tienen todos los datos"/>
    <s v="Negada"/>
    <n v="20251"/>
    <m/>
    <n v="3"/>
    <n v="10"/>
    <n v="10"/>
    <n v="10"/>
    <n v="15"/>
    <n v="15"/>
    <n v="10"/>
    <n v="17.5"/>
    <n v="18"/>
    <n v="78"/>
    <n v="0.5"/>
    <m/>
    <n v="3.5"/>
    <n v="3.5"/>
    <n v="8"/>
    <n v="3"/>
    <n v="3.5"/>
    <n v="3"/>
    <n v="8"/>
    <n v="3"/>
    <n v="77.5"/>
    <n v="0.6"/>
    <n v="0.6"/>
    <e v="#N/A"/>
    <m/>
    <m/>
    <n v="0"/>
    <m/>
    <m/>
    <s v="Administración de Negocios"/>
    <e v="#N/A"/>
    <s v="001"/>
    <e v="#N/A"/>
  </r>
  <r>
    <s v="TI"/>
    <n v="1101623658"/>
    <s v="1000406234"/>
    <s v="JONATHAN DAVID RUEDA VILLARREAL"/>
    <s v="Estudios por primera vez"/>
    <x v="1"/>
    <s v="Descartado por ingresos altos"/>
    <m/>
    <s v="En publico objetivo"/>
    <s v="2da Cohorte"/>
    <s v="Admitido"/>
    <s v="jdruedav@eafit.edu.co"/>
    <e v="#N/A"/>
    <s v="jonathanrvilla008@gmail.com"/>
    <s v="573163429513"/>
    <d v="2025-05-16T00:00:00"/>
    <s v="Activo en Programa"/>
    <s v="169-Mercadeo"/>
    <s v="Escuela de Administración"/>
    <d v="2008-05-10T00:00:00"/>
    <n v="17"/>
    <s v="Santander"/>
    <s v="San Gil"/>
    <s v="Hombre"/>
    <s v="Soltero"/>
    <s v="NO"/>
    <s v="NO"/>
    <n v="0"/>
    <s v="NO"/>
    <s v="NA"/>
    <s v="NO"/>
    <s v="NA"/>
    <s v="NO"/>
    <s v="NA"/>
    <s v="No"/>
    <s v="316/342-9513"/>
    <s v="573163429513"/>
    <s v="Estrato 2"/>
    <s v="SAN GIL"/>
    <s v="Santander"/>
    <s v="San Gil"/>
    <s v="No"/>
    <s v="Arriendo"/>
    <s v="SI"/>
    <s v="2024"/>
    <s v="AC202433121589"/>
    <n v="316"/>
    <n v="65"/>
    <n v="61"/>
    <s v="Privada"/>
    <s v="COLEGIO COOPERATIVO"/>
    <n v="2024"/>
    <s v="Santander"/>
    <s v="San Gil"/>
    <s v="BACHILLER"/>
    <s v="TECN"/>
    <s v="TIPO: Privada, INSTITUCION: COLEGIO COOPERATIVO, AÑO: 2024, CIUDAD: San Gil, TITULO: BACHILLER"/>
    <s v="11"/>
    <s v="Escala de 0 - 5"/>
    <s v="Escala de 0 - 5"/>
    <s v="4"/>
    <s v="5"/>
    <m/>
    <s v="4"/>
    <s v="5"/>
    <m/>
    <n v="3.5"/>
    <n v="4.5"/>
    <m/>
    <n v="3.7"/>
    <n v="4"/>
    <m/>
    <s v="4"/>
    <s v="4,5"/>
    <m/>
    <s v="4"/>
    <s v="4,9"/>
    <m/>
    <s v="4,2"/>
    <s v="5"/>
    <m/>
    <s v="De 9 y 10"/>
    <n v="3.9249999999999998"/>
    <s v="NO"/>
    <s v="NA"/>
    <n v="0"/>
    <n v="0"/>
    <s v="No"/>
    <n v="40"/>
    <m/>
    <n v="40"/>
    <m/>
    <n v="40"/>
    <m/>
    <s v="De Santander, vive con mamá, le gusta matemáticas, lenguaje, sociales, filosofía. En el colegio no era su fuerte tecnología informática y artística. Me gusta conversar y empecé a ver que me gustaba de verdad, empecé a desarrollar un emprendimiento, en torno a la ropa porque mi abuela mi mama cosen. Esto fue un proyecto del colegio - nos hicieron registrarlo. Me di cuenta de que una marca transmite un mensaje. Tengo sueños muy grandes le quiero dar algo a la gente."/>
    <n v="40"/>
    <s v="Con detalle por componente"/>
    <s v="Deportistas de alto rendimiento o representativo,Espacios de liderazgo o representación social"/>
    <s v="Me visualizo siendo un mercadólogo. Me veo creando una marca de ropa con propósito, que toque la conciencia de las personas. Quiero expresarme a través de este arte y transmitir poder, fuerza y voluntad en cada persona que use mi marca. Quiero transformar la vida de las personas, que mi marca sea una experiencia trascendental sobre cómo percibimos la ropa. Esto es un arte, una expresión de nuestra alma y de cómo nos sentimos con nosotros mismos. Nuestra forma de vestirnos es una manera de expresarnos ante el mundo exterior. Es algo tan cotidiano y normal que no le hemos brindado la relevancia que merece. Por eso, quiero promover un mensaje. No solo quiero diseñar ropa: quiero ser una marca que, a través de este arte, aporte poder a cada persona. Por eso elegí el mercadeo, porque el objetivo no es solo vender miles de prendas, sino transformar y abrir la mente de las personas para que crean más en sí mismas. El mundo es nuestro si lo deseamos._x000a_Además de eso, me veo aportando a mi región santandereana de tres formas: primero, generando empleo y brindando oportunidades a todos los jóvenes con mentes creativas y gran potencial; segundo, impulsando la creación de talleres locales y, en un plano internacional, representando a Colombia y a Santander en ferias textiles. Finalmente, me visualizo apoyando el desarrollo cultural, promoviendo el aprendizaje en comunidades juveniles y rurales de Santander, a través de talleres de creación de marca, donde, desde lo cotidiano, los proyectos puedan llevarse a un nivel de éxito satisfactorio, con jovenes talentos."/>
    <s v="Redes sociales"/>
    <s v="Por la calidad académica."/>
    <s v="Vocación."/>
    <n v="1"/>
    <s v="1"/>
    <s v="NO"/>
    <s v="NO"/>
    <s v="Entre 3 y 4 millones"/>
    <s v="No"/>
    <n v="0"/>
    <s v="SI"/>
    <s v="Crédito ICETEX"/>
    <s v="SI"/>
    <s v="Beca"/>
    <s v="NO"/>
    <s v=""/>
    <s v=""/>
    <s v="Si"/>
    <s v="Nilson Rueda Muñoz"/>
    <s v="Casado"/>
    <s v="TÉCNICA"/>
    <s v="54"/>
    <s v="Comerciante"/>
    <s v="Independiente (trabaja por cuenta propia)"/>
    <s v="NA"/>
    <s v="NA"/>
    <n v="2000000"/>
    <s v="No"/>
    <s v="NO"/>
    <s v="NO"/>
    <s v="No vivo con mi papá, mis padres son separados y no tengo comunicación con él, se que es comerciante y que se dedica a vender ropa, pero no tengo una relación con él y no me se un promedio real de sus ingresos, él no responde por mi, ni aporta en el hogar donde vivo, solo dependo de mi madre."/>
    <s v="Si"/>
    <s v="Nohora Villarreal León"/>
    <s v="Casado"/>
    <s v="BACHILLERATO"/>
    <s v="55"/>
    <s v="EMPLEADA"/>
    <s v="Empleado (con contrato laboral)"/>
    <s v="Administradora"/>
    <s v="TELARES MEDELLIN HOGAR S.A.S"/>
    <n v="3456100"/>
    <s v="Si"/>
    <s v="SI"/>
    <s v="NO"/>
    <s v="Vivo solo con mi madre, mis padres son separados y ella es la única que responde por mí."/>
    <n v="5456100"/>
    <s v="No, solo vivo con mis padres"/>
    <s v=""/>
    <s v=""/>
    <s v=""/>
    <s v=""/>
    <s v=""/>
    <m/>
    <s v=""/>
    <s v=""/>
    <s v=""/>
    <s v=""/>
    <s v=""/>
    <s v=""/>
    <m/>
    <s v=""/>
    <s v=""/>
    <s v=""/>
    <s v=""/>
    <s v=""/>
    <s v=""/>
    <m/>
    <s v=""/>
    <s v=""/>
    <n v="0"/>
    <n v="0"/>
    <n v="0"/>
    <n v="0"/>
    <n v="25000000"/>
    <s v="No"/>
    <s v=""/>
    <s v=""/>
    <n v="0"/>
    <s v="No"/>
    <s v=""/>
    <s v=""/>
    <n v="0"/>
    <s v="No"/>
    <s v=""/>
    <s v=""/>
    <s v=""/>
    <n v="0"/>
    <s v="NA"/>
    <n v="2"/>
    <n v="4"/>
    <n v="4"/>
    <n v="4"/>
    <n v="3"/>
    <n v="3"/>
    <n v="2"/>
    <n v="4"/>
    <n v="3"/>
    <n v="2"/>
    <n v="31"/>
    <s v="SI"/>
    <m/>
    <s v="SI, SON PRI"/>
    <s v="ok tienen todos los datos"/>
    <s v="Negada"/>
    <n v="20251"/>
    <m/>
    <n v="3"/>
    <n v="10"/>
    <n v="10"/>
    <n v="5"/>
    <n v="10"/>
    <n v="10"/>
    <n v="10"/>
    <n v="16.5"/>
    <n v="12.5"/>
    <n v="57.5"/>
    <n v="0.4"/>
    <m/>
    <n v="2"/>
    <n v="4.5"/>
    <n v="3"/>
    <n v="3"/>
    <n v="2"/>
    <n v="4"/>
    <n v="6"/>
    <n v="4.5"/>
    <n v="61.5"/>
    <n v="0.5"/>
    <n v="0.4"/>
    <e v="#N/A"/>
    <m/>
    <m/>
    <n v="0"/>
    <m/>
    <m/>
    <s v="Mercadeo"/>
    <e v="#N/A"/>
    <s v="169"/>
    <e v="#N/A"/>
  </r>
  <r>
    <s v="CC"/>
    <n v="1102119013"/>
    <s v="1000403123"/>
    <s v="DANIELA BLANCO GONZÁLEZ"/>
    <s v="Estudios por primera vez"/>
    <x v="1"/>
    <s v="Descartado por est 1 e ingresos bajos"/>
    <m/>
    <s v="En publico objetivo"/>
    <s v="1er Cohorte"/>
    <s v="Admitido"/>
    <s v="dblancog1@eafit.edu.co"/>
    <s v="dblancog1@eafit.edu.co"/>
    <s v="dbg200512@gmail.com"/>
    <s v="573135112949"/>
    <d v="2025-04-25T00:00:00"/>
    <s v="Activo en Programa"/>
    <s v="169-Mercadeo"/>
    <s v="Escuela de Administración"/>
    <d v="2005-07-25T00:00:00"/>
    <n v="20"/>
    <s v="Sucre"/>
    <s v="La Unión"/>
    <s v="Mujer"/>
    <s v="Soltero"/>
    <s v="NO"/>
    <s v="NO"/>
    <n v="0"/>
    <s v="NO"/>
    <s v="NA"/>
    <s v="NO"/>
    <s v="NA"/>
    <s v="NO"/>
    <s v="NA"/>
    <s v="No"/>
    <s v="310/572-9196"/>
    <s v="573135112949"/>
    <s v="Estrato 1"/>
    <s v="LA UNION"/>
    <s v="Antioquia"/>
    <s v="La Unión"/>
    <s v="Si"/>
    <s v="Familiar"/>
    <s v="SI"/>
    <s v="2022"/>
    <s v="AC202244577136"/>
    <n v="309"/>
    <n v="55"/>
    <n v="63"/>
    <s v="Pública"/>
    <s v="Institución Educativa Instituto La Unión"/>
    <n v="2022"/>
    <m/>
    <s v="La Unión"/>
    <s v="Bachillerato"/>
    <s v="Académico"/>
    <m/>
    <s v="11"/>
    <s v="Escala de 0 - 5"/>
    <s v="Escala de 0 - 5"/>
    <s v="3,8"/>
    <s v="3,8"/>
    <m/>
    <s v="4"/>
    <s v="4"/>
    <m/>
    <n v="3.8"/>
    <n v="4.3"/>
    <m/>
    <n v="4.5"/>
    <n v="4.3"/>
    <m/>
    <s v="4"/>
    <s v="4,6"/>
    <m/>
    <s v="4,7"/>
    <s v="4,7"/>
    <m/>
    <s v="4,2"/>
    <s v="4,4"/>
    <m/>
    <s v="De 9 y 10"/>
    <n v="4.2249999999999996"/>
    <s v="NO"/>
    <s v="NA"/>
    <n v="0"/>
    <n v="0"/>
    <s v="No"/>
    <n v="45"/>
    <m/>
    <n v="40"/>
    <m/>
    <n v="45"/>
    <m/>
    <m/>
    <n v="43.333333333333336"/>
    <s v="Con detalle por componente"/>
    <s v="Trabajo social o comunitario"/>
    <s v="Siempre he tenido la habilidad crear, de mirar estrategias que lleven lo simple mucho mas allá, esta profesión como lo es mercadeo me permite ser debido a que me visualizo en departamentos corporativos donde en conjunto con análisis, ideas innovadoras y con ejecuciones de estrategias que impacten el mercado principalmente el de los consumidores donde todos las ejecuciones de las herramientas que nos brinda el mercadeo generen grandes resultados abriendo pasos a la fluidez del mercado superando esas barreras  y obstáculos que se generan de la mano con las herramientas del mercadeo, estrategias y grupos creativos que transformen el mercado y llevar lo simple a otro nivel, donde inclusive de la mano con cada experiencia laboral profesional ser parte de ese mercado como distribuidora directa, creando mercados emergente solidos y con bases en buenas relaciones y creando grandes usos de las herramientas de mercadeo. ._x000a__x000a_A través de la obtención de la beca puedo transformar mi lugar de origen, principalmente creando espacios de alto impacto en el mercado, transformando desde pequeños negocios y emprendimientos de la mano de análisis de mercados, estrategias y herramientas  que me brinda la universidad eafit, en el cual se cree una definición de cada mercado variado que se encuentra en mi lugar de origen, teniendo en cuenta que en este se desconoce acerca de las herramientas del mercadeo y los beneficios que este brinda, donde mi objetivo principal de transformación es ser ese puente que los lleve al otro lado a transformar ese desconocimiento en conocimiento como lo son las estrategias de mercadeo y el análisis para la mejora de bienes y servicios que brinden estos, logrando un buen impacto en el crecimiento de estos, donde el cambio es crear estos espacios formativos que se utilizan para obtener un buen desarrollo y buenos posicionamientos en lo que es la implementación de herramientas que brinda el mercadeo en el cual se logre un mejor desarrollo a través de estas actividades estratégicas  como lo serian charlas formativas, donde aprendan y transformen ese conocimiento y que llegue a expandir sus mercados logrando buenos posicionamientos, relaciones y una fluidez económica necesaria que necesitan para crear un mercado solido y eficaz en beneficio de todos."/>
    <s v="Amigos"/>
    <s v="Por la calidad académica."/>
    <s v="Vocación."/>
    <n v="3"/>
    <s v="0"/>
    <s v="SI"/>
    <s v="NO"/>
    <s v="Menos de 1millón"/>
    <s v="No"/>
    <n v="0"/>
    <n v="0"/>
    <m/>
    <s v="SI"/>
    <s v="Beca"/>
    <s v="NO"/>
    <s v=""/>
    <s v=""/>
    <s v="Sin información"/>
    <n v="0"/>
    <m/>
    <m/>
    <m/>
    <s v=""/>
    <s v=""/>
    <m/>
    <s v=""/>
    <m/>
    <s v=""/>
    <m/>
    <m/>
    <s v="desconozco totalmente debido a que no respondió como padre"/>
    <s v="Si"/>
    <s v="Marelsy Blanco Gonzalez"/>
    <s v="Soltero"/>
    <s v="TÉCNICA"/>
    <s v="45"/>
    <s v="empleada domestica de medio tiempo"/>
    <s v="Independiente (trabaja por cuenta propia)"/>
    <s v="empleada domestica"/>
    <s v="NINGUNA"/>
    <n v="400000"/>
    <s v="Si"/>
    <s v="NO"/>
    <s v="NO"/>
    <s v="Mujer responsable y trabajadora una increíble madre, dispuesta apoyarme en mis estudios para salir adelante"/>
    <n v="400000"/>
    <s v="Si"/>
    <s v="Lidia María Gonzalez Palacio"/>
    <s v="Abuelo / Abuela"/>
    <s v="68"/>
    <s v="Ninguna"/>
    <s v="Ninguna"/>
    <n v="0"/>
    <s v="No"/>
    <s v="Luis Ángel Blanco Mercado"/>
    <s v="Abuelo / Abuela"/>
    <s v="70"/>
    <s v="Ninguna"/>
    <s v="ninguna"/>
    <n v="0"/>
    <s v="No"/>
    <s v=""/>
    <s v=""/>
    <s v=""/>
    <s v=""/>
    <s v=""/>
    <m/>
    <s v=""/>
    <s v="familia unida y amorosa"/>
    <n v="55000000"/>
    <n v="0"/>
    <n v="0"/>
    <n v="0"/>
    <n v="0"/>
    <s v="No"/>
    <s v=""/>
    <s v=""/>
    <n v="0"/>
    <s v="No"/>
    <s v=""/>
    <s v=""/>
    <n v="0"/>
    <s v="Si"/>
    <s v="Moto"/>
    <s v="Boxer"/>
    <s v="2013"/>
    <n v="2500000"/>
    <s v="los bienes y el vehículo están en buenas condiciones gracias al cuidado pero no cuentan con grandes costos"/>
    <n v="4"/>
    <n v="4"/>
    <n v="3"/>
    <n v="4"/>
    <n v="4"/>
    <n v="4"/>
    <n v="4"/>
    <n v="4"/>
    <n v="3"/>
    <n v="4"/>
    <n v="38"/>
    <s v="SI"/>
    <s v="SI, TIPO IE"/>
    <s v="PRI SIN TIPO IE"/>
    <s v="pendiente tipo ie"/>
    <e v="#N/A"/>
    <e v="#N/A"/>
    <m/>
    <n v="3"/>
    <n v="6"/>
    <n v="6"/>
    <n v="5"/>
    <n v="15"/>
    <n v="15"/>
    <n v="15"/>
    <n v="18"/>
    <n v="18"/>
    <n v="74"/>
    <n v="0.5"/>
    <m/>
    <n v="3.5"/>
    <n v="3.5"/>
    <n v="8"/>
    <n v="3"/>
    <n v="3.5"/>
    <n v="3.5"/>
    <n v="8"/>
    <n v="3"/>
    <n v="74"/>
    <n v="0.6"/>
    <n v="0.6"/>
    <e v="#N/A"/>
    <m/>
    <m/>
    <s v="SI, TIPO IE"/>
    <m/>
    <m/>
    <s v="Mercadeo"/>
    <e v="#N/A"/>
    <s v="169"/>
    <e v="#N/A"/>
  </r>
  <r>
    <s v="TI"/>
    <n v="1104260452"/>
    <s v="1000391013"/>
    <s v="ARTURO RODRIGUEZ PATERNINA"/>
    <s v="Cupo Reservado"/>
    <x v="1"/>
    <s v="Descartado por est 1 e ingresos bajos"/>
    <m/>
    <s v="En publico objetivo"/>
    <s v="1er Cohorte"/>
    <s v="Admitido"/>
    <s v="arodriguep@eafit.edu.co"/>
    <s v="arodriguep@eafit.edu.co"/>
    <s v="arturo07rp@gmail.com"/>
    <s v="573001276352"/>
    <d v="2025-04-25T00:00:00"/>
    <s v="Activo en Programa"/>
    <s v="010-Ingeniería de Sistemas"/>
    <s v="E Ciencias Aplic e Ingeniería"/>
    <d v="2007-09-01T00:00:00"/>
    <n v="18"/>
    <s v="Sucre"/>
    <s v="Sincelejo"/>
    <s v="Hombre"/>
    <s v="Soltero"/>
    <s v="NO"/>
    <s v="NO"/>
    <n v="0"/>
    <s v="NO"/>
    <s v="NA"/>
    <s v="NO"/>
    <s v="NA"/>
    <s v="NO"/>
    <s v="NA"/>
    <s v="No"/>
    <s v="271-3038"/>
    <s v="573001276352"/>
    <s v="Estrato 1"/>
    <s v="CR 1 A 1 30 CORREGIMIENTO LA GALLERA"/>
    <s v="Sucre"/>
    <s v="Sincelejo"/>
    <s v="Si"/>
    <s v="Arriendo"/>
    <s v="SI"/>
    <n v="2024"/>
    <s v="AC202437182918"/>
    <n v="348"/>
    <n v="67"/>
    <n v="69"/>
    <s v="Privada"/>
    <s v="I.E. COMFASUCRE"/>
    <n v="2024"/>
    <m/>
    <s v="Sincelejo"/>
    <n v="0"/>
    <s v="BACHILLER"/>
    <s v="TIPO: Privada, INSTITUCION: I.E. COMFASUCRE, AÑO: 2024, CIUDAD: Sincelejo, TITULO: BACHILLER"/>
    <n v="0"/>
    <n v="0"/>
    <s v="Escala de 0 - 5"/>
    <m/>
    <s v="44"/>
    <m/>
    <m/>
    <s v="44"/>
    <m/>
    <m/>
    <n v="4.5"/>
    <n v="4.0999999999999996"/>
    <m/>
    <n v="4.28"/>
    <n v="4.4000000000000004"/>
    <m/>
    <s v="44"/>
    <m/>
    <m/>
    <s v="50"/>
    <m/>
    <m/>
    <s v="44"/>
    <m/>
    <s v="De 10 y 11"/>
    <n v="4.32"/>
    <s v="NA"/>
    <s v="NA"/>
    <n v="0"/>
    <n v="0"/>
    <s v="No"/>
    <s v="Sin informacion"/>
    <s v="Sin informacion"/>
    <s v="Sin informacion"/>
    <s v="Sin informacion"/>
    <s v="Sin informacion"/>
    <s v="Sin informacion"/>
    <s v="Descartado por foraneo con bajos ingresos"/>
    <n v="35"/>
    <s v="Cupo reservado"/>
    <s v="Artísticas o culturales,Espacios de liderazgo o representación social"/>
    <s v="Como ingeniero de sistemas de EAFIT me visualizo elaborando programas que potencialicen la utilización de los recursos de mi región, como implementación de sistemas de riego, mejoramiento de especies, acondicionamiento de hábitat de nuestra fauna y flora; implementando con equipos interdisciplinarios tecnologías que garanticen la optimización de los recursos en el departamento de Sucre, creando una empresa que ayude a generar soluciones prácticas y sostenibles. La ingeniería como enlace de desarrollo es uno de los recursos más valiosos en el mundo moderno que permite garantizar la aplicación de bases de datos e información que permita crear códigos y algoritmos para solucionar problemas a gran escala. Los cambios climáticos afectan las prácticas tradicionales de agricultura, ganadería y generación de energía, a través de la ingeniería mi propósito es elaborar herramientas que permitan analizar, procesar datos para mejorar y acortar los tiempos de respuesta en las labores. _x0009_Sucre es  uno de  los departamentos  mas  ricos de la  Región Caribe pero culturalmente somos un municipio pobre,  cada año las  situaciones de  inundaciones  y otros  flagelos repiten ciclos de  miseria y escases,  La ingeniera es  un eje entre todas  las  disciplinas  académicas  que permite engranar  la tecnología a cualquier solución que se  requiera, encontrándome en una  familia de  científicos  investigadores que trabajan  arduamente en la investigación de  vacunas contra enfermedades tropicales  y estudio de  especies y  nichos de  estas,  me veo como  creador de  programas  que permitan apoyar estos estudio y en menor tiempo responder  a  la necesidad de  generar vacunas  y soluciones  para el mundo entero."/>
    <s v="Redes sociales"/>
    <s v="Por la calidad académica."/>
    <s v="Alta proyección de ingresos."/>
    <n v="2"/>
    <s v="Sin informacion"/>
    <s v="Sin informacion"/>
    <s v="Sin informacion"/>
    <s v="Sin informacion"/>
    <s v="No"/>
    <n v="0"/>
    <s v="SI"/>
    <s v="Crédito ICETEX"/>
    <n v="0"/>
    <m/>
    <s v="NO"/>
    <s v=""/>
    <s v=""/>
    <s v="Si"/>
    <s v="Carlos Arturo Rodriguez Gerdts"/>
    <s v="Otro"/>
    <s v="UNIVERSITARIOS"/>
    <s v="49"/>
    <s v="Arquitecto"/>
    <s v="Desempleado (Se encuentra en la búsqueda activa de empleo)"/>
    <s v="Desempleado"/>
    <s v="N/A"/>
    <n v="0"/>
    <s v="No"/>
    <s v="NO"/>
    <s v="NO"/>
    <s v="Muy buena relación  familiar no vive en el seno familiar, desempleado."/>
    <s v="Si"/>
    <s v="Maria Eugenia Parternina Gomez"/>
    <s v="Soltero"/>
    <s v="UNIVERSITARIOS"/>
    <s v="50"/>
    <s v="Aserora Comercial"/>
    <s v="Empleado (con contrato laboral)"/>
    <s v="Asesor"/>
    <s v="Autovardi S.A.S"/>
    <n v="1423500"/>
    <s v="Si"/>
    <s v="SI"/>
    <s v="NO"/>
    <s v="Madre esforzada ,valiente, resiliente, empleada, familiar, solidaria."/>
    <n v="1423500"/>
    <s v="Si"/>
    <s v="Gabriela Rodriguez Paternina"/>
    <s v="Hermano / Hermana"/>
    <s v="18"/>
    <s v="Estudiante"/>
    <s v="Cecar"/>
    <n v="0"/>
    <s v="No"/>
    <s v="N/A"/>
    <s v=""/>
    <s v="0"/>
    <s v="N/a"/>
    <s v="N/A"/>
    <n v="0"/>
    <s v="No"/>
    <s v="N/A"/>
    <s v=""/>
    <s v="0"/>
    <s v="N/A"/>
    <s v="N/A"/>
    <n v="0"/>
    <s v="No"/>
    <s v="Familia amorosa y unida."/>
    <n v="0"/>
    <n v="0"/>
    <n v="0"/>
    <n v="0"/>
    <n v="0"/>
    <s v="No"/>
    <s v=""/>
    <s v=""/>
    <n v="0"/>
    <s v="No"/>
    <s v=""/>
    <s v=""/>
    <n v="0"/>
    <s v="No"/>
    <s v=""/>
    <s v=""/>
    <s v=""/>
    <n v="0"/>
    <s v=""/>
    <n v="4"/>
    <n v="4"/>
    <n v="4"/>
    <n v="4"/>
    <n v="4"/>
    <n v="4"/>
    <n v="4"/>
    <n v="4"/>
    <n v="4"/>
    <n v="4"/>
    <n v="40"/>
    <s v="SI"/>
    <s v="SI, CRE"/>
    <s v="Son CRE, sin tipo de vivienda, nada del ICFES, sin nada de entrevista, y con solo 1 nota del colegio"/>
    <s v="sin info de entrevista, fue descartado en 20251"/>
    <s v="Negada"/>
    <n v="20251"/>
    <m/>
    <n v="3"/>
    <n v="6"/>
    <n v="6"/>
    <n v="10"/>
    <n v="15"/>
    <n v="15"/>
    <n v="5"/>
    <n v="18.5"/>
    <n v="18.5"/>
    <n v="69.5"/>
    <n v="0.6"/>
    <m/>
    <n v="2"/>
    <n v="4.5"/>
    <n v="8"/>
    <n v="4"/>
    <n v="2"/>
    <n v="4"/>
    <n v="8"/>
    <n v="4.5"/>
    <n v="69.5"/>
    <n v="0.7"/>
    <n v="0.6"/>
    <e v="#N/A"/>
    <m/>
    <m/>
    <s v="SI, CRE"/>
    <m/>
    <m/>
    <s v="Ingeniería de Sistemas"/>
    <e v="#N/A"/>
    <s v="010"/>
    <e v="#N/A"/>
  </r>
  <r>
    <s v="TI"/>
    <n v="1104261114"/>
    <s v="1000381574"/>
    <s v="MARIANA DEL CASTILLO PERIÑAN"/>
    <s v="Estudios por primera vez"/>
    <x v="1"/>
    <s v="Descartado por ingresos altos"/>
    <m/>
    <s v="En publico objetivo"/>
    <s v="1er Cohorte"/>
    <s v="Admitido"/>
    <s v="mcastillp1@eafit.edu.co"/>
    <s v="mcastillp1@eafit.edu.co"/>
    <s v="mariana.delcastillo202@gmail.com"/>
    <s v="573147186088"/>
    <d v="2025-04-25T00:00:00"/>
    <s v="Activo en Programa"/>
    <s v="084-Derecho"/>
    <s v="Escuela de Derecho"/>
    <d v="2008-02-04T00:00:00"/>
    <n v="17"/>
    <s v="Sucre"/>
    <s v="Sincelejo"/>
    <s v="Mujer"/>
    <s v="Soltero"/>
    <s v="NO"/>
    <s v="NO"/>
    <n v="0"/>
    <s v="NO"/>
    <s v="NA"/>
    <s v="NO"/>
    <s v="NA"/>
    <s v="NO"/>
    <s v="NA"/>
    <s v="No"/>
    <s v="573147186088"/>
    <s v="573147186088"/>
    <s v="Estrato 3"/>
    <s v="CL 28 #16 A 15"/>
    <s v="Sucre"/>
    <s v="Sincelejo"/>
    <s v="No"/>
    <s v="Propio"/>
    <s v="SI"/>
    <s v="2024"/>
    <s v="AC202430396127"/>
    <n v="362"/>
    <n v="76"/>
    <n v="74"/>
    <s v="Privada"/>
    <s v="COL. NTRA. SRA. DE LAS MERCEDE"/>
    <n v="2024"/>
    <s v="Sucre"/>
    <s v="Sincelejo"/>
    <s v="BACHILLER"/>
    <n v="0"/>
    <s v="TIPO: Privada, INSTITUCION: COL. NTRA. SRA. DE LAS MERCEDE, AÑO: 2024, CIUDAD: Sincelejo, TITULO: BACHILLER"/>
    <s v="11"/>
    <s v="Escala de 0 - 100"/>
    <s v="Escala de 0 - 5"/>
    <s v="4,5"/>
    <s v="4,5"/>
    <m/>
    <s v="4,5"/>
    <s v="4,5"/>
    <m/>
    <n v="4.5"/>
    <n v="4.5"/>
    <m/>
    <n v="4.5"/>
    <n v="4.5"/>
    <m/>
    <s v="5"/>
    <s v="4,5"/>
    <m/>
    <s v="5"/>
    <s v="5"/>
    <m/>
    <s v="5"/>
    <s v="5"/>
    <m/>
    <s v="De 9 y 10"/>
    <n v="4.5"/>
    <s v="NO"/>
    <s v="NA"/>
    <n v="0"/>
    <n v="0"/>
    <s v="No"/>
    <n v="45"/>
    <m/>
    <n v="50"/>
    <m/>
    <n v="50"/>
    <m/>
    <s v="Muy buena candidata. Excelente aptitud para el programa"/>
    <n v="48.333333333333336"/>
    <s v="Con detalle por componente"/>
    <s v="Deportistas de alto rendimiento o representativo,Espacios de liderazgo o representación social,Trabajo social o comunitario"/>
    <s v="Desde pequeña me han interesado la lectura y la historia de nuestro país, por eso, al momento de decidir qué carrera ejercer tenía claro que quería estudiar derecho, quiero ser abogada, no únicamente para tener buenos ingresos y mejorar mi calidad de vida, quiero estudiar las leyes de nuestro país para entender al sistema y lograr desde adentro un cambio que beneficie a todos los colombianos. Me considero una persona decidida, responsable y sobre todas las cosas, comprometida. Tengo una actitud humanista, soy sensible frente a las realidades sociales de las demás personas y considero que eso me ayudaría a convertirme en una buena profesional. Al ejercer me visualizo con un amplio conocimiento del tema, con una excelente educación proporcionada por esta universidad; me veo como una abogada de derecho internacional y derecho laboral, puesto que son áreas que me apasionan y en ellas encuentro afinidad, me percibo trabajando en un gran bufete internacional e incluso, siendo una mandataria pública de mi región, como concejal o diputada, para contribuir a la igualdad de oportunidades y obtención de recursos en mi departamento. Me gusta soñar en grande, especialmente porque conozco mis fortalezas y me creo totalmente capaz de satisfacer mis expectativas._x000a_Como dijo hace algún tiempo el líder sudafricano Nelson Mandela: &quot;La educación es el arma más poderosa que puedes usar para cambiar el mundo&quot;  Confío plenamente en que los jóvenes somos el futuro del mundo, un mundo que solo puede mejorar mediante la educación, es por esto que, si me dan esta extraordinaria oportunidad, tengo pleno conocimiento de que aprovecharé todas las herramientas y clases proporcionadas por la universidad para convertirme en una buena profesional y ayudar a las personas, velar por la equidad, la justicia y la paz en Colombia, mi departamento, y algún día, el mundo entero."/>
    <s v="A través del Colegio"/>
    <s v="Por la calidad académica."/>
    <s v="Vocación."/>
    <n v="3"/>
    <s v="1"/>
    <s v="SI"/>
    <s v="NO"/>
    <s v="Entre 10 y 11 millones"/>
    <s v="No"/>
    <s v="SI"/>
    <n v="0"/>
    <m/>
    <s v="SI"/>
    <s v="Beca"/>
    <s v="NO"/>
    <s v=""/>
    <s v=""/>
    <s v="Si"/>
    <s v="William Alejandro Del Castillo Castillo"/>
    <s v="Soltero"/>
    <s v="ESPECIALIZACIÓN"/>
    <s v="48"/>
    <s v="Odontólogo"/>
    <s v="Independiente (trabaja por cuenta propia)"/>
    <s v="Rehabilitador Oral"/>
    <s v="COE (Consultorio odontológico especialista)"/>
    <n v="6000000"/>
    <s v="Si"/>
    <s v="SI"/>
    <s v="NO"/>
    <s v=""/>
    <s v="Si"/>
    <s v="Kelly Virginia Periñan Yepes"/>
    <s v="Casado"/>
    <s v="ESPECIALIZACIÓN"/>
    <s v="42"/>
    <s v="Odontóloga"/>
    <s v="Empleado (con contrato laboral)"/>
    <s v="Odontopediatra"/>
    <s v="Clínica TU SALUD ORAL S. A. S"/>
    <n v="3000000"/>
    <s v="Si"/>
    <s v="NO"/>
    <s v="NO"/>
    <m/>
    <n v="9000000"/>
    <s v="Si"/>
    <s v="Luciana Del Castillo Periñan"/>
    <s v="Hermano / Hermana"/>
    <s v="11"/>
    <s v="Estudiante"/>
    <s v="Colegio Nuestra Señora de las Mercedes"/>
    <n v="0"/>
    <s v="No"/>
    <s v=""/>
    <s v=""/>
    <s v=""/>
    <s v=""/>
    <s v=""/>
    <m/>
    <s v=""/>
    <s v=""/>
    <s v=""/>
    <s v=""/>
    <s v=""/>
    <s v=""/>
    <m/>
    <s v=""/>
    <s v=""/>
    <n v="178509000"/>
    <n v="0"/>
    <n v="0"/>
    <n v="0"/>
    <n v="0"/>
    <s v="Si"/>
    <s v="Kia Sportage"/>
    <s v="2014"/>
    <n v="48000000"/>
    <s v="No"/>
    <s v=""/>
    <s v=""/>
    <n v="0"/>
    <s v="No"/>
    <s v=""/>
    <s v=""/>
    <s v=""/>
    <n v="0"/>
    <m/>
    <n v="4"/>
    <n v="4"/>
    <n v="3"/>
    <n v="4"/>
    <n v="3"/>
    <n v="3"/>
    <n v="3"/>
    <n v="4"/>
    <n v="4"/>
    <n v="3"/>
    <n v="35"/>
    <s v="SI"/>
    <m/>
    <s v="SI, SON PRI"/>
    <s v="ok tienen todos los datos"/>
    <n v="0.4"/>
    <n v="20251"/>
    <m/>
    <n v="2"/>
    <n v="10"/>
    <n v="8"/>
    <n v="15"/>
    <n v="20"/>
    <n v="15"/>
    <n v="20"/>
    <n v="7.5"/>
    <n v="7.5"/>
    <n v="87.5"/>
    <n v="0.4"/>
    <m/>
    <n v="2"/>
    <n v="2.5"/>
    <n v="1"/>
    <n v="2"/>
    <n v="2"/>
    <n v="2.5"/>
    <n v="1"/>
    <n v="2"/>
    <n v="85.5"/>
    <n v="0.4"/>
    <n v="0.4"/>
    <e v="#N/A"/>
    <m/>
    <m/>
    <n v="0"/>
    <m/>
    <m/>
    <s v="Derecho"/>
    <e v="#N/A"/>
    <s v="084"/>
    <e v="#N/A"/>
  </r>
  <r>
    <s v="TI"/>
    <n v="1105372700"/>
    <s v="1000407817"/>
    <s v="ISABELLA CABRERA QUINTERO"/>
    <s v="Estudios por primera vez"/>
    <x v="1"/>
    <s v="Descartado por baja prioridad pregrado"/>
    <m/>
    <s v="En publico objetivo"/>
    <s v="2da Cohorte"/>
    <s v="Admitido"/>
    <s v="icabreraq@eafit.edu.co"/>
    <e v="#N/A"/>
    <s v="bella.cabrera.1978@gmail.com"/>
    <s v="316/119-3484"/>
    <d v="2025-05-16T00:00:00"/>
    <s v="Activo en Programa"/>
    <s v="113-Ingeniería Física"/>
    <s v="E Ciencias Aplic e Ingeniería"/>
    <d v="2008-04-10T00:00:00"/>
    <n v="17"/>
    <s v="Valle del Cauca"/>
    <s v="Cali"/>
    <s v="Mujer"/>
    <s v="Soltero"/>
    <s v="NO"/>
    <s v="NO"/>
    <n v="0"/>
    <s v="NO"/>
    <s v="NA"/>
    <s v="NO"/>
    <s v="NA"/>
    <s v="NO"/>
    <s v="NA"/>
    <s v="No"/>
    <s v="316/119-3484"/>
    <s v="316/119-3484"/>
    <s v="Estrato 2"/>
    <s v="CL 14 N 2 NORTE- 75"/>
    <s v="Valle del Cauca"/>
    <s v="Yumbo"/>
    <s v="Si"/>
    <s v="Arriendo"/>
    <s v="SI"/>
    <s v="2024"/>
    <s v="AC202433496585"/>
    <n v="310"/>
    <n v="63"/>
    <n v="59"/>
    <s v="Pública"/>
    <s v="IE JOSE MARIA CORDOBA"/>
    <n v="2024"/>
    <m/>
    <s v="Yumbo"/>
    <s v="Bachillerato"/>
    <s v="BACHILLER"/>
    <s v="TIPO: Pública, INSTITUCION: IE JOSE MARIA CORDOBA, AÑO: 2024, CIUDAD: Yumbo, TITULO: BACHILLER"/>
    <s v="11"/>
    <s v="Escala de 0 - 5"/>
    <s v="Escala de 0 - 5"/>
    <s v="4,5"/>
    <s v="5"/>
    <m/>
    <s v="4,5"/>
    <s v="4,5"/>
    <m/>
    <n v="4"/>
    <n v="4.5"/>
    <m/>
    <n v="5"/>
    <n v="5"/>
    <m/>
    <s v="4,5"/>
    <s v="4,5"/>
    <m/>
    <s v="5"/>
    <s v="5"/>
    <m/>
    <s v="4,5"/>
    <s v="4"/>
    <m/>
    <s v="De 9 y 10"/>
    <n v="4.625"/>
    <s v="NO"/>
    <s v="NA"/>
    <n v="0"/>
    <n v="0"/>
    <s v="No"/>
    <n v="50"/>
    <m/>
    <n v="50"/>
    <m/>
    <n v="50"/>
    <m/>
    <m/>
    <n v="50"/>
    <s v="Con detalle por componente"/>
    <s v="Espacios de liderazgo o representación social,Trabajo social o comunitario,Otras (por ejemplo, un talento extraordinario)"/>
    <s v="Me visualizo como una ingeniera física capaz de aportar soluciones innovadoras a problemáticas reales, combinando ciencia, tecnología y conciencia social. Elegí esta carrera porque me apasiona entender el mucho aspecto de las áreas Steam, desarrollar tecnologías útiles para la humanidad y aplicar el conocimiento científico en contextos como el medioambiente, el espacio entre otras. Mi sueño es especializarme en temas aeroespaciales y algún día trabajar con la NASA, representando a Colombia en escenarios internacionales._x000a_Desde muy joven he trabajado por ese propósito. Fui seleccionada en el programa “Ella es Astronauta”, donde recibí formación directa de la NASA. Allí desarrollé mi proyecto Vigía Forestal, un sistema de drones con inteligencia artificial para detectar incendios forestales y asistir a los bomberos en tiempo real. Esta iniciativa surgió al escuchar las necesidades de los bomberos de Yumbo,mi municipio,que enfrentan constantes emergencias sin suficientes recursos._x000a_Gracias a este proyecto, fui elegida entre los 16 mejores del país y representé a Colombia y América Latina en The Earth Prize, una de las competencias ambientales juveniles más grandes del mundo, quedando como erudita y la primera colombiana, aparte gané confianza y visión de futuro,dónde EAFIT puede ser un trampolín para llegar aquella visión de misma como profesional y persona._x000a_Con esta beca, podré acceder a una formación de calidad en Ingeniería Física, desarrollar más proyectos de alto impacto y devolver ese conocimiento a mi región. Quiero crear soluciones desde la ciencia y tecnología que mejoren la calidad de vida en comunidades vulnerables,proteger en medio ambiente y futuro descubrir misterios del universo impulsar a otras niñas a involucrarse en las áreas STEAM y ser un ejemplo de que,aun con recursos limitados,se puede generar un gran impacto._x000a_Tengo claro que mi propósito es construir, innovar y transformar desde el conocimiento. Esta beca sería el impulso definitivo para lograrlo."/>
    <s v="Estudiantes de EAFIT"/>
    <s v="Por la oferta académica."/>
    <s v="Vocación."/>
    <n v="2"/>
    <s v="1"/>
    <s v="SI"/>
    <s v="NO"/>
    <s v="Entre 1 y 2 millones"/>
    <s v="Si"/>
    <n v="0"/>
    <n v="0"/>
    <m/>
    <s v="Y"/>
    <m/>
    <s v="NO"/>
    <s v="NA"/>
    <s v="NA"/>
    <s v="Si"/>
    <s v="Carlos Arturo Cabrera Montenegro"/>
    <s v="Otro"/>
    <s v="TECNOLOGÍA"/>
    <s v="47"/>
    <s v="tecnología en ingeniería industrial"/>
    <s v="Emprendedor (inicia un proyecto productivo o negocio propio)"/>
    <s v="dueño y administrador del puesto de comidas rápidas"/>
    <s v="puesto de comidas rápidas"/>
    <n v="1000000"/>
    <s v="Si"/>
    <s v="SI"/>
    <s v="NO"/>
    <s v="Es un hombre luchador y trabajador, que siempre ha hecho todo lo posible por sacarnos adelante. Aunque estuvo desempleado por un tiempo, decidió emprender y montar un puesto de comida para apoyarme en el camino hacia mis sueños y metas. Como mi hermana ya tiene su propia familia, en este momento él responde únicamente por mí. Siempre me ha brindado su apoyo incondicional, y gracias a su esfuerzo y dedicación he podido seguir luchando por lo que quiero."/>
    <s v="Si"/>
    <s v="Doris Janeth Quintero"/>
    <s v="Otro"/>
    <s v="BACHILLERATO"/>
    <s v="55"/>
    <s v="Modista"/>
    <s v="Independiente (trabaja por cuenta propia)"/>
    <s v="operaria(es la que arregla la ropa)"/>
    <s v="clínica de ropa"/>
    <n v="800000"/>
    <s v="Si"/>
    <s v="NO"/>
    <s v="NO"/>
    <s v="Es una mujer muy trabajadora y luchadora. Gracias a sus conocimientos en confecciones ha logrado mantenerse en pie, buscando siempre el bienestar de nuestra familia. Aunque sueña con que, en algún momento, una empresa la contrate, ya que ha  enfrentado barreras por su edad, a pesar de que eso no debería ser un impedimento, porque no se le nota para nada su edad. Durante su juventud trabajó en una empresa, pero cuando quedó embarazada de mí decidió renunciar y independizarse por su cuenta, con el propósito de asegurar mi educación y estar siempre presente como madre. Su esfuerzo y dedicación han sido constantes, y su apoyo nunca me ha faltado, ya que ella hace todo lo posible por ayudarme a cumplir mis sueños y metas."/>
    <n v="1800000"/>
    <s v="No, solo vivo con mis padres"/>
    <s v=""/>
    <s v=""/>
    <s v=""/>
    <s v=""/>
    <s v=""/>
    <m/>
    <s v=""/>
    <s v=""/>
    <s v=""/>
    <s v=""/>
    <s v=""/>
    <s v=""/>
    <m/>
    <s v=""/>
    <s v=""/>
    <s v=""/>
    <s v=""/>
    <s v=""/>
    <s v=""/>
    <m/>
    <s v=""/>
    <s v=""/>
    <n v="0"/>
    <n v="0"/>
    <n v="0"/>
    <n v="0"/>
    <n v="0"/>
    <s v="No"/>
    <s v=""/>
    <s v=""/>
    <n v="0"/>
    <s v="No"/>
    <s v=""/>
    <s v=""/>
    <n v="0"/>
    <s v="No"/>
    <s v=""/>
    <s v=""/>
    <s v=""/>
    <n v="0"/>
    <s v="Actualmente, en mi hogar no contamos con ciertos privilegios o comodidades. Pagamos arriendo y, debido a nuestros ingresos limitados, no poseemos vehículos propios. Sin embargo, tengo la esperanza de que, en un futuro, cuando logre graduarme como profesional y tenga un trabajo estable, podamos acceder a estos beneficios. También confiamos en que el emprendimiento de mi padre en el área de comida pueda crecer y convertirse en un restaurante, lo que representaría un apoyo económico adicional para nuestra familia."/>
    <n v="4"/>
    <n v="4"/>
    <n v="3"/>
    <n v="4"/>
    <n v="4"/>
    <n v="4"/>
    <n v="3"/>
    <n v="4"/>
    <n v="4"/>
    <n v="4"/>
    <n v="38"/>
    <s v="SI"/>
    <m/>
    <s v="SI, SON PRI"/>
    <s v="ok tienen todos los datos"/>
    <e v="#N/A"/>
    <e v="#N/A"/>
    <m/>
    <n v="1"/>
    <n v="10"/>
    <n v="10"/>
    <n v="5"/>
    <n v="20"/>
    <n v="15"/>
    <n v="20"/>
    <n v="20"/>
    <n v="20"/>
    <n v="90"/>
    <s v="80 - 100%"/>
    <m/>
    <n v="3.5"/>
    <n v="4.5"/>
    <n v="8"/>
    <n v="4"/>
    <n v="3.5"/>
    <n v="4"/>
    <n v="8"/>
    <n v="4.5"/>
    <n v="90"/>
    <s v="80 - 100%"/>
    <n v="1"/>
    <e v="#N/A"/>
    <m/>
    <s v="X"/>
    <n v="0"/>
    <m/>
    <m/>
    <s v="Ingeniería Física"/>
    <e v="#N/A"/>
    <s v="113"/>
    <e v="#N/A"/>
  </r>
  <r>
    <s v="TI"/>
    <n v="1107847930"/>
    <s v="1000112539"/>
    <s v="SARA MARIN GUTIERREZ"/>
    <s v="Estudios por primera vez"/>
    <x v="12"/>
    <s v="Descartados por año graduacion 2025"/>
    <s v="Año graduacion e icfes 2025 - ver colegio"/>
    <s v="En publico objetivo"/>
    <s v="1er Cohorte"/>
    <s v="Admitido"/>
    <s v="smaring8@eafit.edu.co"/>
    <s v="smaring8@eafit.edu.co"/>
    <s v="sarita8mg@gmail.com"/>
    <s v="573133719599"/>
    <d v="2025-04-25T00:00:00"/>
    <s v="Activo en Programa"/>
    <s v="112-Comunicación Social"/>
    <s v="Escuela de Artes y Humanidades"/>
    <d v="2007-05-11T00:00:00"/>
    <n v="18"/>
    <s v="Valle del Cauca"/>
    <s v="Cali"/>
    <s v="Mujer"/>
    <s v="Soltero"/>
    <s v="NO"/>
    <s v="NO"/>
    <n v="0"/>
    <s v="NO"/>
    <s v="NA"/>
    <s v="NO"/>
    <s v="NA"/>
    <s v="NO"/>
    <s v="NA"/>
    <s v="No"/>
    <s v="310 4398418"/>
    <s v="573133719599"/>
    <s v="Estrato 3"/>
    <s v="CR 43 A 49 D SUR 40"/>
    <s v="Antioquia"/>
    <s v="Envigado"/>
    <s v="No aplica, no soy foráneo"/>
    <s v="Arriendo"/>
    <s v="SI"/>
    <n v="2025"/>
    <s v="AC202510671081"/>
    <n v="389"/>
    <n v="85"/>
    <n v="76"/>
    <s v="Privada"/>
    <s v="COL MARYMOUNT"/>
    <n v="2025"/>
    <s v="Antioquia"/>
    <s v="Medellín"/>
    <s v="BACHILLER"/>
    <s v="ACAD"/>
    <s v="TIPO: Privada, INSTITUCION: COL MARYMOUNT, AÑO: 2025, CIUDAD: Medellín, TITULO: BACHILLER"/>
    <s v="11"/>
    <s v="Escala Desempeño"/>
    <s v="Escala de 0 - 5"/>
    <s v="4,6"/>
    <s v="4"/>
    <m/>
    <s v="4,6"/>
    <s v="4"/>
    <m/>
    <n v="4.8"/>
    <n v="4"/>
    <m/>
    <n v="4.4000000000000004"/>
    <n v="4"/>
    <m/>
    <s v="4,4"/>
    <s v="3"/>
    <m/>
    <s v="3"/>
    <s v="3"/>
    <m/>
    <s v="4,6"/>
    <s v="3"/>
    <m/>
    <s v="De 9 y 10"/>
    <n v="4.3000000000000007"/>
    <s v="NO"/>
    <s v="NA"/>
    <n v="0"/>
    <n v="0"/>
    <s v="No"/>
    <n v="35"/>
    <m/>
    <n v="45"/>
    <m/>
    <n v="45"/>
    <m/>
    <m/>
    <n v="41.666666666666664"/>
    <s v="Con detalle por componente"/>
    <s v="Artísticas o culturales,Deportistas de alto rendimiento o representativo,Otras (por ejemplo, un talento extraordinario)"/>
    <s v="Mi objetivo es convertirme en cineasta. Me apasiona la escritura y contar historias. Este pregrado me enseñará fundamentos clave que involucran la comunicación asertiva con un público, lo cual es un aspecto importante a la hora de relatar historias. Siento que puedo aprender a manejar medios audiovisuales y la mejor manera de comunicar historias con otros. No solo por las materias, sino también por los eventos, personas e infrastructura que me brinda hacer parte de la comunidad Eafit puedo llevar a cabo mis propios proyectos. _x000a__x000a_Por otra parte, con esta beca me va a ser más fácil codearme con personas con mis mismos intereses y visión de futuro. De esta manera podré construir una comunidad de apoyo junto con personas que también sueñen con ser cineastas. En Eafit voy a poder hacer amigos, conocer gente, y trabajar en proyectos que me acercaran a la industria del cine. Una vez hecho esto, espero poco a poco poder potenciar el cine en nuestra ciudad y país, fortaleciendo la industria, para que en un futuro sea más fácil para otros como yo de seguir este camino, además de dar a conocer nuestra cultura por medio de mis producciones. Siento que la mejor forma de hacer todo esto es encontrando a otros como yo que busquen lo mismo, que tenga visión, y Eafit es un gran inicio para encontrar a estas personas."/>
    <s v="A través del Colegio"/>
    <s v="Por estar acreditada."/>
    <s v="Vocación."/>
    <n v="3"/>
    <s v="0"/>
    <s v="SI"/>
    <s v="NO"/>
    <s v="Más de 16 millones"/>
    <s v="Si"/>
    <s v="SI"/>
    <s v="SI"/>
    <m/>
    <n v="0"/>
    <m/>
    <s v="NO"/>
    <s v=""/>
    <s v=""/>
    <s v="Si"/>
    <s v="IVAN DARIO MARIN OSSA"/>
    <s v="Otro"/>
    <s v="UNIVERSITARIOS"/>
    <s v="51"/>
    <s v="ADMINISTRADOR"/>
    <s v="Trabajador informal"/>
    <s v="EMPRENDIMIENTO"/>
    <s v="No aplica"/>
    <n v="2400000"/>
    <s v="Si"/>
    <s v="NO"/>
    <s v="SI"/>
    <s v=""/>
    <s v="Si"/>
    <s v="LILY GUTIERREZ SOTO"/>
    <s v="Otro"/>
    <s v="UNIVERSITARIOS"/>
    <s v="49"/>
    <s v="EMPLEADA"/>
    <s v="Empleado (con contrato laboral)"/>
    <s v="VENTAS"/>
    <s v="MINIPET"/>
    <n v="3500000"/>
    <s v="Si"/>
    <s v="SI"/>
    <s v="SI"/>
    <m/>
    <n v="5900000"/>
    <s v="No, solo vivo con mis padres"/>
    <s v=""/>
    <s v=""/>
    <s v=""/>
    <s v=""/>
    <s v=""/>
    <m/>
    <s v=""/>
    <s v=""/>
    <s v=""/>
    <s v=""/>
    <s v=""/>
    <s v=""/>
    <m/>
    <s v=""/>
    <s v=""/>
    <s v=""/>
    <s v=""/>
    <s v=""/>
    <s v=""/>
    <m/>
    <s v=""/>
    <s v=""/>
    <n v="0"/>
    <n v="0"/>
    <n v="0"/>
    <n v="0"/>
    <n v="0"/>
    <s v="Si"/>
    <s v="Nissan"/>
    <s v="2022"/>
    <n v="48000000"/>
    <s v="No"/>
    <s v=""/>
    <s v=""/>
    <n v="0"/>
    <s v="No"/>
    <s v=""/>
    <s v=""/>
    <s v=""/>
    <n v="0"/>
    <m/>
    <n v="4"/>
    <n v="4"/>
    <n v="3"/>
    <n v="4"/>
    <n v="4"/>
    <n v="3"/>
    <n v="4"/>
    <n v="4"/>
    <n v="4"/>
    <n v="4"/>
    <n v="38"/>
    <s v="SI"/>
    <m/>
    <s v="SI, SON PRI"/>
    <s v="ok tienen todos los datos"/>
    <e v="#N/A"/>
    <e v="#N/A"/>
    <m/>
    <n v="2"/>
    <n v="10"/>
    <n v="8"/>
    <n v="15"/>
    <n v="15"/>
    <n v="15"/>
    <n v="10"/>
    <n v="13.5"/>
    <n v="13.5"/>
    <n v="78.5"/>
    <n v="0.4"/>
    <n v="0.4"/>
    <n v="2"/>
    <n v="4.5"/>
    <n v="3"/>
    <n v="4"/>
    <n v="2"/>
    <n v="4"/>
    <n v="3"/>
    <n v="4.5"/>
    <n v="76.5"/>
    <n v="0.4"/>
    <s v="Negado"/>
    <e v="#N/A"/>
    <m/>
    <m/>
    <n v="0"/>
    <m/>
    <m/>
    <s v="Comunicación Social"/>
    <e v="#N/A"/>
    <m/>
    <e v="#N/A"/>
  </r>
  <r>
    <s v="CC"/>
    <n v="1109413741"/>
    <s v="1000405628"/>
    <s v="DAYANA CORTES DAGUA"/>
    <s v="Estudios por primera vez"/>
    <x v="1"/>
    <s v="Descartado por notas"/>
    <m/>
    <s v="En publico objetivo"/>
    <s v="1er Cohorte"/>
    <s v="Admitido"/>
    <s v="dcortesd@eafit.edu.co"/>
    <e v="#N/A"/>
    <s v="yayis1667@gmail.com"/>
    <s v="573138954748"/>
    <d v="2025-04-25T00:00:00"/>
    <s v="Activo en Programa"/>
    <s v="169-Mercadeo"/>
    <s v="Escuela de Administración"/>
    <d v="2006-11-08T00:00:00"/>
    <n v="19"/>
    <s v="Tolima"/>
    <s v="Planadas"/>
    <s v="Mujer"/>
    <s v="Soltero"/>
    <s v="NO"/>
    <s v="NO"/>
    <n v="0"/>
    <s v="NO"/>
    <s v="NA"/>
    <s v="NO"/>
    <s v="NA"/>
    <s v="NO"/>
    <s v="NA"/>
    <s v="No"/>
    <s v="313/895-4748"/>
    <s v="573138954748"/>
    <s v="Estrato 2"/>
    <s v="CR 50 C #95 108"/>
    <s v="Antioquia"/>
    <s v="Medellín"/>
    <s v="Si"/>
    <s v="Arriendo"/>
    <s v="SI"/>
    <s v="2024"/>
    <s v="AC202434294971"/>
    <n v="337"/>
    <n v="77"/>
    <n v="67"/>
    <s v="Pública"/>
    <s v="I.E. TECNICA LOS ANDES"/>
    <n v="2024"/>
    <s v="Tolima"/>
    <s v="Planadas"/>
    <s v="BACHILLER"/>
    <s v="ACAD"/>
    <s v="TIPO: Pública, INSTITUCION: I.E. TECNICA LOS ANDES, AÑO: 2024, CIUDAD: Planadas, TITULO: BACHILLER"/>
    <s v="11"/>
    <s v="Escala de 0 - 5"/>
    <s v="Escala de 0 - 5"/>
    <s v="3,4"/>
    <s v="4,3"/>
    <m/>
    <s v="3,4"/>
    <s v="4,1"/>
    <m/>
    <n v="3.8"/>
    <n v="3.7"/>
    <m/>
    <n v="3.7"/>
    <n v="4.0999999999999996"/>
    <m/>
    <s v="3,7"/>
    <s v="4,5"/>
    <m/>
    <s v="4,5"/>
    <s v="4,5"/>
    <m/>
    <s v="4,1"/>
    <s v="3,9"/>
    <m/>
    <s v="De 9 y 10"/>
    <n v="3.8249999999999997"/>
    <s v="NO"/>
    <s v="NA"/>
    <n v="0"/>
    <n v="0"/>
    <s v="No"/>
    <n v="40"/>
    <m/>
    <n v="40"/>
    <m/>
    <n v="40"/>
    <m/>
    <s v="Se graduo en el 2024. Se tomó un año sabático. No ha hecho nada desde entonces_x000a_Mercadeo por que le gustaría trabajar con las personas, conocer sobre las personas _x000a_Padre tiene finca cafetera. Madre tiene tienda de abarrotes. Hermano estudió administración en la U del Tolima. _x000a_Eafit, por lo empresarial y posibilid de becas_x000a_Como sería una Dayana profesional_x000a_Qué es lo que mas te apasiona de los proximos 12 meses_x000a_Llamada a un amigo?_x000a_Actividades extracurriculares?_x000a_Otras opciones?_x000a_Pensum, lo sabe_x000a_Materias en el colegio. Le gusta sociales y arte. No le gustaba las matemáticas_x000a_No sabe muy bien el motivo por el cual quiere mercadeo en EAFIT_x000a_Menciona que le gustá varias ramas del mercadeo. Le pregunto sobre cuales y dice que no se acuerda"/>
    <n v="40"/>
    <s v="Con detalle por componente"/>
    <s v="Artísticas o culturales,Espacios de liderazgo o representación social"/>
    <s v="Me visualizo liderando proyectos con impacto social positivo, que ayude a la comunidad a avanzar en diferentes aspectos. Creo firmemente que el mercadeo va más allá de vender un producto o servicio, se trata de conectar con las personas, comprender sus verdaderas necesidades y ofrecer soluciones efectivas y sostenibles. Para mi esta beca representa mucho mas que un apoyo financiero. Es la oportunidad de acceder a una formación de calidad que me permita sacar a flote todo mi potencial, tanto personal como profesional. Estoy convencida de que con su apoyo podré desarrollar las habilidades necesarias para hacer grandes cosas por mi comunidad y contribuir a su transformación."/>
    <s v="Redes sociales"/>
    <s v="Por la oferta académica."/>
    <s v="Vocación."/>
    <n v="0"/>
    <s v="2"/>
    <s v="SI"/>
    <s v="NO"/>
    <s v="Entre 1 y 2 millones"/>
    <s v="Si"/>
    <n v="0"/>
    <n v="0"/>
    <m/>
    <s v="SI"/>
    <s v="Beca"/>
    <s v="NO"/>
    <s v=""/>
    <s v=""/>
    <s v="Si"/>
    <s v="José Arbey Cortes Olaya"/>
    <s v="Otro"/>
    <s v="PRIMARIA"/>
    <s v="60"/>
    <s v="Agricultor"/>
    <s v="Independiente (trabaja por cuenta propia)"/>
    <s v="Trabajador del campo"/>
    <s v="NA"/>
    <n v="1500000"/>
    <s v="No"/>
    <s v="NO"/>
    <s v="NO"/>
    <s v="Es un hombre trabajador, responsable, comprometido con su familia y con su labor de agricultor."/>
    <s v="Si"/>
    <s v="Adriana Estela Dagua Ferreira"/>
    <s v="Otro"/>
    <s v="BACHILLERATO"/>
    <s v="48"/>
    <s v="Comerciante independiente"/>
    <s v="Emprendedor (inicia un proyecto productivo o negocio propio)"/>
    <s v="Vendedora"/>
    <s v="NA"/>
    <n v="1500000"/>
    <s v="No"/>
    <s v="NO"/>
    <s v="NO"/>
    <s v="Ha sido un apoyo fundamental en mi vida, me ha formado con valores que hoy en día aplico en todos los aspectos de mi vida."/>
    <n v="3000000"/>
    <s v="No, vivo solo"/>
    <s v=""/>
    <s v=""/>
    <s v=""/>
    <s v=""/>
    <s v=""/>
    <m/>
    <s v=""/>
    <s v=""/>
    <s v=""/>
    <s v=""/>
    <s v=""/>
    <s v=""/>
    <m/>
    <s v=""/>
    <s v=""/>
    <s v=""/>
    <s v=""/>
    <s v=""/>
    <s v=""/>
    <m/>
    <s v=""/>
    <s v=""/>
    <n v="15000000"/>
    <n v="0"/>
    <n v="60000000"/>
    <n v="0"/>
    <n v="0"/>
    <s v="No"/>
    <s v=""/>
    <s v=""/>
    <n v="0"/>
    <s v="No"/>
    <s v=""/>
    <s v=""/>
    <n v="0"/>
    <s v="No"/>
    <s v=""/>
    <s v=""/>
    <s v=""/>
    <n v="0"/>
    <m/>
    <n v="4"/>
    <n v="4"/>
    <n v="4"/>
    <n v="4"/>
    <n v="4"/>
    <n v="3"/>
    <n v="4"/>
    <n v="3"/>
    <n v="4"/>
    <n v="4"/>
    <n v="38"/>
    <s v="SI"/>
    <m/>
    <s v="SI, SON PRI"/>
    <s v="ok tienen todos los datos"/>
    <e v="#N/A"/>
    <e v="#N/A"/>
    <m/>
    <n v="3"/>
    <n v="10"/>
    <n v="10"/>
    <n v="10"/>
    <n v="10"/>
    <n v="15"/>
    <n v="10"/>
    <n v="19"/>
    <n v="18"/>
    <n v="73"/>
    <n v="0.5"/>
    <m/>
    <n v="3.5"/>
    <n v="3.5"/>
    <n v="8"/>
    <n v="3"/>
    <n v="3.5"/>
    <n v="3"/>
    <n v="8"/>
    <n v="4.5"/>
    <n v="74"/>
    <n v="0.7"/>
    <n v="0.7"/>
    <e v="#N/A"/>
    <m/>
    <m/>
    <n v="0"/>
    <m/>
    <m/>
    <s v="Mercadeo"/>
    <e v="#N/A"/>
    <s v="169"/>
    <e v="#N/A"/>
  </r>
  <r>
    <s v="TI"/>
    <n v="1110044037"/>
    <s v="1000406835"/>
    <s v="SANTIAGO CASTAÑEDA OSORIO"/>
    <s v="Estudios por primera vez"/>
    <x v="1"/>
    <s v="Descartado por ingresos altos"/>
    <m/>
    <s v="En publico objetivo"/>
    <s v="2da Cohorte"/>
    <s v="Admitido"/>
    <s v="scastaneo1@eafit.edu.co"/>
    <e v="#N/A"/>
    <s v="santiagocastanedaosorio60@gmail.com"/>
    <s v="573225456054"/>
    <d v="2025-05-16T00:00:00"/>
    <s v="Activo en Programa"/>
    <s v="002-Negocios Internacionales"/>
    <s v="Escuela de Administración"/>
    <d v="2007-11-05T00:00:00"/>
    <n v="18"/>
    <s v="Valle del Cauca"/>
    <s v="Cali"/>
    <s v="Hombre"/>
    <s v="Soltero"/>
    <s v="NO"/>
    <s v="NO"/>
    <n v="0"/>
    <s v="NO"/>
    <s v="NA"/>
    <s v="NO"/>
    <s v="NA"/>
    <s v="NO"/>
    <s v="NA"/>
    <s v="No"/>
    <s v="322/545-6054"/>
    <s v="573225456054"/>
    <s v="Estrato 3"/>
    <s v="AV 37 #55 2 A 55 26 HERMOSA PROVINCIA BELLO ANTIOQUIA"/>
    <s v="Antioquia"/>
    <s v="Bello"/>
    <s v="No aplica, no soy foráneo"/>
    <s v="Arriendo"/>
    <s v="SI"/>
    <s v="2024"/>
    <s v="AC202432183226"/>
    <n v="363"/>
    <n v="72"/>
    <n v="77"/>
    <s v="Privada"/>
    <s v="CORP. ED ADVENTISTA- CÁMBULOS"/>
    <n v="2024"/>
    <s v="Valle del Cauca"/>
    <s v="Cali"/>
    <s v="BACHILLER"/>
    <s v="ACAD"/>
    <s v="TIPO: Privada, INSTITUCION: CORP. ED ADVENTISTA- CÁMBULOS, AÑO: 2024, CIUDAD: Cali, TITULO: BACHILLER"/>
    <s v="11"/>
    <s v="Escala de 0 - 5"/>
    <s v="Escala de 0 - 5"/>
    <s v="4,1"/>
    <s v="4"/>
    <m/>
    <s v="4"/>
    <s v="4"/>
    <m/>
    <n v="3.7"/>
    <n v="4"/>
    <m/>
    <n v="4"/>
    <n v="4"/>
    <m/>
    <s v="4"/>
    <s v="5"/>
    <m/>
    <s v="5"/>
    <s v="4,9"/>
    <m/>
    <s v="4,7"/>
    <s v="4,7"/>
    <m/>
    <s v="De 9 y 10"/>
    <n v="3.9249999999999998"/>
    <s v="NO"/>
    <s v="NA"/>
    <n v="0"/>
    <n v="0"/>
    <s v="No"/>
    <n v="40"/>
    <m/>
    <n v="45"/>
    <m/>
    <n v="45"/>
    <m/>
    <m/>
    <n v="43.333333333333336"/>
    <s v="Con detalle por componente"/>
    <s v="Artísticas o culturales,Otras (por ejemplo, un talento extraordinario)"/>
    <s v="Mi meta es prepararme y estudiar en EAFIT la carrera de negocios internacionales, una carrera que me apasiona por  su enfoque en las relaciones internacionales y su capacidad de conectar a diferentes culturas y personas mediante el apoyo económico y social, por eso me gustaría trabajar en una empresa internacional que me permita trabajar en diferentes países y entornos, ya que una de mis motivaciones al estudiar esta carrera es el poder aplicar el aprendizaje de idiomas en mi vida laboral. Mi objetivo a largo plazo cuando tenga experiencia es regresar a Cali, mi ciudad natal y desarrollarme en dos proyectos, uno es un emprendimiento de repostería, cocina y arte dulce, y el segundo es una iniciativa para promover y apoyar la internacionalización de empresas pequeñas de la región, ya que esta ciudad tiene varias problemáticas principalmente a nivel económico, con mucho desempleo e informalidad, así que con esta beca busco no solamente crecer personal y profesionalmente, pero también acceder a una educación que me brinde las herramientas para poder ayudar a mi comunidad"/>
    <s v="Página WEB"/>
    <s v="Universidad reconocida."/>
    <s v="Alta proyección de ingresos."/>
    <n v="2"/>
    <s v="1"/>
    <s v="NO"/>
    <s v="NO"/>
    <s v="Entre 4 y 5 millones"/>
    <s v="No"/>
    <n v="0"/>
    <s v="SI"/>
    <s v="Crédito ICETEX"/>
    <s v="SI"/>
    <s v="Beca"/>
    <s v="NO"/>
    <s v=""/>
    <s v=""/>
    <s v="Si"/>
    <s v="Luis Francisco Castañeda León"/>
    <s v="Soltero"/>
    <s v="ESPECIALIZACIÓN"/>
    <s v="53"/>
    <s v="Enfermería"/>
    <s v="Empleado (con contrato laboral)"/>
    <s v="Enfermero jefe"/>
    <s v="Fresenius"/>
    <n v="4900000"/>
    <s v="No"/>
    <s v="SI"/>
    <s v="SI"/>
    <s v=""/>
    <s v="Si"/>
    <s v="Erisvey Osorio Acevedo"/>
    <s v="Soltero"/>
    <s v="TÉCNICA"/>
    <s v="38"/>
    <s v="Enfermería"/>
    <s v="Empleado (con contrato laboral)"/>
    <s v="Enfermera auxiliar"/>
    <s v="Clínica Las Vegas"/>
    <n v="2900000"/>
    <s v="Si"/>
    <s v="NO"/>
    <s v="SI"/>
    <s v="Me gustaría aclarar que yo vivo en Bello con mi hermano (el cual también está estudiando en una universidad) y con mi mamá, mi papá vive en Cali con su familia pero le ayuda en algunos gastos básicos a mi mamá."/>
    <n v="7800000"/>
    <s v="No, solo vivo con mis padres"/>
    <s v=""/>
    <s v=""/>
    <s v=""/>
    <s v=""/>
    <s v=""/>
    <m/>
    <s v=""/>
    <s v=""/>
    <s v=""/>
    <s v=""/>
    <s v=""/>
    <s v=""/>
    <m/>
    <s v=""/>
    <s v=""/>
    <s v=""/>
    <s v=""/>
    <s v=""/>
    <s v=""/>
    <m/>
    <s v=""/>
    <s v=""/>
    <n v="0"/>
    <n v="0"/>
    <n v="0"/>
    <n v="0"/>
    <n v="0"/>
    <s v="No"/>
    <s v=""/>
    <s v=""/>
    <n v="0"/>
    <s v="No"/>
    <s v=""/>
    <s v=""/>
    <n v="0"/>
    <s v="Si"/>
    <s v="Moto"/>
    <s v="yamaha"/>
    <s v="2025"/>
    <n v="11000000"/>
    <s v="El vehículo es de mi padre"/>
    <n v="4"/>
    <n v="3"/>
    <n v="2"/>
    <n v="4"/>
    <n v="4"/>
    <n v="2"/>
    <n v="3"/>
    <n v="3"/>
    <n v="3"/>
    <n v="3"/>
    <n v="31"/>
    <s v="SI"/>
    <m/>
    <s v="SI, SON PRI"/>
    <s v="ok tienen todos los datos"/>
    <e v="#N/A"/>
    <e v="#N/A"/>
    <m/>
    <n v="3"/>
    <n v="10"/>
    <n v="8"/>
    <n v="15"/>
    <n v="10"/>
    <n v="10"/>
    <n v="15"/>
    <n v="11.5"/>
    <n v="11.5"/>
    <n v="71.5"/>
    <n v="0.4"/>
    <m/>
    <n v="2"/>
    <n v="4.5"/>
    <n v="1"/>
    <n v="4"/>
    <n v="2"/>
    <n v="4"/>
    <n v="1"/>
    <n v="4.5"/>
    <n v="69.5"/>
    <n v="0.4"/>
    <n v="0.4"/>
    <e v="#N/A"/>
    <m/>
    <m/>
    <n v="0"/>
    <m/>
    <m/>
    <s v="Negocios Internacionales"/>
    <e v="#N/A"/>
    <s v="002"/>
    <e v="#N/A"/>
  </r>
  <r>
    <s v="TI"/>
    <n v="1112046907"/>
    <s v="1000107235"/>
    <s v="GABRIELA ARENAS BARRERO"/>
    <s v="Estudios por primera vez"/>
    <x v="7"/>
    <s v="Descartado por ingresos altos"/>
    <m/>
    <s v="En publico objetivo"/>
    <s v="2da Cohorte"/>
    <s v="Admitido"/>
    <s v="garenasb@eafit.edu.co"/>
    <s v="garenasb@eafit.edu.co"/>
    <s v="gabrielaarenasbarrero@gmail.com"/>
    <s v="301/597-5873"/>
    <d v="2025-05-16T00:00:00"/>
    <s v="Activo en Programa"/>
    <s v="085-Ingeniería Diseño de Producto"/>
    <s v="E Ciencias Aplic e Ingeniería"/>
    <d v="2007-12-14T00:00:00"/>
    <n v="17"/>
    <s v="Valle del Cauca"/>
    <s v="Cali"/>
    <s v="Mujer"/>
    <s v="Soltero"/>
    <s v="NO"/>
    <s v="NO"/>
    <n v="0"/>
    <s v="NO"/>
    <s v="NA"/>
    <s v="NO"/>
    <s v="NA"/>
    <s v="NO"/>
    <s v="NA"/>
    <s v="No"/>
    <s v="301/597-5873"/>
    <s v="301/597-5873"/>
    <s v="Estrato 3"/>
    <s v="Cra. 51 #96 Sur-27"/>
    <s v="Antioquia"/>
    <s v="La Estrella"/>
    <s v="No aplica, no soy foráneo"/>
    <s v="Propio"/>
    <s v="SI"/>
    <s v="2024"/>
    <s v="AC202433066701"/>
    <n v="420"/>
    <n v="84"/>
    <n v="77"/>
    <s v="Privada"/>
    <s v="UNIDAD EDUCATIVA SAN MARCOS"/>
    <n v="2024"/>
    <s v="Antioquia"/>
    <s v="Envigado"/>
    <s v="BACHILLER"/>
    <s v="ACAD"/>
    <s v="TIPO: Privada, INSTITUCION: UNIDAD EDUCATIVA SAN MARCOS, AÑO: 2024, CIUDAD: Envigado, TITULO: BACHILLER"/>
    <s v="11"/>
    <s v="Escala de 0 - 5"/>
    <s v="Escala de 0 - 5"/>
    <s v="4,5"/>
    <s v="4,5"/>
    <m/>
    <s v="4,8"/>
    <s v="4,8"/>
    <m/>
    <n v="4.8"/>
    <n v="4.8"/>
    <m/>
    <n v="4.5999999999999996"/>
    <n v="4.5999999999999996"/>
    <m/>
    <s v="4,9"/>
    <s v="4,8"/>
    <m/>
    <s v="4,8"/>
    <s v="4,8"/>
    <m/>
    <s v="4"/>
    <s v="4,4"/>
    <m/>
    <s v="De 9 y 10"/>
    <n v="4.6999999999999993"/>
    <s v="NO"/>
    <s v="NA"/>
    <n v="0"/>
    <n v="0"/>
    <s v="No"/>
    <n v="50"/>
    <m/>
    <n v="50"/>
    <m/>
    <n v="50"/>
    <m/>
    <s v="Admitida al programa que se inscribió"/>
    <n v="50"/>
    <s v="Con detalle por componente"/>
    <s v="Espacios de liderazgo o representación social"/>
    <s v="Desde pequeña, cuando intentaba reparar lo que se dañaba en casa o cuando hacía maquetas para el colegio, sabía que, en unos años, lo que quería era dedicarme a diseñar, construir y mejorar lo que estaba en mi entorno, y por esto fue que decidí tomar el camino de la ingeniería en diseño de productos. Aunque en este momento no he definido una línea de productos o servicios específicos en los que me quiero enfocar, si tengo muy claro el objetivo que quiero alcanzar con esta profesión, que es acabar con las barreras entre la tecnología y las personas.  _x000a_Para nadie es un secreto que el desarrollo y la innovación están en su pico y que cada día surgen nuevos descubrimientos y creaciones que nos acercan a una vida más cómoda y sencilla, pero, ¿de qué sirve tanto avance si muchos no terminan accediendo a él? _x000a_Recuerdo muy bien la vez que mi abuela descubrió lo que era una selfie o las incontables veces que mi papá ha tenido que ayudar a otros familiares a reconfigurar aplicaciones o sus celulares. Estas situaciones me han llevado a comprender que el progreso no es únicamente innovar, sino lograr que la innovación esté al alcance y beneficie a todos. _x000a_Obtener esta beca no solo me ayuda a acceder a una formación de calidad en una institución reconocida como lo es la Universidad EAFIT, sino que también me permite adquirir los conocimientos y herramientas necesarias para lograr que cualquier artículo, dispositivo o servicio que yo diseñe sea tan fácil y claro de usar que logre impactar positivamente a todo el público, sin importar su edad, conocimientos o contexto."/>
    <s v="Amigos"/>
    <s v="Por la oferta académica."/>
    <s v="Vocación."/>
    <n v="3"/>
    <s v="1"/>
    <s v="SI"/>
    <s v="NO"/>
    <s v="Entre 12 y 13 millones"/>
    <s v="No"/>
    <s v="NO"/>
    <s v="SI"/>
    <s v="Crédito educativo propio"/>
    <s v="SI"/>
    <s v="Beca"/>
    <s v="NO"/>
    <s v=""/>
    <s v=""/>
    <s v="Si"/>
    <s v="Miguel Alfonso Arenas Reyes"/>
    <s v="Casado"/>
    <s v="ESPECIALIZACIÓN"/>
    <s v="52"/>
    <s v="Ingeniero de Sistemas"/>
    <s v="Empleado (con contrato laboral)"/>
    <s v="Especialista Aplicaciones Y Gestión de Entrega"/>
    <s v="Colombia Móvil S.A. E.S.P"/>
    <n v="12584000"/>
    <s v="Si"/>
    <s v="SI"/>
    <s v="NO"/>
    <s v=""/>
    <s v="Si"/>
    <s v="Diana Isabel Barrero Cruz"/>
    <s v="Soltero"/>
    <s v="ESPECIALIZACIÓN"/>
    <s v="53"/>
    <s v="Profesional en salud ocupacional"/>
    <s v="Independiente (trabaja por cuenta propia)"/>
    <s v="Asesora en prevención de riesgos laborales"/>
    <s v="Independiente"/>
    <n v="3000000"/>
    <s v="Si"/>
    <s v="NO"/>
    <s v="NO"/>
    <m/>
    <n v="15584000"/>
    <s v="Si"/>
    <s v="Matías Arenas Barrero"/>
    <s v="Hermano / Hermana"/>
    <s v="14"/>
    <s v="Estudiante de bachillerato"/>
    <s v="Colegio Colombo Frances"/>
    <n v="0"/>
    <s v="No"/>
    <s v=""/>
    <s v=""/>
    <s v=""/>
    <s v=""/>
    <s v=""/>
    <m/>
    <s v=""/>
    <s v=""/>
    <s v=""/>
    <s v=""/>
    <s v=""/>
    <s v=""/>
    <m/>
    <s v=""/>
    <s v=""/>
    <n v="108783000"/>
    <n v="23293000"/>
    <n v="0"/>
    <n v="0"/>
    <n v="0"/>
    <s v="Si"/>
    <s v="Citroen"/>
    <s v="2023"/>
    <n v="72000000"/>
    <s v="No"/>
    <s v=""/>
    <s v=""/>
    <n v="0"/>
    <s v="No"/>
    <s v=""/>
    <s v=""/>
    <s v=""/>
    <n v="0"/>
    <s v="La casa ubicada en Aguachica (César) es una vivienda familiar que está a nombre de mi madre Diana Barrero, debido a la edad y condiciones de salud de mi abuela, Verónica Cruz"/>
    <n v="4"/>
    <n v="4"/>
    <n v="4"/>
    <n v="4"/>
    <n v="4"/>
    <n v="3"/>
    <n v="4"/>
    <n v="3"/>
    <n v="3"/>
    <n v="4"/>
    <n v="37"/>
    <s v="SI"/>
    <m/>
    <s v="SI, SON PRI"/>
    <s v="ok tienen todos los datos"/>
    <e v="#N/A"/>
    <e v="#N/A"/>
    <m/>
    <n v="3"/>
    <n v="10"/>
    <n v="8"/>
    <n v="15"/>
    <n v="20"/>
    <n v="15"/>
    <n v="20"/>
    <n v="4.5"/>
    <n v="4.5"/>
    <n v="84.5"/>
    <n v="0.4"/>
    <m/>
    <n v="2"/>
    <n v="2.5"/>
    <n v="0"/>
    <n v="0"/>
    <n v="2"/>
    <n v="2.5"/>
    <n v="0"/>
    <n v="0"/>
    <n v="82.5"/>
    <n v="0.4"/>
    <s v="Negado"/>
    <e v="#N/A"/>
    <m/>
    <m/>
    <n v="0"/>
    <m/>
    <m/>
    <s v="Ingeniería Diseño de Producto"/>
    <e v="#N/A"/>
    <m/>
    <e v="#N/A"/>
  </r>
  <r>
    <s v="CC"/>
    <n v="1114148389"/>
    <s v="1000408264"/>
    <s v="MARIA CAMILA SANCHEZ MORENO"/>
    <s v="Estudios por primera vez"/>
    <x v="1"/>
    <s v="Descartado por bajo icfes"/>
    <m/>
    <s v="En publico objetivo"/>
    <s v="3ra Cohorte"/>
    <s v="Admitido"/>
    <s v="mcsanchem2@eafit.edu.co"/>
    <e v="#N/A"/>
    <s v="camisanchez4040@gmail.com"/>
    <s v="573145194592"/>
    <d v="2025-05-30T00:00:00"/>
    <s v="Activo en Programa"/>
    <s v="169-Mercadeo"/>
    <s v="Escuela de Administración"/>
    <d v="2004-03-15T00:00:00"/>
    <n v="21"/>
    <s v="Valle del Cauca"/>
    <s v="Cartago"/>
    <s v="Mujer"/>
    <s v="Soltero"/>
    <s v="NO"/>
    <s v="NO"/>
    <n v="0"/>
    <s v="NO"/>
    <s v="NA"/>
    <s v="NO"/>
    <s v="NA"/>
    <s v="NO"/>
    <s v="NA"/>
    <s v="No"/>
    <s v="297-7662"/>
    <s v="573145194592"/>
    <s v="Estrato 1"/>
    <s v="CL 105 #64 E 56"/>
    <s v="Antioquia"/>
    <s v="Medellín"/>
    <s v="Si"/>
    <s v="Arriendo"/>
    <s v="SI"/>
    <s v="2021"/>
    <s v="AC202141748813"/>
    <n v="302"/>
    <n v="64"/>
    <n v="53"/>
    <s v="Pública"/>
    <s v="GABO"/>
    <n v="2021"/>
    <s v="Valle del Cauca"/>
    <s v="Cartago"/>
    <s v="BACHILLER"/>
    <s v="TECN"/>
    <s v="TIPO: Pública, INSTITUCION: GABO, AÑO: 2021, CIUDAD: Cartago, TITULO: BACHILLER"/>
    <s v="11"/>
    <s v="Escala de 0 - 100"/>
    <s v="Escala de 0 - 100"/>
    <s v="4,5"/>
    <s v="4,5"/>
    <m/>
    <s v="4,5"/>
    <s v="4"/>
    <m/>
    <n v="80"/>
    <n v="90"/>
    <m/>
    <n v="100"/>
    <n v="80"/>
    <m/>
    <s v="4,5"/>
    <s v="100"/>
    <m/>
    <s v="90"/>
    <s v="100"/>
    <m/>
    <s v="100"/>
    <s v="5"/>
    <m/>
    <s v="De 9 y 10"/>
    <n v="87.5"/>
    <s v="NO"/>
    <s v="NA"/>
    <n v="0"/>
    <n v="0"/>
    <s v="No"/>
    <n v="45"/>
    <m/>
    <n v="45"/>
    <m/>
    <n v="45"/>
    <m/>
    <m/>
    <n v="45"/>
    <s v="Con detalle por componente"/>
    <s v="Artísticas o culturales"/>
    <s v="Me visualizo como un profesional en Mercadeo capaz de crear estrategias innovadoras que conecten marcas, personas y territorios. A futuro, sueño con tener mi propia empresa de marketing digital, desde donde pueda contar historias auténticas de regiones como Cartago, Valle, mi ciudad de origen._x000a__x000a_Cartago es mucho más que lo que a veces muestran los titulares. Es un lugar con gente cálida, sabores únicos como el tradicional cholao y algunas de las mejores carnes del país. Tiene rincones hermosos que merecen ser conocidos por Colombia y el mundo. Desde mi formación en mercadeo, quiero construir puentes entre esta riqueza cultural y turística y quienes aún no la conocen, posicionando a Cartago como un destino vibrante, lleno de experiencias._x000a__x000a_A través de campañas digitales, videos y contenido para redes, quiero mostrar lo que mis ojos ven: una ciudad con alma, historia, y oportunidades. Soy una persona que disfruta la vida, que busca siempre lo mejor de cada lugar, y creo que esa mirada puede transformar percepciones y abrir caminos para el desarrollo local._x000a__x000a_Obtener esta beca sería clave para materializar ese propósito. Me permitiría formarme con calidad, sin que los obstáculos económicos limiten mi crecimiento. A largo plazo, mi meta es generar empleo, visibilidad y sentido de orgullo regional a través del marketing, demostrando que desde Cartago también se pueden hacer grandes cosas."/>
    <s v="EAFIT es una experiencia"/>
    <s v="Proyección laboral."/>
    <s v="Vocación."/>
    <n v="2"/>
    <s v="0"/>
    <s v="SI"/>
    <s v="NO"/>
    <s v="Entre 1 y 2 millones"/>
    <s v="No"/>
    <n v="0"/>
    <n v="0"/>
    <m/>
    <s v="SI"/>
    <s v="Beca"/>
    <s v="SI"/>
    <s v="COMMERK"/>
    <s v="Impulsadora"/>
    <s v="Si"/>
    <s v="Leandro Michelly Sanchez Realpe"/>
    <s v="Soltero"/>
    <s v="BACHILLERATO"/>
    <s v="40"/>
    <s v="Operario Y Oficios varios"/>
    <s v="Empleado (con contrato laboral)"/>
    <s v="Operario de maquinaria"/>
    <s v="Papeles Nacionales"/>
    <n v="2847872"/>
    <s v="No"/>
    <s v="NO"/>
    <s v="NO"/>
    <s v="El padre de la aspirante a la beca no vive ni trabaja en la ciudad de Medellin, reside en el municipio Cartago, Valle"/>
    <s v="Si"/>
    <s v="Cindy Julieth Moreno Bedoya"/>
    <s v="Soltero"/>
    <s v="TÉCNICA"/>
    <s v="38"/>
    <s v="Auxiliar administrativa"/>
    <s v="Empleado (con contrato laboral)"/>
    <s v="Visitadora Medica"/>
    <s v="Laboratorios NEO LTDA"/>
    <n v="1745000"/>
    <s v="No"/>
    <s v="NO"/>
    <s v="NO"/>
    <s v="La madre de la aspirante a la beca no vive ni trabaja en la ciudad de Medellin, ella reside en el municipio de Cartago, Valle."/>
    <n v="4592872"/>
    <s v="Si"/>
    <s v="Andres Felipe Bedoya Monsalve"/>
    <s v="Primos"/>
    <s v="36"/>
    <s v="Empleado"/>
    <s v="EPM"/>
    <n v="1600000"/>
    <s v="Si"/>
    <s v="Martha Sonia Monsalve"/>
    <s v="Tío / Tía"/>
    <s v="60"/>
    <s v="Ama de casa"/>
    <s v=""/>
    <n v="0"/>
    <s v="No"/>
    <s v=""/>
    <s v=""/>
    <s v=""/>
    <s v=""/>
    <s v=""/>
    <m/>
    <s v=""/>
    <s v=""/>
    <n v="0"/>
    <n v="0"/>
    <n v="0"/>
    <n v="0"/>
    <n v="0"/>
    <s v="No"/>
    <s v=""/>
    <s v=""/>
    <n v="0"/>
    <s v="No"/>
    <s v=""/>
    <s v=""/>
    <n v="0"/>
    <s v="Si"/>
    <s v="Moto"/>
    <s v="yamaha"/>
    <s v="2016"/>
    <n v="4500000"/>
    <m/>
    <n v="4"/>
    <n v="4"/>
    <n v="4"/>
    <n v="4"/>
    <n v="4"/>
    <n v="3"/>
    <n v="4"/>
    <n v="3"/>
    <n v="3"/>
    <n v="4"/>
    <n v="37"/>
    <s v="SI"/>
    <m/>
    <s v="SI, SON PRI"/>
    <s v="ok tienen todos los datos"/>
    <e v="#N/A"/>
    <e v="#N/A"/>
    <m/>
    <n v="3"/>
    <n v="6"/>
    <n v="6"/>
    <n v="5"/>
    <n v="15"/>
    <n v="15"/>
    <n v="15"/>
    <n v="18"/>
    <n v="18"/>
    <n v="74"/>
    <n v="0.5"/>
    <m/>
    <n v="3.5"/>
    <n v="4.5"/>
    <n v="6"/>
    <n v="4"/>
    <n v="3.5"/>
    <n v="4"/>
    <n v="6"/>
    <n v="4.5"/>
    <n v="74"/>
    <n v="0.6"/>
    <n v="0.6"/>
    <e v="#N/A"/>
    <m/>
    <m/>
    <n v="0"/>
    <m/>
    <m/>
    <s v="Mercadeo"/>
    <e v="#N/A"/>
    <s v="169"/>
    <e v="#N/A"/>
  </r>
  <r>
    <s v="CC"/>
    <n v="1119666714"/>
    <s v="1000408155"/>
    <s v="JUAN PABLO SANTOS"/>
    <s v="Estudios por primera vez"/>
    <x v="1"/>
    <s v="Descartado por est 1 e ingresos bajos"/>
    <m/>
    <s v="En publico objetivo"/>
    <s v="3ra Cohorte"/>
    <s v="Admitido"/>
    <s v="jpsantos@eafit.edu.co"/>
    <e v="#N/A"/>
    <s v="juaneslindooo@gmail.com"/>
    <s v="320/327-3195"/>
    <d v="2025-06-06T00:00:00"/>
    <s v="Activo en Programa"/>
    <s v="003-Economía"/>
    <s v="E.Finanzas, Economía, Gobierno"/>
    <d v="2007-04-10T00:00:00"/>
    <n v="18"/>
    <s v="Casanare"/>
    <s v="Támara"/>
    <s v="Hombre"/>
    <s v="Soltero"/>
    <s v="SI"/>
    <s v="NO"/>
    <n v="0"/>
    <s v="NO"/>
    <s v="NA"/>
    <s v="NO"/>
    <s v="NA"/>
    <s v="NO"/>
    <s v="NA"/>
    <s v="No"/>
    <s v="320/327-3195"/>
    <s v="320/327-3195"/>
    <s v="Estrato 1"/>
    <s v="CR 9 6 67"/>
    <s v="Casanare"/>
    <s v="Támara"/>
    <s v="No aplica, no soy foráneo"/>
    <s v="Arriendo"/>
    <s v="SI"/>
    <s v="2025"/>
    <s v="AC202510431486"/>
    <n v="318"/>
    <n v="64"/>
    <n v="66"/>
    <s v="Pública"/>
    <s v="Institución educativa Arturo salazar mejía"/>
    <n v="2024"/>
    <m/>
    <s v="Támara"/>
    <s v="Bachillerato"/>
    <s v="Académico"/>
    <m/>
    <s v="11"/>
    <s v="Escala de 0 - 50"/>
    <s v="Escala de 0 - 5"/>
    <s v="4"/>
    <s v="4"/>
    <m/>
    <s v="4"/>
    <s v="4"/>
    <m/>
    <n v="4"/>
    <n v="4"/>
    <m/>
    <n v="4"/>
    <n v="4"/>
    <m/>
    <s v="3,4"/>
    <s v="4"/>
    <m/>
    <s v="4"/>
    <s v="4"/>
    <m/>
    <s v="4"/>
    <s v="4"/>
    <m/>
    <s v="De 9 y 10"/>
    <n v="4"/>
    <s v="NO"/>
    <s v="NA"/>
    <n v="0"/>
    <n v="0"/>
    <s v="No"/>
    <n v="45"/>
    <m/>
    <n v="40"/>
    <m/>
    <n v="40"/>
    <m/>
    <s v="Aspirante por beca talento. Vive en el Casanare"/>
    <n v="41.666666666666664"/>
    <s v="Con detalle por componente"/>
    <s v="Ninguna"/>
    <s v="me gustaría tener mi propia empresa, siempre ha sido mi sueño ser un gran emprendedor_x000a_Esta beca representa una oportunidad clave para formarme con excelencia y adquirir los conocimientos necesarios en análisis económico, finanzas, política pública y emprendimiento. Gracias a ella, podré dedicarme a mis estudios, sin las preocupaciones económicas que muchas veces limitan el potencial de muchos jóvenes como yo con grandes potenciales"/>
    <s v="Redes sociales"/>
    <s v="Por la calidad académica."/>
    <s v="Nivel académico de docentes."/>
    <n v="2"/>
    <s v="4"/>
    <s v="SI"/>
    <s v="NO"/>
    <s v="Entre 1 y 2 millones"/>
    <s v="No"/>
    <n v="0"/>
    <n v="0"/>
    <m/>
    <s v="SI"/>
    <s v="Beca"/>
    <s v="NO"/>
    <s v=""/>
    <s v=""/>
    <s v="Sin información"/>
    <s v="WILLIAM   SANTOS"/>
    <s v="Unión marital"/>
    <s v="BACHILLERATO"/>
    <s v="43"/>
    <s v=""/>
    <s v=""/>
    <m/>
    <s v=""/>
    <m/>
    <s v=""/>
    <s v="NO"/>
    <s v="NO"/>
    <s v="Vive con su familia"/>
    <s v="Si"/>
    <s v="Paola Vergara"/>
    <s v="Unión marital"/>
    <s v="BACHILLERATO"/>
    <s v="42"/>
    <s v="Comida a domicilio"/>
    <s v="Independiente (trabaja por cuenta propia)"/>
    <s v="Estar en casa y vender comida"/>
    <s v="No se encuentra vinculada a ninguna"/>
    <n v="700000"/>
    <s v="Si"/>
    <s v="NO"/>
    <s v="NO"/>
    <s v="Me inspira a estudiar, todo lo hago por ella por salir de donde estamos."/>
    <n v="700000"/>
    <s v="Si"/>
    <s v="María Paula"/>
    <s v="Hermano / Hermana"/>
    <s v="4"/>
    <s v="Jardín"/>
    <s v="Cdi"/>
    <n v="0"/>
    <s v="No"/>
    <s v=""/>
    <s v=""/>
    <s v=""/>
    <s v=""/>
    <s v=""/>
    <m/>
    <s v=""/>
    <s v=""/>
    <s v=""/>
    <s v=""/>
    <s v=""/>
    <s v=""/>
    <m/>
    <s v=""/>
    <s v=""/>
    <n v="0"/>
    <n v="0"/>
    <n v="0"/>
    <n v="0"/>
    <n v="0"/>
    <s v="No"/>
    <s v=""/>
    <s v=""/>
    <n v="0"/>
    <s v="No"/>
    <s v=""/>
    <s v=""/>
    <n v="0"/>
    <s v="No"/>
    <s v=""/>
    <s v=""/>
    <s v=""/>
    <n v="0"/>
    <m/>
    <n v="4"/>
    <n v="4"/>
    <n v="3"/>
    <n v="4"/>
    <n v="4"/>
    <n v="4"/>
    <n v="3"/>
    <n v="4"/>
    <n v="3"/>
    <n v="3"/>
    <n v="36"/>
    <s v="SI"/>
    <s v="SI, ICFES"/>
    <s v="PRI SIN PUNTAJE ICFES Y GRADUACION ANTES DE 2025, NI TIPO IE"/>
    <s v="pendiente tipo ie"/>
    <e v="#N/A"/>
    <e v="#N/A"/>
    <m/>
    <n v="2"/>
    <n v="6"/>
    <n v="6"/>
    <n v="5"/>
    <n v="15"/>
    <n v="15"/>
    <n v="10"/>
    <n v="20"/>
    <n v="20"/>
    <n v="71"/>
    <s v="80 - 100%"/>
    <m/>
    <n v="3.5"/>
    <n v="4.5"/>
    <n v="8"/>
    <n v="4"/>
    <n v="3.5"/>
    <n v="4"/>
    <n v="8"/>
    <n v="4.5"/>
    <n v="71"/>
    <s v="80 - 100%"/>
    <n v="0.8"/>
    <e v="#N/A"/>
    <m/>
    <m/>
    <s v="SI, ICFES"/>
    <m/>
    <m/>
    <s v="Economía"/>
    <e v="#N/A"/>
    <s v="003"/>
    <e v="#N/A"/>
  </r>
  <r>
    <s v="TI"/>
    <n v="1123804913"/>
    <s v="1000392100"/>
    <s v="MARIA LUISA MEJIA BERMUDEZ"/>
    <s v="Estudios por primera vez"/>
    <x v="5"/>
    <s v="Cumple Nutresa"/>
    <s v="Madre profesional"/>
    <s v="En publico objetivo"/>
    <s v="3ra Cohorte"/>
    <s v="Admitido"/>
    <s v="mlmejiab@eafit.edu.co"/>
    <s v="mlmejiab@eafit.edu.co"/>
    <s v="mlmejiab@eafit.edu.co"/>
    <s v="573192070260"/>
    <d v="2025-05-30T00:00:00"/>
    <s v="Activo en Programa"/>
    <s v="237-Diseño Interactivo"/>
    <s v="Escuela de Artes y Humanidades"/>
    <d v="2007-11-01T00:00:00"/>
    <n v="18"/>
    <s v="Meta"/>
    <s v="Villavicencio"/>
    <s v="Mujer"/>
    <s v="Soltero"/>
    <s v="NO"/>
    <s v="NO"/>
    <n v="0"/>
    <s v="NO"/>
    <s v="NA"/>
    <s v="NO"/>
    <s v="NA"/>
    <s v="NO"/>
    <s v="NA"/>
    <s v="No"/>
    <s v="312/595-6709"/>
    <s v="573192070260"/>
    <s v="Estrato 2"/>
    <s v="CL 50 N 8 A- 61"/>
    <s v="Antioquia"/>
    <s v="Granada"/>
    <s v="No"/>
    <s v="Propio"/>
    <s v="SI"/>
    <s v="2024"/>
    <s v="AC202431901909"/>
    <n v="341"/>
    <n v="63"/>
    <n v="73"/>
    <s v="Pública"/>
    <s v="IE NMAL SUP. MARIA AUXILIADORA"/>
    <n v="2024"/>
    <m/>
    <s v="Granada"/>
    <s v="Bachillerato"/>
    <s v="BACHILLER"/>
    <s v="TIPO: Pública, INSTITUCION: IE NMAL SUP. MARIA AUXILIADORA, AÑO: 2024, CIUDAD: Granada, TITULO: BACHILLER"/>
    <s v="11"/>
    <s v="Escala Desempeño"/>
    <s v="Escala de 0 - 5"/>
    <s v="5"/>
    <s v="4"/>
    <m/>
    <s v="4,5"/>
    <s v="5"/>
    <m/>
    <n v="4.5"/>
    <n v="5"/>
    <m/>
    <n v="5"/>
    <n v="4"/>
    <m/>
    <s v="4"/>
    <s v="4,5"/>
    <m/>
    <s v="5"/>
    <s v="5"/>
    <m/>
    <s v="4,5"/>
    <s v="4"/>
    <m/>
    <s v="De 9 y 10"/>
    <n v="4.625"/>
    <s v="NO"/>
    <s v="NA"/>
    <n v="0"/>
    <n v="0"/>
    <s v="No"/>
    <n v="50"/>
    <m/>
    <n v="50"/>
    <m/>
    <n v="50"/>
    <m/>
    <m/>
    <n v="50"/>
    <s v="Con detalle por componente"/>
    <s v="Artísticas o culturales,Espacios de liderazgo o representación social,Trabajo social o comunitario"/>
    <s v="Estudiar esta carrera en la EAFIT con la ayuda de la beca cambiará mi vida y me abrirá puertas, primero al poder superar obstáculos económicos como el pago de la matrícula; en cuanto al pregrado podré desarrollar y aprender habilidades utilizando la tecnología para dar un aporte a la sostenibilidad y convivencia humana con la naturaleza entendiendo nuestras interacciones y necesidades, especialmente contribuyendo a crear conciencia en mi lugar de origen (Granada-Meta) el cual corresponde a la región de los llanos orientales donde gozamos de la hermosa cultura llanera, flora y fauna exclusiva de nuestra calida tierra. También podré adquirir un pensamiento más reflexivo y colaborativo, creando y experimentando nuevas formas de expresión visual, verbal, táctil y sensorial. _x000a__x000a_En un país tan mega diverso como Colombia y que actualmente tal quiere avanzar hacia un futuro sostenible espero poder aportar a la transformación del presente conectando con el ser humano a través de espacios interactivos que muestren la inmensidad y la importancia de cada uno de los ecosistemas que hacen posible la vida. A través de la comunicación, programación creativa, analítica y el diseño fundamentados en el pregrado de Diseño Interactivo pretendo enlazar a comunidades indígenas, personas del común, empresas y otras entidades para que experimenten como a través de la tecnología se puede llegar a un equilibrio con todos los seres vivos que integramos este hogar."/>
    <s v="Estudiantes de EAFIT"/>
    <s v="Por la calidad académica."/>
    <s v="Vocación."/>
    <n v="2"/>
    <s v="1"/>
    <s v="SI"/>
    <s v="NO"/>
    <s v="Entre 3 y 4 millones"/>
    <s v="No"/>
    <n v="0"/>
    <n v="0"/>
    <m/>
    <s v="SI"/>
    <s v="Beca"/>
    <s v="NO"/>
    <s v=""/>
    <s v=""/>
    <s v="Si"/>
    <s v="Erlian Leónidas Mejía Córdoba"/>
    <s v="Otro"/>
    <s v="TÉCNICA"/>
    <s v="43"/>
    <s v="Tecnólogo en Sistemas"/>
    <s v="Otra"/>
    <s v="NA"/>
    <s v="NA"/>
    <n v="0"/>
    <s v="No"/>
    <s v="NO"/>
    <s v="NO"/>
    <s v="No tengo mucha información sobre mi padre ya que desde el año 2020 se fué de casa y ahora se encuentra en Ecuador."/>
    <s v="Si"/>
    <s v="Blanca Rocío Bermúdez Romero"/>
    <s v="Soltero"/>
    <s v="UNIVERSITARIOS"/>
    <s v="50"/>
    <s v="Docente de Aula"/>
    <s v="Empleado (con contrato laboral)"/>
    <s v="Docente de aula ciencias naturales y medio ambiente"/>
    <s v="Secretaria de educación - Gobernación del Meta/Institución Educativa Brisas de Iriqué, Granada-Meta"/>
    <n v="4973742"/>
    <s v="Si"/>
    <s v="SI"/>
    <s v="SI"/>
    <m/>
    <n v="4973742"/>
    <s v="Si"/>
    <s v="María José Mejía Bermúdez"/>
    <s v="Hermano / Hermana"/>
    <s v="12"/>
    <s v="Estudiante"/>
    <s v="Institución Educativa Brisas de Iriqué, Granada-Meta"/>
    <n v="0"/>
    <s v="No"/>
    <s v=""/>
    <s v=""/>
    <s v=""/>
    <s v=""/>
    <s v=""/>
    <m/>
    <s v=""/>
    <s v=""/>
    <s v=""/>
    <s v=""/>
    <s v=""/>
    <s v=""/>
    <m/>
    <s v=""/>
    <s v=""/>
    <n v="50183000"/>
    <n v="0"/>
    <n v="0"/>
    <n v="0"/>
    <n v="0"/>
    <s v="No"/>
    <s v=""/>
    <s v=""/>
    <n v="0"/>
    <s v="No"/>
    <s v=""/>
    <s v=""/>
    <n v="0"/>
    <s v="No"/>
    <s v=""/>
    <s v=""/>
    <s v=""/>
    <n v="0"/>
    <m/>
    <n v="4"/>
    <n v="4"/>
    <n v="3"/>
    <n v="4"/>
    <n v="2"/>
    <n v="3"/>
    <n v="3"/>
    <n v="3"/>
    <n v="3"/>
    <n v="4"/>
    <n v="33"/>
    <s v="SI"/>
    <m/>
    <s v="SI, SON PRI"/>
    <s v="ok tienen todos los datos"/>
    <n v="0.5"/>
    <n v="20251"/>
    <m/>
    <n v="3"/>
    <n v="10"/>
    <n v="10"/>
    <n v="10"/>
    <n v="20"/>
    <n v="10"/>
    <n v="20"/>
    <n v="15"/>
    <n v="15"/>
    <n v="85"/>
    <n v="0.4"/>
    <m/>
    <n v="3.5"/>
    <n v="2.5"/>
    <n v="6"/>
    <n v="3"/>
    <n v="3.5"/>
    <n v="2.5"/>
    <n v="6"/>
    <n v="3"/>
    <n v="85"/>
    <n v="0.5"/>
    <n v="0.5"/>
    <s v="MARIA LUISA MEJIA BERMUDEZ"/>
    <m/>
    <m/>
    <n v="0"/>
    <s v="EN ORDEN"/>
    <n v="0"/>
    <s v="Diseño Interactivo"/>
    <s v="Pres. para revision docs nutresa"/>
    <m/>
    <s v="NUTRESA"/>
  </r>
  <r>
    <s v="TI"/>
    <n v="1124854047"/>
    <s v="1000406891"/>
    <s v="JULIAN ANDRES NARVAEZ BURBANO"/>
    <s v="Estudios por primera vez"/>
    <x v="1"/>
    <s v="Descartado estado civil"/>
    <m/>
    <s v="En publico objetivo"/>
    <s v="2da Cohorte"/>
    <s v="Admitido"/>
    <s v="janarvaezb@eafit.edu.co"/>
    <e v="#N/A"/>
    <s v="juliannarvaez891@gmail.com"/>
    <s v="573157060499"/>
    <d v="2025-05-16T00:00:00"/>
    <s v="Activo en Programa"/>
    <s v="003-Economía"/>
    <s v="E.Finanzas, Economía, Gobierno"/>
    <d v="2008-03-03T00:00:00"/>
    <n v="17"/>
    <s v="Putumayo"/>
    <s v="Mocoa"/>
    <s v="Hombre"/>
    <s v="Otro"/>
    <s v="NO"/>
    <s v="NO"/>
    <n v="0"/>
    <s v="NO"/>
    <s v="NA"/>
    <s v="NO"/>
    <s v="NA"/>
    <s v="NO"/>
    <s v="NA"/>
    <s v="No"/>
    <s v="313/420-3678"/>
    <s v="573157060499"/>
    <s v="Estrato 1"/>
    <s v="MOCOA MZ F CA 41"/>
    <s v="Putumayo"/>
    <s v="Mocoa"/>
    <s v="Si"/>
    <s v="Propio"/>
    <s v="SI"/>
    <s v="2025"/>
    <s v="AC202510499640"/>
    <n v="422"/>
    <n v="100"/>
    <n v="71"/>
    <s v="Pública"/>
    <s v="IE SANTA MARIA GORETTI"/>
    <n v="2024"/>
    <s v="Putumayo"/>
    <s v="Mocoa"/>
    <s v="BACHILLER"/>
    <s v="ACAD"/>
    <s v="TIPO: Pública, INSTITUCION: IE SANTA MARIA GORETTI, AÑO: 2024, CIUDAD: Mocoa, TITULO: BACHILLER"/>
    <s v="11"/>
    <s v="Escala de 0 - 5"/>
    <s v="Escala de 0 - 5"/>
    <s v="4,4"/>
    <s v="4"/>
    <m/>
    <s v="4,1"/>
    <s v="4,1"/>
    <m/>
    <n v="4"/>
    <n v="4.5999999999999996"/>
    <m/>
    <n v="4.5"/>
    <n v="4.0999999999999996"/>
    <m/>
    <s v="4,1"/>
    <s v="4"/>
    <m/>
    <s v="4,2"/>
    <s v="4,5"/>
    <m/>
    <s v="4,5"/>
    <s v="4,5"/>
    <m/>
    <s v="De 9 y 10"/>
    <n v="4.3"/>
    <s v="NO"/>
    <s v="NA"/>
    <n v="0"/>
    <n v="0"/>
    <s v="No"/>
    <n v="45"/>
    <m/>
    <n v="50"/>
    <m/>
    <n v="45"/>
    <m/>
    <s v="Aspirante que vendría desde Mocoa-Putumayo"/>
    <n v="46.666666666666664"/>
    <s v="Con detalle por componente"/>
    <s v="Trabajo social o comunitario,Espacios de liderazgo o representación social"/>
    <s v="Como economista me visualizo con la capacidad de comprender como se mueve el mundo, el porqué de las transformaciones en que el mundo se ve expuesto, que mediante el análisis económico y trabajo articulado, me ofrece la oportunidad de dar respuesta contundente a aquellos retos que a diario enfrentan comunidades aisladas como la mía, aportando con iniciativas que impulsen el desarrollo sostenible y la equidad del pueblo. La beca talento EAFIT representa para mí una oportunidad invaluable para lograr mis metas, tanto académicas como laborales en el futuro. Soy consciente de que esta iniciativa refleja un verdadero compromiso de EAFIT con la excelencia educativa de las futuras generaciones, aquellas que no cuentan recursos suficientes. Por lo tanto, ser elegido como beneficiario no solo sería un reconocimiento a mi dedicación, sino también un firme compromiso de continuar mi formación con responsabilidad para contribuir a la sociedad mediante soluciones concretas que fomenten el bienestar de mi región, y de la nación."/>
    <s v="Referencias familiares"/>
    <s v="Por la calidad académica."/>
    <s v="Vocación."/>
    <n v="2"/>
    <s v="1"/>
    <s v="NO"/>
    <s v="NO"/>
    <s v="Entre 8 y 9 millones"/>
    <s v="No"/>
    <n v="0"/>
    <n v="0"/>
    <m/>
    <s v="SI"/>
    <s v="Beca"/>
    <s v="NO"/>
    <s v=""/>
    <s v=""/>
    <s v="Si"/>
    <s v="Freider Alejandro Narváez Herrera"/>
    <s v="Unión marital"/>
    <s v="ESPECIALIZACIÓN"/>
    <s v="45"/>
    <s v="Zootecnista"/>
    <s v="Otra"/>
    <s v="Funcionario público"/>
    <s v="Sena"/>
    <n v="4650000"/>
    <s v="Si"/>
    <s v="SI"/>
    <s v="NO"/>
    <s v=""/>
    <s v="Si"/>
    <s v="Yoly Milena Burbano Gomez"/>
    <s v="Unión marital"/>
    <s v="ESPECIALIZACIÓN"/>
    <s v="48"/>
    <s v="Contadora Pública"/>
    <s v="Contrato laboral a término fijo"/>
    <s v="Gerente"/>
    <s v="Coomegop"/>
    <n v="4500000"/>
    <s v="Si"/>
    <s v="NO"/>
    <s v="NO"/>
    <m/>
    <n v="9150000"/>
    <s v="No, solo vivo con mis padres"/>
    <s v=""/>
    <s v=""/>
    <s v=""/>
    <s v=""/>
    <s v=""/>
    <m/>
    <s v=""/>
    <s v=""/>
    <s v=""/>
    <s v=""/>
    <s v=""/>
    <s v=""/>
    <m/>
    <s v=""/>
    <s v=""/>
    <s v=""/>
    <s v=""/>
    <s v=""/>
    <s v=""/>
    <m/>
    <s v=""/>
    <s v=""/>
    <n v="200000000"/>
    <n v="0"/>
    <n v="0"/>
    <n v="0"/>
    <n v="70000000"/>
    <s v="Si"/>
    <s v="Chevrolet"/>
    <s v="2018"/>
    <n v="30000000"/>
    <s v="No"/>
    <s v=""/>
    <s v=""/>
    <n v="0"/>
    <s v="Si"/>
    <s v="Moto"/>
    <s v="Suzuki"/>
    <s v="2019"/>
    <n v="6000000"/>
    <m/>
    <n v="4"/>
    <n v="3"/>
    <n v="3"/>
    <n v="4"/>
    <n v="4"/>
    <n v="3"/>
    <n v="4"/>
    <n v="3"/>
    <n v="2"/>
    <n v="4"/>
    <n v="34"/>
    <s v="SI"/>
    <s v="SI, ICFES"/>
    <s v="PRI SIN PUNTAJE ICFES Y GRADUACION ANTES DE 2025"/>
    <s v="ok puntaje icfes de informe estrategia"/>
    <e v="#N/A"/>
    <e v="#N/A"/>
    <m/>
    <n v="2"/>
    <n v="6"/>
    <n v="6"/>
    <n v="15"/>
    <n v="15"/>
    <n v="10"/>
    <n v="20"/>
    <n v="9"/>
    <n v="9"/>
    <n v="75"/>
    <n v="0.4"/>
    <m/>
    <n v="3.5"/>
    <n v="2.5"/>
    <n v="1"/>
    <n v="2"/>
    <n v="3.5"/>
    <n v="2.5"/>
    <n v="1"/>
    <n v="2"/>
    <n v="75"/>
    <n v="0.4"/>
    <n v="0.4"/>
    <e v="#N/A"/>
    <m/>
    <m/>
    <s v="SI, ICFES"/>
    <m/>
    <m/>
    <s v="Economía"/>
    <e v="#N/A"/>
    <s v="003"/>
    <e v="#N/A"/>
  </r>
  <r>
    <s v="TI"/>
    <n v="1126243849"/>
    <s v="1000390112"/>
    <s v="LUNA JARAMILLO SALAZAR"/>
    <s v="Estudios por primera vez"/>
    <x v="1"/>
    <s v="No cumple, estrato 4"/>
    <m/>
    <s v="En publico objetivo"/>
    <s v="3ra Cohorte"/>
    <s v="Admitido"/>
    <s v="ljaramils2@eafit.edu.co"/>
    <s v="ljaramils2@eafit.edu.co"/>
    <s v="milutienda08@gmail.com"/>
    <s v="573177062197"/>
    <d v="2025-05-30T00:00:00"/>
    <s v="Activo en Programa"/>
    <s v="001-Administración de Negocios"/>
    <s v="Escuela de Administración"/>
    <d v="2008-04-14T00:00:00"/>
    <n v="17"/>
    <s v="Falcón"/>
    <s v="Punto Fijo"/>
    <s v="Mujer"/>
    <s v="Soltero"/>
    <s v="NO"/>
    <s v="NO"/>
    <n v="0"/>
    <s v="NO"/>
    <s v="NA"/>
    <s v="NO"/>
    <s v="NA"/>
    <s v="NO"/>
    <s v="NA"/>
    <s v="No"/>
    <s v="316/538-8458"/>
    <s v="573177062197"/>
    <s v="Estrato 4"/>
    <s v="CL 33 #63 15"/>
    <s v="Antioquia"/>
    <s v="Medellín"/>
    <s v="No aplica, no soy foráneo"/>
    <s v="Arriendo"/>
    <s v="SI"/>
    <s v="2024"/>
    <s v="AC202433413531"/>
    <n v="284"/>
    <n v="53"/>
    <n v="55"/>
    <s v="Privada"/>
    <s v="NUESTRA SENORA DE LA PROVIDENC"/>
    <n v="2024"/>
    <m/>
    <s v="Medellín"/>
    <s v="Bachillerato"/>
    <s v="BACHILLER"/>
    <s v="TIPO: Privada, INSTITUCION: NUESTRA SENORA DE LA PROVIDENC, AÑO: 2024, CIUDAD: Medellín, TITULO: BACHILLER"/>
    <s v="11"/>
    <s v="Escala de 0 - 5"/>
    <s v="Escala de 0 - 5"/>
    <s v="4"/>
    <s v="4"/>
    <m/>
    <s v="4,5"/>
    <s v="44"/>
    <m/>
    <n v="4"/>
    <n v="4.4000000000000004"/>
    <m/>
    <n v="4"/>
    <n v="4.4000000000000004"/>
    <m/>
    <s v="4"/>
    <s v="3,8"/>
    <m/>
    <s v="4"/>
    <s v="44"/>
    <m/>
    <s v="4"/>
    <s v="44"/>
    <m/>
    <s v="De 9 y 10"/>
    <n v="4.2"/>
    <s v="NO"/>
    <s v="NA"/>
    <n v="0"/>
    <n v="0"/>
    <s v="No"/>
    <n v="50"/>
    <m/>
    <n v="50"/>
    <m/>
    <n v="50"/>
    <m/>
    <s v="Familia con negocios y le interesa aprender administración, le gusta mucho EAFIT."/>
    <n v="50"/>
    <s v="Con detalle por componente"/>
    <s v="Artísticas o culturales,Trabajo social o comunitario"/>
    <s v="Desde pequeña entendí que el liderazgo es un llamado a servir, inspirar y transformar. A mis 17 años, me defino como una joven resiliente, soñadora y apasionada por crear oportunidades. Mi vocación nació guiando a niños en la iglesia y emprendiendo pequeños negocios de lociones y productos de belleza, inspirada por el ejemplo de mis padres, quienes me enseñaron que desde lo pequeño se logran grandes cosas._x000a__x000a_No quiero ser una administradora más en el mercado. Quiero ser una líder que construya soluciones y transforme realidades. Por eso deseo estudiar Administración de Empresas en EAFIT, ya que su enfoque en ciencia, tecnología e innovación está alineado con mi propósito de vida, guiado por el liderazgo. Aspiro a crear una empresa sostenible que inspire a otros jóvenes a confiar en sí mismos, incluso cuando el entorno los subestime._x000a__x000a_Al ingresar a EAFIT, quiero aprender a usar eficientemente los recursos de mi región. Me visualizo adquiriendo herramientas en finanzas, mercadeo e innovación para convertir ideas propias o ajenas en proyectos que generen valor. Como líder y gestora, deseo impulsar iniciativas que fortalezcan el tejido empresarial local e integren la economía circular y la tecnología._x000a__x000a_Con la Beca Talento, podré concentrarme en aprovechar al máximo la formación que ofrece EAFIT y participar en su ecosistema de emprendimiento. Este respaldo económico me permitirá vincularme a proyectos de investigación, conectarme con otras universidades y ahorrar para iniciar mi propio negocio, impactando a otros jóvenes._x000a__x000a_Como mujer que cree en el potencial de mi generación, deseo liderar con el ejemplo: inspirar confianza en quienes me rodean, crear soluciones reales y transformar realidades. Bajo el lema de EAFIT (Inspirar, Crear, Transformar), esta beca representa la oportunidad de hacer germinar la semilla de mis sueños y multiplicar su efecto en mi región, impulsando un cambio sostenible y duradero."/>
    <s v="A través del Colegio"/>
    <s v="Por la calidad académica."/>
    <s v="Vocación."/>
    <n v="2"/>
    <s v="2"/>
    <s v="SI"/>
    <s v="NO"/>
    <s v="Entre 4 y 5 millones"/>
    <s v="No"/>
    <n v="0"/>
    <s v="N"/>
    <m/>
    <s v="Y"/>
    <m/>
    <s v="NO"/>
    <s v="NA"/>
    <s v="NA"/>
    <s v="Si"/>
    <s v="Raúl Fernando Jaramillo Guzman"/>
    <s v="Soltero"/>
    <s v="UNIVERSITARIOS"/>
    <s v="53"/>
    <s v="Abogado"/>
    <s v="Independiente (trabaja por cuenta propia)"/>
    <s v="Abogado independiente"/>
    <s v="No aplica"/>
    <n v="4000000"/>
    <s v="No"/>
    <s v="SI"/>
    <s v="NO"/>
    <s v=""/>
    <s v="Si"/>
    <s v="Erika Salazar Peña"/>
    <s v="Unión marital"/>
    <s v="UNIVERSITARIOS"/>
    <s v="39"/>
    <s v="Comerciante"/>
    <s v="Independiente (trabaja por cuenta propia)"/>
    <s v="Comerciante"/>
    <s v="NO APLICA"/>
    <n v="2500000"/>
    <s v="Si"/>
    <s v="NO"/>
    <s v="NO"/>
    <m/>
    <n v="6500000"/>
    <s v="Si"/>
    <s v="José Roberto Salazar Gómez"/>
    <s v="Abuelo / Abuela"/>
    <s v="93"/>
    <s v="Ninguna"/>
    <s v="Ninguna"/>
    <n v="0"/>
    <s v="No"/>
    <s v=""/>
    <s v=""/>
    <s v=""/>
    <s v=""/>
    <s v=""/>
    <m/>
    <s v=""/>
    <s v=""/>
    <s v=""/>
    <s v=""/>
    <s v=""/>
    <s v=""/>
    <m/>
    <s v=""/>
    <s v=""/>
    <n v="0"/>
    <n v="0"/>
    <n v="0"/>
    <n v="0"/>
    <n v="0"/>
    <s v="Si"/>
    <s v="Toyota"/>
    <s v="2007"/>
    <n v="120000000"/>
    <s v="No"/>
    <s v=""/>
    <s v=""/>
    <n v="0"/>
    <s v="Si"/>
    <s v="Carro"/>
    <s v="Audi"/>
    <s v="2012"/>
    <n v="60000000"/>
    <s v="En perfecto estado"/>
    <n v="4"/>
    <n v="4"/>
    <n v="4"/>
    <n v="4"/>
    <n v="4"/>
    <n v="4"/>
    <n v="4"/>
    <n v="4"/>
    <n v="3"/>
    <n v="4"/>
    <n v="39"/>
    <s v="SI"/>
    <m/>
    <s v="SI, SON PRI"/>
    <s v="ok tienen todos los datos"/>
    <e v="#N/A"/>
    <e v="#N/A"/>
    <m/>
    <n v="3"/>
    <n v="4"/>
    <n v="4"/>
    <n v="0"/>
    <n v="15"/>
    <n v="15"/>
    <n v="20"/>
    <n v="13.5"/>
    <n v="13.5"/>
    <n v="67.5"/>
    <n v="0.4"/>
    <m/>
    <n v="2"/>
    <n v="4.5"/>
    <n v="3"/>
    <n v="4"/>
    <n v="2"/>
    <n v="4"/>
    <n v="3"/>
    <n v="4.5"/>
    <n v="67.5"/>
    <n v="0.4"/>
    <n v="0.4"/>
    <e v="#N/A"/>
    <m/>
    <m/>
    <n v="0"/>
    <m/>
    <m/>
    <s v="Administración de Negocios"/>
    <e v="#N/A"/>
    <s v="001"/>
    <e v="#N/A"/>
  </r>
  <r>
    <s v="TI"/>
    <n v="1126604446"/>
    <s v="1000035714"/>
    <s v="GABRIELA MARIA CRUZ GOMEZ"/>
    <s v="Estudios por primera vez"/>
    <x v="9"/>
    <s v="No cumple, estrato 5 o 6"/>
    <m/>
    <s v="En publico objetivo"/>
    <s v="1er Cohorte"/>
    <s v="Admitido"/>
    <s v="gmcruzg@eafit.edu.co"/>
    <s v="gmcruzg@eafit.edu.co"/>
    <s v="gabrielacruzg08@gmail.com"/>
    <s v="305/440-8133"/>
    <d v="2025-04-28T00:00:00"/>
    <s v="Activo en Programa"/>
    <s v="085-Ingeniería Diseño de Producto"/>
    <s v="E Ciencias Aplic e Ingeniería"/>
    <d v="2008-12-19T00:00:00"/>
    <n v="16"/>
    <s v="Ciudad De Guatemala"/>
    <s v="Guatemala"/>
    <s v="Mujer"/>
    <s v="Soltero"/>
    <s v="NO"/>
    <s v="NO"/>
    <n v="0"/>
    <s v="NO"/>
    <s v="NA"/>
    <s v="NO"/>
    <s v="NA"/>
    <s v="NO"/>
    <s v="NA"/>
    <s v="No"/>
    <s v="593-3080"/>
    <s v="305/440-8133"/>
    <s v="Estrato 6"/>
    <s v="CR 46 7 40 AP 803"/>
    <s v="Antioquia"/>
    <s v="Medellín"/>
    <s v="No aplica, no soy foráneo"/>
    <s v="Familiar"/>
    <s v="SI"/>
    <n v="2025"/>
    <s v="AC202510094634"/>
    <n v="315"/>
    <n v="64"/>
    <n v="66"/>
    <s v="Privada"/>
    <s v="COL GIMN LOS PINARES"/>
    <n v="2025"/>
    <s v="Antioquia"/>
    <s v="Medellín"/>
    <s v="BACHILLER"/>
    <s v="ACAD"/>
    <s v="TIPO: Privada, INSTITUCION: COL GIMN LOS PINARES, AÑO: 2025, CIUDAD: Medellín, TITULO: BACHILLER"/>
    <s v="11"/>
    <s v="Escala de 0 - 5"/>
    <s v="Escala de 0 - 5"/>
    <s v="3,7"/>
    <s v="3,7"/>
    <m/>
    <s v="3,7"/>
    <s v="3,5"/>
    <m/>
    <n v="4.0999999999999996"/>
    <n v="3.4"/>
    <m/>
    <n v="4.0999999999999996"/>
    <n v="4.0999999999999996"/>
    <m/>
    <s v="4"/>
    <s v="4,1"/>
    <m/>
    <s v="4,4"/>
    <s v="4,2"/>
    <m/>
    <s v="4,3"/>
    <s v="4,3"/>
    <m/>
    <s v="De 9 y 10"/>
    <n v="3.9249999999999998"/>
    <s v="NO"/>
    <s v="NA"/>
    <n v="0"/>
    <n v="0"/>
    <s v="No"/>
    <n v="45"/>
    <m/>
    <n v="45"/>
    <m/>
    <n v="50"/>
    <m/>
    <m/>
    <n v="46.666666666666664"/>
    <s v="Con detalle por componente"/>
    <s v="Artísticas o culturales"/>
    <s v="Me veo ejerciendo la profesión como diseñadora de diseño de producto aportando soluciones que impacten el mejoramiento del medio ambiente y sea de fácil uso para el usuario, me veo creando nuevos productos y trabajando con un equipo donde todos avancemos en pro de unas metas, a través de la beca puedo aportar mis habilidades e ingenio a las empresas de Antioquia y deseo tener a parte mi propio emprendimiento generando empleo y enseñando a otras personas mis conocimientos. Quiero aportar a Medellín dinamismo económico con mi trabajo."/>
    <s v="A través del Colegio"/>
    <s v="Universidad reconocida."/>
    <s v="Vocación."/>
    <n v="2"/>
    <s v="0"/>
    <s v="SI"/>
    <s v="NO"/>
    <s v="Entre 10 y 11 millones"/>
    <s v="No"/>
    <n v="0"/>
    <s v="SI"/>
    <s v="Crédito educativo propio"/>
    <s v="SI"/>
    <s v="Beca"/>
    <s v="NO"/>
    <s v=""/>
    <s v=""/>
    <s v="Si"/>
    <s v="Luis Emilio Cruz Villeda"/>
    <s v="Unión marital"/>
    <s v="UNIVERSITARIOS"/>
    <s v="50"/>
    <s v="Mercadologo"/>
    <s v="Independiente (trabaja por cuenta propia)"/>
    <s v="Vendedor"/>
    <s v="Tornillos y Fijaciones"/>
    <n v="0"/>
    <s v="No"/>
    <s v="NO"/>
    <s v="NO"/>
    <s v="Mi padre es extranjero, de nacionalidad Guatemalteca, no responde ni económicamente ni espiritualmente por mi."/>
    <s v="Si"/>
    <s v="Angela Maria Gomez Arango"/>
    <s v="Casado"/>
    <s v="UNIVERSITARIOS"/>
    <s v="65"/>
    <s v="Especialista en Comercio Internacional"/>
    <s v="Independiente (trabaja por cuenta propia)"/>
    <s v="Asesora en Mercadeo"/>
    <s v="Conociendo Tu Angel"/>
    <n v="8500000"/>
    <s v="Si"/>
    <s v="SI"/>
    <s v="SI"/>
    <s v="Mi madre es quien responde por mi completamente en lo económico y espiritual. Vivimos en casa de mi abuela materna quien es la propietaria y nosotros la acompañamos y cuidamos ya que ella tiene 86 años y ha perdido más del 60% de audición. Nosotras no poseemos casa propia."/>
    <n v="8500000"/>
    <s v="Si"/>
    <s v="Ana Lucila Arango de Gomez"/>
    <s v="Abuelo / Abuela"/>
    <s v="86"/>
    <s v="Ama de casa"/>
    <s v="No aplica"/>
    <n v="1000000"/>
    <s v="Si"/>
    <s v=""/>
    <s v=""/>
    <s v=""/>
    <s v=""/>
    <s v=""/>
    <m/>
    <s v=""/>
    <s v=""/>
    <s v=""/>
    <s v=""/>
    <s v=""/>
    <s v=""/>
    <m/>
    <s v=""/>
    <s v="Somos 3 personas, mi abuela materna, mi mama y yo en nuestro grupo familiar."/>
    <n v="0"/>
    <n v="0"/>
    <n v="0"/>
    <n v="0"/>
    <n v="0"/>
    <s v="Si"/>
    <s v="CX-5 Mazda"/>
    <s v="2020"/>
    <n v="110000000"/>
    <s v="No"/>
    <s v=""/>
    <s v=""/>
    <n v="0"/>
    <s v="No"/>
    <s v=""/>
    <s v=""/>
    <s v=""/>
    <n v="0"/>
    <m/>
    <n v="4"/>
    <n v="4"/>
    <n v="4"/>
    <n v="4"/>
    <n v="4"/>
    <n v="4"/>
    <n v="4"/>
    <n v="4"/>
    <n v="4"/>
    <n v="4"/>
    <n v="40"/>
    <s v="SI"/>
    <m/>
    <s v="SI, SON PRI"/>
    <s v="ok tienen todos los datos"/>
    <e v="#N/A"/>
    <e v="#N/A"/>
    <m/>
    <n v="3"/>
    <s v="NA"/>
    <s v="NA"/>
    <s v="NA"/>
    <s v="NA"/>
    <s v="NA"/>
    <s v="NA"/>
    <e v="#VALUE!"/>
    <e v="#VALUE!"/>
    <e v="#VALUE!"/>
    <s v="NCR"/>
    <m/>
    <s v="NA"/>
    <s v="NA"/>
    <s v="NA"/>
    <s v="NA"/>
    <s v="NA"/>
    <s v="NA"/>
    <s v="NA"/>
    <s v="NA"/>
    <e v="#VALUE!"/>
    <s v="NCR"/>
    <s v="Negado"/>
    <e v="#N/A"/>
    <m/>
    <m/>
    <n v="0"/>
    <m/>
    <m/>
    <s v="Ingeniería Diseño de Producto"/>
    <e v="#N/A"/>
    <m/>
    <s v="NCR"/>
  </r>
  <r>
    <s v="CC"/>
    <n v="1127024223"/>
    <s v="1000406499"/>
    <s v="LUISA MARIA LOPEZ SANTACRUZ"/>
    <s v="Estudios por primera vez"/>
    <x v="1"/>
    <s v="Descartado por ingresos altos"/>
    <m/>
    <s v="En publico objetivo"/>
    <s v="2da Cohorte"/>
    <s v="Admitido"/>
    <s v="lmlopezs1@eafit.edu.co"/>
    <e v="#N/A"/>
    <s v="luisaalopezsantacruz@gmail.com"/>
    <s v="573164442301"/>
    <d v="2025-05-16T00:00:00"/>
    <s v="Activo en Programa"/>
    <s v="002-Negocios Internacionales"/>
    <s v="Escuela de Administración"/>
    <d v="2006-12-19T00:00:00"/>
    <n v="18"/>
    <s v="Santiago"/>
    <s v="Santiago De Los Caballero"/>
    <s v="Mujer"/>
    <s v="Soltero"/>
    <s v="NO"/>
    <s v="NO"/>
    <n v="0"/>
    <s v="NO"/>
    <s v="NA"/>
    <s v="NO"/>
    <s v="NA"/>
    <s v="NO"/>
    <s v="NA"/>
    <s v="No"/>
    <s v="317/366-3776"/>
    <s v="573164442301"/>
    <s v="Estrato 2"/>
    <s v="CORREGIMIENTO SAN FERNANDO SECTOR CARACOLITO"/>
    <s v="Nariño"/>
    <s v="Pasto"/>
    <s v="Si"/>
    <s v="Propio"/>
    <s v="SI"/>
    <s v="2024"/>
    <s v="AC202436979975"/>
    <n v="320"/>
    <n v="70"/>
    <n v="66"/>
    <s v="Privada"/>
    <s v="INST CHAMPAGNAT"/>
    <n v="2024"/>
    <s v="Nariño"/>
    <s v="Pasto"/>
    <s v="BACHILLER"/>
    <s v="ACAD"/>
    <s v="TIPO: Privada, INSTITUCION: INST CHAMPAGNAT, AÑO: 2024, CIUDAD: Pasto, TITULO: BACHILLER"/>
    <s v="11"/>
    <s v="Escala de 0 - 5"/>
    <s v="Escala de 0 - 5"/>
    <s v="4,5"/>
    <s v="4,4"/>
    <m/>
    <s v="4,5"/>
    <s v="4,4"/>
    <m/>
    <n v="4.0999999999999996"/>
    <n v="4"/>
    <m/>
    <n v="4.3"/>
    <n v="4.2"/>
    <m/>
    <s v="4,5"/>
    <s v="4,2"/>
    <m/>
    <s v="4,5"/>
    <s v="4,5"/>
    <m/>
    <s v="4,5"/>
    <s v="4"/>
    <m/>
    <s v="De 9 y 10"/>
    <n v="4.1499999999999995"/>
    <s v="NO"/>
    <s v="NA"/>
    <n v="0"/>
    <n v="0"/>
    <s v="No"/>
    <n v="45"/>
    <m/>
    <n v="45"/>
    <m/>
    <n v="45"/>
    <m/>
    <m/>
    <n v="45"/>
    <s v="Con detalle por componente"/>
    <s v="Espacios de liderazgo o representación social"/>
    <s v="Crecí en una región que, en mi opinión, tiene mucho potencial: Nariño. Siempre me ha llamado la atención ver y analizar cómo el comercio ha sido de gran importancia en la economía de muchas familias. Al caer en cuenta de esto, mi deseo por elegir la carrera de Negocios Internacionales ha aumentado. _x000a_Desde mis proyecciones en la profesión, me siento capaz de llevar a cabo importaciones y exportaciones con ayuda de estrategias y conocimientos bien estructurados, que aprenderé a lo largo de mi carrera._x000a_Me visualizo liderando diversos proyectos con mercados internacionales, Nariño cuenta con una ubicación estratégica por ser zona fronteriza con Ecuador (un país del cual tengo conocimiento porque tuve la oportunidad de vivir algunos años allí), y también por su vínculo con la región amazónica, andina y con la costa pacífica, donde habrá la futura apertura del puerto de Tumaco, dando inicio a nuevos caminos y sueños relacionados con el comercio marítimo, incrementando las posibilidades de hacer crecer a mi región y generar empleo._x000a_Esta beca, para mí, representa una oportunidad fundamental para alcanzar mi sueño. Con mi compromiso y dedicación podré cumplir todas las metas que tengo en mente. Quiero adquirir todos los conocimientos necesarios para convertirme en una profesional capaz de negociar, generar relaciones con comerciantes de otros países y conocer el mundo. Así podré transformar mi futuro y contribuir en el cambio que mi departamento necesita, desde lo que más me apasiona."/>
    <s v="Página WEB"/>
    <s v="Universidad reconocida."/>
    <s v="Vocación."/>
    <n v="3"/>
    <s v="1"/>
    <s v="NO"/>
    <s v="NO"/>
    <s v="Entre 14 y 15 millones"/>
    <s v="Si"/>
    <s v="SI"/>
    <n v="0"/>
    <m/>
    <n v="0"/>
    <m/>
    <s v="NO"/>
    <s v=""/>
    <s v=""/>
    <s v="Si"/>
    <s v="Eduardo Andrés López Montenegro"/>
    <s v="Casado"/>
    <s v="UNIVERSITARIOS"/>
    <s v="45"/>
    <s v="Independiente"/>
    <s v="Independiente (trabaja por cuenta propia)"/>
    <s v="Gerente, representante legal"/>
    <s v="Biofardix suministros médicos S.A.S"/>
    <n v="6000000"/>
    <s v="Si"/>
    <s v="NO"/>
    <s v="NO"/>
    <s v=""/>
    <s v="Si"/>
    <s v="María Soledad Santacruz Moncayo"/>
    <s v="Casado"/>
    <s v="UNIVERSITARIOS"/>
    <s v="46"/>
    <s v="Independiente"/>
    <s v="Independiente (trabaja por cuenta propia)"/>
    <s v="Aministradora, propietaria"/>
    <s v="Restaurante Casa Luisa food service"/>
    <n v="3500000"/>
    <s v="Si"/>
    <s v="NO"/>
    <s v="NO"/>
    <m/>
    <n v="9500000"/>
    <s v="Si"/>
    <s v="Jerónimo Andrés López Santacruz"/>
    <s v="Hermano / Hermana"/>
    <s v="14"/>
    <s v="Estudiante"/>
    <s v="Instituto Champagnat de Pasto"/>
    <n v="0"/>
    <s v="No"/>
    <s v=""/>
    <s v=""/>
    <s v=""/>
    <s v=""/>
    <s v=""/>
    <m/>
    <s v=""/>
    <s v=""/>
    <s v=""/>
    <s v=""/>
    <s v=""/>
    <s v=""/>
    <m/>
    <s v=""/>
    <s v=""/>
    <n v="200000000"/>
    <n v="0"/>
    <n v="150000000"/>
    <n v="0"/>
    <n v="0"/>
    <s v="Si"/>
    <s v="Nissan qashqai"/>
    <s v="2019"/>
    <n v="65000000"/>
    <s v="No"/>
    <s v=""/>
    <s v=""/>
    <n v="0"/>
    <s v="Si"/>
    <s v="Otro carro"/>
    <s v="Jimny"/>
    <s v="2007"/>
    <n v="35000000"/>
    <m/>
    <n v="4"/>
    <n v="4"/>
    <n v="3"/>
    <n v="4"/>
    <n v="4"/>
    <n v="3"/>
    <n v="4"/>
    <n v="4"/>
    <n v="3"/>
    <n v="4"/>
    <n v="37"/>
    <s v="SI"/>
    <m/>
    <s v="SI, SON PRI"/>
    <s v="ok tienen todos los datos"/>
    <e v="#N/A"/>
    <e v="#N/A"/>
    <m/>
    <n v="3"/>
    <n v="10"/>
    <n v="10"/>
    <n v="5"/>
    <n v="15"/>
    <n v="15"/>
    <n v="15"/>
    <n v="7.5"/>
    <n v="7.5"/>
    <n v="67.5"/>
    <n v="0.4"/>
    <n v="0.4"/>
    <n v="2"/>
    <n v="2.5"/>
    <n v="1"/>
    <n v="2"/>
    <n v="2"/>
    <n v="2.5"/>
    <n v="1"/>
    <n v="2"/>
    <n v="67.5"/>
    <n v="0.4"/>
    <n v="0.4"/>
    <e v="#N/A"/>
    <m/>
    <m/>
    <n v="0"/>
    <m/>
    <m/>
    <s v="Negocios Internacionales"/>
    <e v="#N/A"/>
    <s v="002"/>
    <e v="#N/A"/>
  </r>
  <r>
    <s v="CC"/>
    <n v="1127228407"/>
    <s v="1000408402"/>
    <s v="SOFIA GOMEZ JARAMILLO"/>
    <s v="Estudios por primera vez"/>
    <x v="1"/>
    <s v="Descartado por ingresos altos"/>
    <s v="No cumple perfil Nutresa, beca Talento"/>
    <s v="En publico objetivo"/>
    <s v="2da Cohorte"/>
    <s v="Admitido"/>
    <s v="sgomezj13@eafit.edu.co"/>
    <e v="#N/A"/>
    <s v="sofigomezint@gmail.com"/>
    <s v="573235227804"/>
    <d v="2025-05-16T00:00:00"/>
    <s v="Activo en Programa"/>
    <s v="001-Administración de Negocios"/>
    <s v="Escuela de Administración"/>
    <d v="2005-03-24T00:00:00"/>
    <n v="20"/>
    <s v="Florida"/>
    <s v="Miami"/>
    <s v="Mujer"/>
    <s v="Soltero"/>
    <s v="NO"/>
    <s v="NO"/>
    <n v="0"/>
    <s v="NO"/>
    <s v="NA"/>
    <s v="NO"/>
    <s v="NA"/>
    <s v="NO"/>
    <s v="NA"/>
    <s v="No"/>
    <s v="311/343-2685"/>
    <s v="573235227804"/>
    <s v="Estrato 2"/>
    <s v="BRR CENTENARIO MZ A CA 2"/>
    <s v="Quindío"/>
    <s v="Armenia"/>
    <s v="Si"/>
    <s v="Arriendo"/>
    <s v="SI"/>
    <s v="2022"/>
    <s v="AC202240221226"/>
    <n v="357"/>
    <n v="72"/>
    <n v="72"/>
    <s v="Privada"/>
    <s v="NUEVO GIMNASIO CRISTIANO"/>
    <n v="2022"/>
    <s v="Quindío"/>
    <s v="Salento"/>
    <s v="BACHILLER"/>
    <s v="ACAD"/>
    <s v="TIPO: Privada, INSTITUCION: NUEVO GIMNASIO CRISTIANO, AÑO: 2022, CIUDAD: Salento, TITULO: BACHILLER"/>
    <s v="11"/>
    <s v="Escala de 0 - 10"/>
    <s v="Escala de 0 - 10"/>
    <s v="9"/>
    <s v="8,9"/>
    <m/>
    <s v="9"/>
    <s v="8,9"/>
    <m/>
    <n v="10"/>
    <n v="9.1"/>
    <m/>
    <n v="9"/>
    <n v="8.6999999999999993"/>
    <m/>
    <s v="9,5"/>
    <s v="10"/>
    <m/>
    <s v="9"/>
    <s v="9"/>
    <m/>
    <s v="10"/>
    <s v="9"/>
    <m/>
    <s v="De 9 y 10"/>
    <n v="9.1999999999999993"/>
    <s v="NO"/>
    <s v="NA"/>
    <n v="0"/>
    <n v="0"/>
    <s v="No"/>
    <n v="50"/>
    <m/>
    <n v="50"/>
    <m/>
    <n v="50"/>
    <m/>
    <s v="quiere tener su propia empresa, le han gustado los emprendimientos le gusta EAFIT por reconocimiento, todos los saberes."/>
    <n v="50"/>
    <s v="Con detalle por componente"/>
    <s v="Deportistas de alto rendimiento o representativo,Artísticas o culturales,Espacios de liderazgo o representación social"/>
    <s v="Desde pequeña he sentido una gran pasión por los negocios. Siempre he tenido una mentalidad emprendedora, buscando ideas para crear, vender y aportar soluciones. Por eso, estoy segura que la mejor decisión que puedo tomar es estudiar la carrera de Administración de Negocios en la Universidad EAFIT, ya que, puedo convertir esa pasión en un proyecto de vida con propósito._x000a__x000a_Me visualizo como una profesional íntegra, liderando mi propia empresa o desempeñando un cargo estratégico en una organización reconocida. Mi sueño es crear un negocio que no solo sea exitoso a nivel económico, sino que también genere un impacto positivo en Colombia, especialmente en mi región. Quiero construir una empresa que aporte al desarrollo del país generando empleo digno, promoviendo el talento joven y apostándole a la innovación._x000a__x000a_Creo firmemente que la educación es la herramienta más poderosa para transformar realidades. Por eso, obtener esta beca representaría mucho más que un apoyo económico, sería el impulso que necesito para prepararme de manera profesional y poder cumplir mis metas y mis sueños. Esta oportunidad me permitiría formarme en una universidad de excelencia como EAFIT, donde podré adquirir las herramientas, conocimientos y experiencias necesarias para emprender con visión y liderazgo._x000a__x000a_Mi compromiso es aprovechar al máximo esta oportunidad para, en el futuro, devolverle a mi comunidad lo aprendido a través de acciones concretas que impulsen el desarrollo económico y social. Aspiro ser una líder que inspire a otros jóvenes a soñar en grande y a trabajar por un mejor país."/>
    <s v="Estudiantes de EAFIT"/>
    <s v="Universidad reconocida."/>
    <s v="Alta proyección de ingresos."/>
    <n v="1"/>
    <s v="1"/>
    <s v="NO"/>
    <s v="NO"/>
    <s v="Entre 2 y 3 millones"/>
    <s v="No"/>
    <n v="0"/>
    <n v="0"/>
    <m/>
    <s v="SI"/>
    <s v="Beca"/>
    <s v="NO"/>
    <s v=""/>
    <s v=""/>
    <s v="Si"/>
    <s v="Jorge Gómez Orrego"/>
    <s v="Soltero"/>
    <s v="UNIVERSITARIOS"/>
    <s v="64"/>
    <s v="Pensionado"/>
    <s v="Pensionado"/>
    <s v="Pensionado"/>
    <s v="N/A"/>
    <n v="2500000"/>
    <s v="No"/>
    <s v="NO"/>
    <s v="NO"/>
    <s v="Mi papá siempre ha sido un padre muy presente aunque no vivamos juntos. Cuento con el 100% de su apoyo con respecto a la decisión de estudiar el Pregrado de Administración de Negocios en EAFIT."/>
    <s v="Si"/>
    <s v="Nathalie Jaramillo"/>
    <s v="Soltero"/>
    <s v="UNIVERSITARIOS"/>
    <s v="52"/>
    <s v="Independiente"/>
    <s v="Independiente (trabaja por cuenta propia)"/>
    <s v="Independiente"/>
    <s v="N/A"/>
    <n v="2500000"/>
    <s v="Si"/>
    <s v="NO"/>
    <s v="NO"/>
    <s v="Mi mamá también siempre ha estado presente en todas las etapas de mi vida. Cuento con el 100% de su apoyo con respecto a la decisión de estudiar el Pregrado de Administración de Negocios en EAFIT."/>
    <n v="5000000"/>
    <s v="No, solo vivo con mis padres"/>
    <s v=""/>
    <s v=""/>
    <s v=""/>
    <s v=""/>
    <s v=""/>
    <m/>
    <s v=""/>
    <s v=""/>
    <s v=""/>
    <s v=""/>
    <s v=""/>
    <s v=""/>
    <m/>
    <s v=""/>
    <s v=""/>
    <s v=""/>
    <s v=""/>
    <s v=""/>
    <s v=""/>
    <m/>
    <s v=""/>
    <s v=""/>
    <n v="0"/>
    <n v="0"/>
    <n v="0"/>
    <n v="0"/>
    <n v="0"/>
    <s v="Si"/>
    <s v="Mazda"/>
    <s v="2008"/>
    <n v="19000000"/>
    <s v="No"/>
    <s v=""/>
    <s v=""/>
    <n v="0"/>
    <s v="No"/>
    <s v=""/>
    <s v=""/>
    <s v=""/>
    <n v="0"/>
    <m/>
    <n v="4"/>
    <n v="4"/>
    <n v="4"/>
    <n v="4"/>
    <n v="4"/>
    <n v="4"/>
    <n v="4"/>
    <n v="4"/>
    <n v="4"/>
    <n v="4"/>
    <n v="40"/>
    <s v="SI"/>
    <m/>
    <s v="SI, SON PRI"/>
    <s v="ok tienen todos los datos"/>
    <e v="#N/A"/>
    <e v="#N/A"/>
    <m/>
    <n v="3"/>
    <n v="10"/>
    <n v="10"/>
    <n v="10"/>
    <n v="20"/>
    <n v="15"/>
    <n v="20"/>
    <n v="16.5"/>
    <n v="13.5"/>
    <n v="88.5"/>
    <n v="0.4"/>
    <m/>
    <n v="2"/>
    <n v="4.5"/>
    <n v="3"/>
    <n v="4"/>
    <n v="2"/>
    <n v="4"/>
    <n v="6"/>
    <n v="4.5"/>
    <n v="91.5"/>
    <n v="0.5"/>
    <n v="0.5"/>
    <e v="#N/A"/>
    <m/>
    <m/>
    <n v="0"/>
    <s v="EN ORDEN"/>
    <n v="0"/>
    <s v="Administración de Negocios"/>
    <s v="Pres. para revision docs nutresa"/>
    <s v="001"/>
    <e v="#N/A"/>
  </r>
  <r>
    <s v="CC"/>
    <n v="1127618937"/>
    <s v="1000407875"/>
    <s v="DANIELA VALENTINA MONTILLA AGUANCHA"/>
    <s v="Estudios por primera vez"/>
    <x v="5"/>
    <s v="Cumple Nutresa"/>
    <m/>
    <s v="En publico objetivo"/>
    <s v="2da Cohorte"/>
    <s v="Admitido"/>
    <s v="dvmontilla@eafit.edu.co"/>
    <e v="#N/A"/>
    <s v="danielamontilla296@gmail.com"/>
    <s v="314/345-7004"/>
    <d v="2025-05-16T00:00:00"/>
    <s v="Activo en Programa"/>
    <s v="084-Derecho"/>
    <s v="Escuela de Derecho"/>
    <d v="2006-12-29T00:00:00"/>
    <n v="18"/>
    <s v="Distrito Metropolit.De Caraca"/>
    <s v="Caracas"/>
    <s v="Mujer"/>
    <s v="Soltero"/>
    <s v="NO"/>
    <s v="SI"/>
    <s v="Caracas"/>
    <s v="NO"/>
    <s v="NA"/>
    <s v="NO"/>
    <s v="NA"/>
    <s v="NO"/>
    <s v="NA"/>
    <s v="No"/>
    <s v="314/345-7004"/>
    <s v="314/345-7004"/>
    <s v="Estrato 3"/>
    <s v="CR 58 77 41"/>
    <s v="Antioquia"/>
    <s v="Itagui"/>
    <s v="No aplica, no soy foráneo"/>
    <s v="Arriendo"/>
    <s v="SI"/>
    <s v="2024"/>
    <s v="AC202431987270"/>
    <n v="323"/>
    <n v="56"/>
    <n v="67"/>
    <s v="Pública"/>
    <s v="I.E. BENEDIKTA ZUR NIEDEN"/>
    <n v="2024"/>
    <s v="Antioquia"/>
    <s v="Itagui"/>
    <s v="BACHILLER"/>
    <s v="TECN"/>
    <s v="TIPO: Pública, INSTITUCION: I.E. BENEDIKTA ZUR NIEDEN, AÑO: 2024, CIUDAD: Itagui, TITULO: BACHILLER"/>
    <s v="11"/>
    <s v="Escala de 0 - 5"/>
    <s v="Escala de 0 - 5"/>
    <s v="3,7"/>
    <s v="4,4"/>
    <m/>
    <s v="3,3"/>
    <s v="4,5"/>
    <m/>
    <n v="4"/>
    <n v="4"/>
    <m/>
    <n v="4.5"/>
    <n v="5"/>
    <m/>
    <s v="4,5"/>
    <s v="4,3"/>
    <m/>
    <s v="4,5"/>
    <s v="4,2"/>
    <m/>
    <s v="5"/>
    <s v="4,3"/>
    <m/>
    <s v="De 9 y 10"/>
    <n v="4.375"/>
    <s v="NO"/>
    <s v="NA"/>
    <n v="0"/>
    <n v="0"/>
    <s v="No"/>
    <n v="45"/>
    <m/>
    <n v="50"/>
    <m/>
    <n v="45"/>
    <m/>
    <m/>
    <n v="46.666666666666664"/>
    <s v="Con detalle por componente"/>
    <s v="Deportistas de alto rendimiento o representativo,Trabajo social o comunitario"/>
    <s v="Yo me visualizo ejerciendo como juez, logrando que mis conocimientos tengan el poder de ayudar a los demás, siempre he dicho que logrando ser una gran abogada iba a poder conseguir defender a aquellas personas que por si solas no pueden defenderse; pero lo estuve pensando mucho y ser una buena abogada no basta para cumplir mis objetivos. Por eso me convertiré en juez, para poder transformar y cambiar el sistema, porque sé que cuando nuestro poder es más grande la responsabilidad que recae sobre nosotros también lo es y estoy dispuesta a crear un mundo donde se inspire a las personas a actuar de la manera correcta, sé que no será un mundo utópico, pero me basta con tener la esperanza y el objetivo de vivir de la mejor manera posible; soy consciente de que Eafit es lugar que necesito para cumplir mi sueño y haré todo lo que esté en mi poder para conseguirlo."/>
    <s v="Estudiantes de EAFIT"/>
    <s v="Por la oferta académica."/>
    <s v="Vocación."/>
    <n v="4"/>
    <s v="1"/>
    <s v="SI"/>
    <s v="SI"/>
    <s v="Entre 2 y 3 millones"/>
    <s v="No"/>
    <n v="0"/>
    <n v="0"/>
    <m/>
    <s v="SI"/>
    <s v="Beca"/>
    <s v="NO"/>
    <s v=""/>
    <s v=""/>
    <s v="Sin información"/>
    <n v="0"/>
    <m/>
    <m/>
    <m/>
    <s v=""/>
    <s v=""/>
    <m/>
    <s v=""/>
    <m/>
    <s v=""/>
    <m/>
    <m/>
    <s v="Lo único que sé de él es que nos abandonó cuando yo tenía un año de edad y nunca más volvimos a saber de él."/>
    <s v="Si"/>
    <s v="Amira Meredith Aguancha Espalza"/>
    <s v="Soltero"/>
    <s v="BACHILLERATO"/>
    <s v="37"/>
    <s v="Manicurista"/>
    <s v="Desempleado (Se encuentra en la búsqueda activa de empleo)"/>
    <s v="Manicurista"/>
    <s v="NINGUNA"/>
    <n v="0"/>
    <s v="Si"/>
    <s v="NO"/>
    <s v="NO"/>
    <s v="Mi mamá es la mujer que siempre ha estado para mi hermana y para mi, ella es una madre soltera que tuvo que salir adelante con dos niñas pequeñas desde los 18 años, me siento totalmente orgullosa de la mujer que ella es y todo lo que ha dado por mi."/>
    <n v="0"/>
    <s v="Si"/>
    <s v="Erika Sharick Montilla Aguancha"/>
    <s v="Hermano / Hermana"/>
    <s v="19"/>
    <s v="Ninguna"/>
    <s v="Ninguna"/>
    <n v="0"/>
    <s v="No"/>
    <s v="Liseth Carolina Aguancha Espalza"/>
    <s v="Tío / Tía"/>
    <s v="24"/>
    <s v="Asesora de viajes"/>
    <s v="IGT Services and Technologies Colombia SAS"/>
    <n v="3000000"/>
    <s v="Si"/>
    <s v="Osiris Espalza Valera"/>
    <s v="Abuelo / Abuela"/>
    <s v="58"/>
    <s v="Ninguna"/>
    <s v="Ninguna"/>
    <n v="0"/>
    <s v="No"/>
    <s v="Afortunadamente tengo una familia que siempre me ha apoyado en todo, y me apoya con mi sueño de poder entrar a la universidad, mi hermana también espera poder entrar a una universidad este año y como familia estamos haciendo todo lo posible para que nosotras seamos las primeras en entrar a la universidad."/>
    <n v="0"/>
    <n v="0"/>
    <n v="0"/>
    <n v="0"/>
    <n v="0"/>
    <s v="No"/>
    <s v=""/>
    <s v=""/>
    <n v="0"/>
    <s v="No"/>
    <s v=""/>
    <s v=""/>
    <n v="0"/>
    <s v="No"/>
    <s v=""/>
    <s v=""/>
    <s v=""/>
    <n v="0"/>
    <m/>
    <n v="4"/>
    <n v="4"/>
    <n v="3"/>
    <n v="4"/>
    <n v="4"/>
    <n v="3"/>
    <n v="4"/>
    <n v="4"/>
    <n v="3"/>
    <n v="4"/>
    <n v="37"/>
    <s v="SI"/>
    <m/>
    <s v="SI, SON PRI"/>
    <s v="ok tienen todos los datos"/>
    <e v="#N/A"/>
    <e v="#N/A"/>
    <m/>
    <n v="2"/>
    <n v="10"/>
    <n v="8"/>
    <n v="5"/>
    <n v="15"/>
    <n v="15"/>
    <n v="20"/>
    <n v="20"/>
    <n v="20"/>
    <n v="85"/>
    <s v="80 - 100%"/>
    <m/>
    <n v="3.5"/>
    <n v="4.5"/>
    <n v="8"/>
    <n v="4"/>
    <n v="3.5"/>
    <n v="4"/>
    <n v="8"/>
    <n v="4.5"/>
    <n v="83"/>
    <s v="80 - 100%"/>
    <n v="1"/>
    <s v="DANIELA VALENTINA MONTILLA AGUANCHA"/>
    <m/>
    <m/>
    <n v="0"/>
    <s v="EN ORDEN"/>
    <n v="0"/>
    <s v="Derecho"/>
    <s v="Pres. para revision docs nutresa"/>
    <m/>
    <s v="NUTRESA"/>
  </r>
  <r>
    <s v="CC"/>
    <n v="1127625693"/>
    <s v="1000352865"/>
    <s v="BRENDA ARIANNA AGUDELO VARGAS"/>
    <s v="Estudios por primera vez"/>
    <x v="1"/>
    <s v="Descartado por bajo icfes"/>
    <m/>
    <s v="En publico objetivo"/>
    <s v="3ra Cohorte"/>
    <s v="Admitido"/>
    <s v="baagudelov@eafit.edu.co"/>
    <e v="#N/A"/>
    <s v="agudelobrenda13@gmail.com"/>
    <s v="573002789010"/>
    <d v="2025-05-30T00:00:00"/>
    <s v="Activo en Programa"/>
    <s v="169-Mercadeo"/>
    <s v="Escuela de Administración"/>
    <d v="2005-09-13T00:00:00"/>
    <n v="20"/>
    <s v="Distrito Metropolit.De Caraca"/>
    <s v="Caracas"/>
    <s v="Mujer"/>
    <s v="Soltero"/>
    <s v="NO"/>
    <s v="NO"/>
    <n v="0"/>
    <s v="NO"/>
    <s v="NA"/>
    <s v="NO"/>
    <s v="NA"/>
    <s v="NO"/>
    <s v="NA"/>
    <s v="No"/>
    <s v="300/278-9010"/>
    <s v="573002789010"/>
    <s v="Estrato 3"/>
    <s v="Cra 45 N 88-34 int 202"/>
    <s v="Antioquia"/>
    <s v="Medellín"/>
    <s v="No aplica, no soy foráneo"/>
    <s v="Arriendo"/>
    <s v="SI"/>
    <s v="2023"/>
    <s v="AC202343924024"/>
    <n v="314"/>
    <n v="63"/>
    <n v="67"/>
    <s v="Pública"/>
    <s v="INST EDUC CAMPO VALDES"/>
    <n v="2023"/>
    <s v="Antioquia"/>
    <s v="Medellín"/>
    <s v="BACHILLER"/>
    <s v="ACAD"/>
    <s v="TIPO: Pública, INSTITUCION: INST EDUC CAMPO VALDES, AÑO: 2023, CIUDAD: Medellín, TITULO: BACHILLER"/>
    <s v="11"/>
    <s v="Escala de 0 - 5"/>
    <s v="Escala de 0 - 5"/>
    <s v="4"/>
    <s v="4"/>
    <m/>
    <s v="3,5"/>
    <s v="3,5"/>
    <m/>
    <n v="3.8"/>
    <n v="3.8"/>
    <m/>
    <n v="3.7"/>
    <n v="3.8"/>
    <m/>
    <s v="4,6"/>
    <s v="4,8"/>
    <m/>
    <s v="4,2"/>
    <s v="4,2"/>
    <m/>
    <s v="4,5"/>
    <s v="4,6"/>
    <m/>
    <s v="De 9 y 10"/>
    <n v="3.7750000000000004"/>
    <s v="NO"/>
    <s v="NA"/>
    <n v="0"/>
    <n v="0"/>
    <s v="No"/>
    <n v="30"/>
    <m/>
    <n v="45"/>
    <m/>
    <n v="50"/>
    <m/>
    <m/>
    <n v="41.666666666666664"/>
    <s v="Con detalle por componente"/>
    <s v="Trabajo social o comunitario"/>
    <s v="Me visualizo trabajando en una empresa de manera creativa por el mundo del mercadeo, donde puedo usar mis conocimientos para innovar. Imagino un ambiente dinámico, con un equipo comprometido. Me gustaría liderar campañas que no solo sean creativas, sino que tengas un impacto positivo en la comunidad. _x000a_Obtener la beca para estudiar mercadeo en la universidad EAFIT sería algo muy importante para mi, no solo porque representa un logro personal, sino que también podré adquirir habilidades necesarias para transformar mi lugar de origen, que es Caracas, Venezuela. Quiero aplicar lo que aprenda para ayudar a las pequeñas empresas de mi lugar de origen a crecer y destacar en el mercado. Considero que con estrategias adecuadas y un enfoque en el cliente, podremos hacer que las personas conozcan lo que ofrecemos. Además me gustaria involucrarme en promover el emprendimiento juvenil, a través de capacitaciones, puedo compartir mis conocimientos adquiridos en la Universidad y por mis propios trabajos, para motivar a los jóvenes a desarrollar sus propias ideas, y a saber cómo poder llegarle al consumidor. Me visualizo más adelante con un trabajo de mercadeo donde no solo me genere ingresos sino también inspire a cambios positivos en mi comunidad. Con la beca puedo dar los primeros pasos hacia una carrera que no solo me apasiona, sino que también me permitirá hacer una diferencia significativa en mi comunidad."/>
    <s v="Estudiantes de EAFIT"/>
    <s v="Por la calidad académica."/>
    <s v="Alta proyección de ingresos."/>
    <n v="4"/>
    <s v="2"/>
    <s v="NO"/>
    <s v="SI"/>
    <s v="Entre 1 y 2 millones"/>
    <s v="No"/>
    <n v="0"/>
    <n v="0"/>
    <m/>
    <s v="SI"/>
    <m/>
    <s v="NO"/>
    <s v=""/>
    <s v=""/>
    <s v="Si"/>
    <s v="Leonardo Antonio Agudelo"/>
    <s v="Soltero"/>
    <s v="BACHILLERATO"/>
    <s v="41"/>
    <s v="Trabajador Independiente"/>
    <s v="Independiente (trabaja por cuenta propia)"/>
    <s v="Contratista"/>
    <s v="trabajo independiente"/>
    <n v="1800000"/>
    <s v="Si"/>
    <s v="NO"/>
    <s v="SI"/>
    <s v="Trabajador independiente"/>
    <s v="Si"/>
    <s v="Carmen Cecilia Vargas Luna"/>
    <s v="Soltero"/>
    <s v="BACHILLERATO"/>
    <s v="44"/>
    <s v="oficios varios"/>
    <s v="Empleado (con contrato laboral)"/>
    <s v="oficios varios"/>
    <s v="Calisto"/>
    <n v="1623000"/>
    <s v="Si"/>
    <s v="NO"/>
    <s v="SI"/>
    <s v="Trabajadora de Calisto, con contrato laboral indefinido"/>
    <n v="3423000"/>
    <s v="Si"/>
    <s v="Karen Daniela Agudelo Vargas"/>
    <s v="Hermano / Hermana"/>
    <s v="21"/>
    <s v="Estudiante"/>
    <s v="Universidad EAFIT"/>
    <n v="0"/>
    <s v="No"/>
    <s v="Gabriel Alejandro Agudelo Vargas"/>
    <s v="Hermano / Hermana"/>
    <s v="10"/>
    <s v="Estudiante"/>
    <s v="Institucion Educativa Juan De Dios Cock"/>
    <n v="0"/>
    <s v="No"/>
    <s v=""/>
    <s v=""/>
    <s v=""/>
    <s v=""/>
    <s v=""/>
    <m/>
    <s v=""/>
    <s v="grupo familiar conformado por 5 personas, padre madre y dos hermanos. solo los padres aportan economicamente al hogar"/>
    <n v="0"/>
    <n v="0"/>
    <n v="0"/>
    <n v="0"/>
    <n v="0"/>
    <s v="Si"/>
    <s v="YAMAHA"/>
    <s v="2017"/>
    <n v="4000000"/>
    <s v="No"/>
    <s v=""/>
    <s v=""/>
    <n v="0"/>
    <s v="No"/>
    <s v=""/>
    <s v=""/>
    <s v=""/>
    <n v="0"/>
    <s v="solo una moto"/>
    <n v="4"/>
    <n v="3"/>
    <n v="3"/>
    <n v="3"/>
    <n v="4"/>
    <n v="2"/>
    <n v="3"/>
    <n v="3"/>
    <n v="2"/>
    <n v="3"/>
    <n v="30"/>
    <s v="SI"/>
    <m/>
    <s v="SI, SON PRI"/>
    <s v="ok tienen todos los datos"/>
    <e v="#N/A"/>
    <e v="#N/A"/>
    <m/>
    <n v="3"/>
    <n v="10"/>
    <n v="8"/>
    <n v="5"/>
    <n v="10"/>
    <n v="10"/>
    <n v="10"/>
    <n v="20"/>
    <n v="20"/>
    <n v="65"/>
    <s v="80 - 100%"/>
    <m/>
    <n v="3.5"/>
    <n v="4.5"/>
    <n v="8"/>
    <n v="4"/>
    <n v="3.5"/>
    <n v="4"/>
    <n v="8"/>
    <n v="4.5"/>
    <n v="63"/>
    <s v="80 - 100%"/>
    <n v="0.7"/>
    <e v="#N/A"/>
    <m/>
    <m/>
    <n v="0"/>
    <m/>
    <m/>
    <s v="Mercadeo"/>
    <e v="#N/A"/>
    <s v="169"/>
    <e v="#N/A"/>
  </r>
  <r>
    <s v="CC"/>
    <n v="1128445173"/>
    <s v="1000404704"/>
    <s v="SAMUEL GONZALEZ PEREZ"/>
    <s v="Transferencia Externa"/>
    <x v="1"/>
    <s v="No cumple, otros estudios de pregrado"/>
    <m/>
    <s v="En publico objetivo"/>
    <s v="1er Cohorte"/>
    <s v="Admitido"/>
    <s v="sgonzalep3@eafit.edu.co"/>
    <e v="#N/A"/>
    <s v="gonper.samuel@gmail.com"/>
    <s v="319/234-7716"/>
    <d v="2025-04-25T00:00:00"/>
    <s v="Activo en Programa"/>
    <s v="010-Ingeniería de Sistemas"/>
    <s v="E Ciencias Aplic e Ingeniería"/>
    <d v="2005-06-03T00:00:00"/>
    <n v="20"/>
    <s v="Antioquia"/>
    <s v="Medellín"/>
    <s v="Hombre"/>
    <s v="Soltero"/>
    <s v="NO"/>
    <s v="NO"/>
    <n v="0"/>
    <s v="NO"/>
    <s v="NA"/>
    <s v="NO"/>
    <s v="NA"/>
    <s v="NO"/>
    <s v="NA"/>
    <s v="No"/>
    <s v="319/234-7716"/>
    <s v="319/234-7716"/>
    <s v="Estrato 3"/>
    <s v="CL 10 B SUR 52 61"/>
    <s v="Antioquia"/>
    <s v="Medellín"/>
    <s v="No aplica, no soy foráneo"/>
    <s v="Arriendo"/>
    <s v="SI"/>
    <s v="2022"/>
    <s v="AC202240728238"/>
    <n v="345"/>
    <n v="64"/>
    <n v="74"/>
    <s v="Privada"/>
    <s v="COL SAN GABRIEL DE LA DOLOROSA"/>
    <n v="2022"/>
    <s v="Antioquia"/>
    <s v="Medellín"/>
    <s v="BACHILLER"/>
    <s v="ACAD"/>
    <s v="TIPO: Privada, INSTITUCION: COL SAN GABRIEL DE LA DOLOROSA, AÑO: 2022, CIUDAD: Medellín, TITULO: BACHILLER"/>
    <n v="0"/>
    <n v="0"/>
    <s v="PCA TEX"/>
    <m/>
    <m/>
    <m/>
    <m/>
    <m/>
    <m/>
    <m/>
    <m/>
    <m/>
    <m/>
    <m/>
    <m/>
    <m/>
    <m/>
    <m/>
    <m/>
    <m/>
    <m/>
    <m/>
    <m/>
    <m/>
    <s v="Ver PCA TEX"/>
    <n v="3.9"/>
    <s v="SI"/>
    <s v="TIPO: Pública, INSTITUCION: INSTITUCIÓN UNV. PASCUAL BRAVO, AÑO: 0, CIUDAD: Medellín, TITULO: INGENIERO DE SOFTWARE (Medellín)"/>
    <s v="PREGRADO"/>
    <s v=" TITULO: INGENIERO DE SOFTWARE (Medellín)"/>
    <s v="No"/>
    <n v="45"/>
    <m/>
    <n v="45"/>
    <m/>
    <n v="50"/>
    <m/>
    <m/>
    <n v="46.666666666666664"/>
    <s v="Con detalle por componente"/>
    <s v="Espacios de liderazgo o representación social,Trabajo social o comunitario,Artísticas o culturales"/>
    <s v="Donde pesa la idea_x000a__x000a_Hoy, como estudiante de Ingeniería de Sistemas en EAFIT, reafirmo mi compromiso de aprovechar al máximo esta oportunidad académica para alcanzar mis metas profesionales y contribuir activamente a mi comunidad. Para mí, EAFIT siempre ha representado un espacio de innovación y excelencia. Ahora, como integrante y beneficiario de esta beca, quiero potenciar mis habilidades para inspirar, crear y transformar desde el ámbito tecnológico._x000a_Sigo de cerca departamentos como NODO y grupos como NOVA, que promueven ecosistemas digitales, y tengo la firme intención de participar en eventos y semilleros de investigación, convencido de que representan espacios fundamentales para fortalecer habilidades técnicas y de liderazgo._x000a_La obtención de esta beca no solo me permitirá acceder a una formación de alta calidad, sino también dedicar más tiempo a la investigación, semilleros, talleres especializados y potenciar mis capacidades duras y blandas, construyendo así una marca personal competitiva orientada a la transformación social y digital._x000a_Mi visión es clara: impulsar proyectos que generen empleo, apoyar PYMEs en sectores estratégicos del ecosistema urbano y contribuir al crecimiento regional, dejando una huella positiva en la evolución de Medellín._x000a_Estoy convencido que la formación integral que ofrecen, sumada a mi pasión por el emprendimiento e innovación, será el motor que materialice mis aspiraciones y, al tiempo, fortalezca mi compromiso de generar un impacto positivo en mi comunidad. Busco crear soluciones tecnológicas que aporten valor social y resuelvan desafíos reales._x000a_Agradezco profundamente la oportunidad de postularme a esta beca y el tiempo dedicado a leer estas líneas. Asumo este reto con responsabilidad y entusiasmo, dispuesto a aprovechar cada espacio de aprendizaje para crecer como profesional y ser humano. Más que una meta personal, veo en esta oportunidad un punto de partida para construir, junto a EAFIT, un camino donde además de acción, pese la idea."/>
    <s v="Redes sociales"/>
    <s v="Por la calidad académica."/>
    <s v="Vocación."/>
    <n v="4"/>
    <s v="3"/>
    <s v="NO"/>
    <s v="NO"/>
    <s v="Entre 8 y 9 millones"/>
    <s v="No"/>
    <s v="SI"/>
    <n v="0"/>
    <m/>
    <s v="SI"/>
    <s v="Beca"/>
    <s v="NO"/>
    <s v=""/>
    <s v=""/>
    <s v="Si"/>
    <s v="Oscar Eduardo González Rendón"/>
    <s v="Casado"/>
    <s v="TECNOLOGÍA"/>
    <s v="50"/>
    <s v="Tecnólogo Industrial"/>
    <s v="Empleado (con contrato laboral)"/>
    <s v="Líder de ingeniería del producto"/>
    <s v="ALICO S.A.S"/>
    <n v="6700000"/>
    <s v="Si"/>
    <s v="NO"/>
    <s v="NO"/>
    <s v="Mi padre es tecnólogo industrial, líder de producto en Alico S.A.S, vive con nosotros, aporta económicamente en mi hogar y siempre ha servido como un ejemplo de superación además de profesional, debido a responsabilidades financieras y la situación económica no le es posible apoyarme con el pago total de matrícula, pero siempre me ha impulsado a buscar oportunidades como esta."/>
    <s v="Si"/>
    <s v="Luz Aida Pérez Muñoz"/>
    <s v="Casado"/>
    <s v="BACHILLERATO"/>
    <s v="45"/>
    <s v="ama de casa"/>
    <s v="Labores del hogar y cuidado"/>
    <s v="Ama de casa"/>
    <s v="Hogar"/>
    <n v="0"/>
    <s v="Si"/>
    <s v="NO"/>
    <s v="NO"/>
    <s v="Mi madre es ama de casa y actualmente se dedica a tareas del hogar y al cuidado de mi abuelo, quien es un adulto mayor. Es una mujer de grandes valores y cualidades, a quien admiro profundamente. Siempre me ha brindado su apoyo incondicional y ha sido un pilar fundamental en mi formación, motivándome constantemente a buscar oportunidades y superarme."/>
    <n v="6700000"/>
    <s v="Si"/>
    <s v="Sergio González Pérez"/>
    <s v="Hermano / Hermana"/>
    <s v="19"/>
    <s v="Estudiante"/>
    <s v="Universidad de Antioquia"/>
    <n v="0"/>
    <s v="No"/>
    <s v="Pastor Elías Pérez Ospina"/>
    <s v="Abuelo / Abuela"/>
    <s v="79"/>
    <s v="Pensionado"/>
    <s v="N/A"/>
    <m/>
    <s v="No"/>
    <s v=""/>
    <s v=""/>
    <s v=""/>
    <s v=""/>
    <s v=""/>
    <m/>
    <s v=""/>
    <s v="Actualmente vivimos bajo arrendamiento, mi padre se hace cargo de los gastos del hogar y tengo una hermana mayor que no vive con nosotros"/>
    <n v="0"/>
    <n v="0"/>
    <n v="0"/>
    <n v="0"/>
    <n v="0"/>
    <s v="No"/>
    <s v=""/>
    <s v=""/>
    <n v="0"/>
    <s v="No"/>
    <s v=""/>
    <s v=""/>
    <n v="0"/>
    <s v="No"/>
    <s v=""/>
    <s v=""/>
    <s v=""/>
    <n v="0"/>
    <s v="No contamos con bienes familiares actualmente"/>
    <n v="3"/>
    <n v="4"/>
    <n v="4"/>
    <n v="4"/>
    <n v="4"/>
    <n v="4"/>
    <n v="3"/>
    <n v="4"/>
    <n v="4"/>
    <n v="4"/>
    <n v="38"/>
    <s v="SI"/>
    <m/>
    <s v="SI, SON TEX, EN LUGAR DE NOTAS TIENEN PCA"/>
    <s v="ok tienen todos los datos"/>
    <s v="Negada Talento"/>
    <n v="20241"/>
    <m/>
    <n v="3"/>
    <n v="10"/>
    <n v="8"/>
    <n v="10"/>
    <n v="10"/>
    <n v="15"/>
    <n v="20"/>
    <n v="13.5"/>
    <n v="13.5"/>
    <n v="78.5"/>
    <n v="0.4"/>
    <m/>
    <n v="2"/>
    <n v="4.5"/>
    <n v="3"/>
    <n v="4"/>
    <n v="2"/>
    <n v="4"/>
    <n v="3"/>
    <n v="4.5"/>
    <n v="76.5"/>
    <n v="0.4"/>
    <n v="0.4"/>
    <e v="#N/A"/>
    <m/>
    <m/>
    <n v="0"/>
    <m/>
    <m/>
    <s v="Ingeniería de Sistemas"/>
    <e v="#N/A"/>
    <s v="010"/>
    <e v="#N/A"/>
  </r>
  <r>
    <s v="CC"/>
    <n v="1128904414"/>
    <s v="1000406873"/>
    <s v="JUAN FELIPE BEDOYA MARIN"/>
    <s v="Transferencia Externa"/>
    <x v="1"/>
    <s v="No cumple, otros estudios de pregrado"/>
    <m/>
    <s v="En publico objetivo"/>
    <s v="2da Cohorte"/>
    <s v="Admitido"/>
    <s v="jfbedoyam1@eafit.edu.co"/>
    <e v="#N/A"/>
    <s v="bedoyajuan432@gmail.com"/>
    <s v="312/862-0852"/>
    <d v="2025-05-16T00:00:00"/>
    <s v="Activo en Programa"/>
    <s v="237-Diseño Interactivo"/>
    <s v="Escuela de Artes y Humanidades"/>
    <d v="2005-10-20T00:00:00"/>
    <n v="20"/>
    <s v="Risaralda"/>
    <s v="Pereira"/>
    <s v="Hombre"/>
    <s v="Soltero"/>
    <s v="NO"/>
    <s v="NO"/>
    <n v="0"/>
    <s v="NO"/>
    <s v="NA"/>
    <s v="NO"/>
    <s v="NA"/>
    <s v="NO"/>
    <s v="NA"/>
    <s v="No"/>
    <s v="312/862-0852"/>
    <s v="312/862-0852"/>
    <s v="Estrato 3"/>
    <s v="CR 100 A #47 E- 20 ED ALEJANDRES AP 201"/>
    <s v="Antioquia"/>
    <s v="Medellín"/>
    <s v="No aplica, no soy foráneo"/>
    <s v="Arriendo"/>
    <s v="SI"/>
    <s v="2022"/>
    <s v="AC202246030878"/>
    <n v="350"/>
    <n v="68"/>
    <n v="74"/>
    <s v="Pública"/>
    <s v="I.E. FRANCISCO ANTONIO ZEA"/>
    <n v="2022"/>
    <s v="Antioquia"/>
    <s v="Bello"/>
    <s v="BACHILLER"/>
    <s v="ACAD"/>
    <s v="TIPO: Pública, INSTITUCION: I.E. FRANCISCO ANTONIO ZEA, AÑO: 2022, CIUDAD: Medellín, TITULO: BACHILLER"/>
    <n v="0"/>
    <n v="0"/>
    <s v="PCA TEX"/>
    <m/>
    <m/>
    <m/>
    <m/>
    <m/>
    <m/>
    <m/>
    <m/>
    <m/>
    <m/>
    <m/>
    <m/>
    <m/>
    <m/>
    <m/>
    <m/>
    <m/>
    <m/>
    <m/>
    <m/>
    <m/>
    <s v="Ver PCA TEX"/>
    <n v="3.9"/>
    <s v="SI"/>
    <s v="TIPO: Pública, INSTITUCION: INST. TECNOLOGICO METROPOLITAN, AÑO: 0, CIUDAD: Medellín, TITULO: INGENIERO (A)  DE SISTEMAS (Medellín)"/>
    <s v="PREGRADO"/>
    <s v=" TITULO: INGENIERO (A)  DE SISTEMAS (Medellín)"/>
    <s v="No"/>
    <n v="45"/>
    <m/>
    <n v="40"/>
    <m/>
    <n v="40"/>
    <m/>
    <m/>
    <n v="41.666666666666664"/>
    <s v="Con detalle por componente"/>
    <s v="Espacios de liderazgo o representación social"/>
    <s v="Me visualizo generando soluciones para pymes y entidades de la ciudad, buscando hacer más eficientes sus procesos internos, la manera en que interactúan con sus clientes y cómo se ven ante el público. Todo esto mejora la calidad de vida de las personas, ya que pueden utilizar su tiempo en lo que deseen y no atrapadas en procesos ineficientes y frustrantes cada día, como los que se encuentran en sectores clave como salud, gobierno y financiero._x000a__x000a_Esto lo quiero lograr especializándome en la creación y uso de herramientas digitales. Creando plataformas más eficientes y amigables para todos, optimizando información, comunicando datos de manera clara y utilizando datos relevantes para diseñar procesos que mejoren la experiencia del usuario. Esto incluye la incorporación de herramientas de accesibilidad, como aplicaciones compatibles con lectores de pantalla y otras ayudas técnicas. Por ejemplo en Sura, unificar sus plataformas y simplificar sus flujos para facilitar el uso a personas mayores y jóvenes que inician su vida adulta o en Bancolombia, reorganizar la información para mostrar de manera intuitiva qué trámites pueden hacerse en cada canal (app, web o sucursal), reduciendo visitas presenciales innecesarias y tiempos de espera._x000a__x000a_También deseo aprovechar todas las oportunidades de conexión y emprendimiento que ofrece EAFIT, como los Media Lab, para promover e implementar soluciones digitales verdaderamente accesibles para quienes las necesiten."/>
    <s v="Amigos"/>
    <s v="Por la calidad académica."/>
    <s v="Vocación."/>
    <n v="1"/>
    <s v="1"/>
    <s v="NO"/>
    <s v="NO"/>
    <s v="Entre 3 y 4 millones"/>
    <s v="No"/>
    <n v="0"/>
    <n v="0"/>
    <m/>
    <s v="SI"/>
    <s v="Beca"/>
    <s v="NO"/>
    <s v=""/>
    <s v=""/>
    <s v="No, fallecido"/>
    <n v="0"/>
    <m/>
    <m/>
    <m/>
    <s v=""/>
    <s v=""/>
    <m/>
    <s v=""/>
    <m/>
    <s v=""/>
    <m/>
    <m/>
    <s v=""/>
    <s v="Si"/>
    <s v="Laura Maria Marin Ramirez"/>
    <s v="Otro"/>
    <s v="TÉCNICA"/>
    <s v="56"/>
    <s v="Tecnica en sistemas"/>
    <s v="Empleado (con contrato laboral)"/>
    <s v="Auxiliar de Garantias"/>
    <s v="Automotora"/>
    <n v="2052750"/>
    <s v="Si"/>
    <s v="NO"/>
    <s v="NO"/>
    <m/>
    <n v="2052750"/>
    <s v="No, solo vivo con mis padres"/>
    <s v=""/>
    <s v=""/>
    <s v=""/>
    <s v=""/>
    <s v=""/>
    <m/>
    <s v=""/>
    <s v=""/>
    <s v=""/>
    <s v=""/>
    <s v=""/>
    <s v=""/>
    <m/>
    <s v=""/>
    <s v=""/>
    <s v=""/>
    <s v=""/>
    <s v=""/>
    <s v=""/>
    <m/>
    <s v=""/>
    <s v=""/>
    <n v="108288000"/>
    <n v="0"/>
    <n v="0"/>
    <n v="0"/>
    <n v="0"/>
    <s v="No"/>
    <s v=""/>
    <s v=""/>
    <n v="0"/>
    <s v="No"/>
    <s v=""/>
    <s v=""/>
    <n v="0"/>
    <s v="No"/>
    <s v=""/>
    <s v=""/>
    <s v=""/>
    <n v="0"/>
    <m/>
    <n v="3"/>
    <n v="4"/>
    <n v="4"/>
    <n v="4"/>
    <n v="3"/>
    <n v="4"/>
    <n v="3"/>
    <n v="4"/>
    <n v="4"/>
    <n v="3"/>
    <n v="36"/>
    <s v="SI"/>
    <m/>
    <s v="SI, SON TEX, EN LUGAR DE NOTAS TIENEN PCA"/>
    <s v="ok tienen todos los datos"/>
    <e v="#N/A"/>
    <e v="#N/A"/>
    <m/>
    <n v="3"/>
    <n v="10"/>
    <n v="8"/>
    <n v="10"/>
    <n v="10"/>
    <n v="15"/>
    <n v="10"/>
    <n v="16.5"/>
    <n v="17"/>
    <n v="72"/>
    <n v="0.5"/>
    <m/>
    <n v="3.5"/>
    <n v="3.5"/>
    <n v="8"/>
    <n v="2"/>
    <n v="3.5"/>
    <n v="3"/>
    <n v="8"/>
    <n v="2"/>
    <n v="69.5"/>
    <n v="0.5"/>
    <n v="0.4"/>
    <e v="#N/A"/>
    <m/>
    <m/>
    <n v="0"/>
    <m/>
    <m/>
    <s v="Diseño Interactivo"/>
    <e v="#N/A"/>
    <s v="237"/>
    <e v="#N/A"/>
  </r>
  <r>
    <s v="CC"/>
    <n v="1137060004"/>
    <s v="1000408575"/>
    <s v="SAMANTHA VILLA GAVIRIA"/>
    <s v="Estudios por primera vez"/>
    <x v="2"/>
    <s v="No cumple, puntaje ICFES menor a 300"/>
    <m/>
    <s v="En publico objetivo"/>
    <s v="2da Cohorte"/>
    <s v="Admitido"/>
    <s v="svillag6@eafit.edu.co"/>
    <e v="#N/A"/>
    <s v="smvgvg@gmail.com"/>
    <s v="573053193718"/>
    <d v="2025-05-16T00:00:00"/>
    <s v="Activo en Programa"/>
    <s v="003-Economía"/>
    <s v="E.Finanzas, Economía, Gobierno"/>
    <d v="2007-02-11T00:00:00"/>
    <n v="18"/>
    <s v="Risaralda"/>
    <s v="Pereira"/>
    <s v="Mujer"/>
    <s v="Soltero"/>
    <s v="NO"/>
    <s v="NO"/>
    <n v="0"/>
    <s v="NO"/>
    <s v="NA"/>
    <s v="NO"/>
    <s v="NA"/>
    <s v="NO"/>
    <s v="NA"/>
    <s v="No"/>
    <s v="604 422 5039"/>
    <s v="573053193718"/>
    <s v="Estrato 3"/>
    <s v="CR 86 B 49 A 44"/>
    <s v="Antioquia"/>
    <s v="Medellín"/>
    <s v="No aplica, no soy foráneo"/>
    <s v="Arriendo"/>
    <s v="SI"/>
    <s v="2023"/>
    <s v="AC202343957131"/>
    <n v="215"/>
    <n v="40"/>
    <n v="41"/>
    <s v="Pública"/>
    <s v="INST EDUC SANTA ROSA DE LIMA"/>
    <n v="2023"/>
    <s v="Antioquia"/>
    <s v="Medellín"/>
    <s v="BACHILLER"/>
    <s v="ACAD"/>
    <s v="TIPO: Pública, INSTITUCION: INST EDUC SANTA ROSA DE LIMA, AÑO: 2023, CIUDAD: Medellín, TITULO: BACHILLER"/>
    <s v="11"/>
    <s v="Escala de 0 - 5"/>
    <s v="Escala de 0 - 5"/>
    <s v="3,8"/>
    <s v="4"/>
    <m/>
    <s v="4,6"/>
    <s v="5"/>
    <m/>
    <n v="4.5"/>
    <n v="4.2"/>
    <m/>
    <n v="4.5999999999999996"/>
    <n v="4.7"/>
    <m/>
    <s v="4,9"/>
    <s v="4,5"/>
    <m/>
    <s v="4,5"/>
    <s v="4,5"/>
    <m/>
    <s v="3,6"/>
    <s v="4,5"/>
    <m/>
    <s v="De 9 y 10"/>
    <n v="4.5"/>
    <s v="NO"/>
    <s v="NA"/>
    <n v="0"/>
    <n v="0"/>
    <s v="No"/>
    <n v="45"/>
    <m/>
    <n v="45"/>
    <m/>
    <n v="50"/>
    <m/>
    <s v="Muy interesada en el programa._x000a_No especificó si le interesaba beca"/>
    <n v="46.666666666666664"/>
    <s v="Con detalle por componente"/>
    <s v="Artísticas o culturales,Trabajo social o comunitario"/>
    <s v="Como una gran profesional, con un alto nivel de formación, conocimiento y ética que me permitan contribuir por medio de estrategias, mecanismos, investigaciones y dinámicas implementadas y/o desarrolladas para mejorar el nivel económico de los hogares colombianos, por ende, su calidad de vida. _x000a__x000a_Diseñando y/o elaborando proyectos basados en las necesidades más importantes que tienen los sectores más vulnerables  en mi región, con el objetivo de ayudar a disminuir las problemáticas sociales que se desprenden en gran parte por la escases de recursos económicos y el poco apoyo que reciben por parte del estado."/>
    <s v="Estudiantes de EAFIT"/>
    <s v="Por la calidad académica."/>
    <s v="Alta empleabilidad."/>
    <n v="2"/>
    <s v="1"/>
    <s v="SI"/>
    <s v="NO"/>
    <s v="Entre 6 y 7 millones"/>
    <s v="No"/>
    <n v="0"/>
    <n v="0"/>
    <m/>
    <s v="SI"/>
    <m/>
    <s v="NO"/>
    <s v=""/>
    <s v=""/>
    <s v="Si"/>
    <s v="Luis Fernando Villa Villa"/>
    <s v="Soltero"/>
    <s v="TÉCNICA"/>
    <s v="63"/>
    <s v="Comerciante"/>
    <s v="Desempleado (Se encuentra en la búsqueda activa de empleo)"/>
    <s v="NA"/>
    <s v="NA"/>
    <n v="0"/>
    <s v="No"/>
    <s v="NO"/>
    <s v="NO"/>
    <s v=""/>
    <s v="Si"/>
    <s v="Luz Stella Gaviria Gallego"/>
    <s v="Otro"/>
    <s v="UNIVERSITARIOS"/>
    <s v="56"/>
    <s v="Administradora de negocios internacionales"/>
    <s v="Independiente (trabaja por cuenta propia)"/>
    <s v="Asesora de planeación financiera"/>
    <s v="Comercializadora Duque MyH S.A.S-Comercializadora Todo en Una S.A.S"/>
    <n v="7000000"/>
    <s v="Si"/>
    <s v="NO"/>
    <s v="NO"/>
    <s v="Madre cabeza de familia."/>
    <n v="7000000"/>
    <s v="Si"/>
    <s v="Valeria Villa Gaviria"/>
    <s v="Hermano / Hermana"/>
    <s v="24"/>
    <s v="Auxiliar de enfermería"/>
    <s v="Desempleada"/>
    <n v="0"/>
    <s v="No"/>
    <s v=""/>
    <s v=""/>
    <s v=""/>
    <s v=""/>
    <s v=""/>
    <m/>
    <s v=""/>
    <s v=""/>
    <s v=""/>
    <s v=""/>
    <s v=""/>
    <s v=""/>
    <m/>
    <s v=""/>
    <s v="Vivo solamente con mi mamá y mi hermana."/>
    <n v="0"/>
    <n v="0"/>
    <n v="0"/>
    <n v="0"/>
    <n v="0"/>
    <s v="No"/>
    <s v=""/>
    <s v=""/>
    <n v="0"/>
    <s v="No"/>
    <s v=""/>
    <s v=""/>
    <n v="0"/>
    <s v="No"/>
    <s v=""/>
    <s v=""/>
    <s v=""/>
    <n v="0"/>
    <m/>
    <n v="4"/>
    <n v="4"/>
    <n v="4"/>
    <n v="4"/>
    <n v="4"/>
    <n v="4"/>
    <n v="4"/>
    <n v="4"/>
    <n v="4"/>
    <n v="4"/>
    <n v="40"/>
    <s v="SI"/>
    <m/>
    <s v="SI, SON PRI"/>
    <s v="ok tienen todos los datos"/>
    <e v="#N/A"/>
    <e v="#N/A"/>
    <m/>
    <n v="2"/>
    <n v="10"/>
    <n v="8"/>
    <n v="0"/>
    <n v="20"/>
    <n v="15"/>
    <n v="20"/>
    <n v="15"/>
    <n v="13"/>
    <n v="78"/>
    <n v="0.4"/>
    <m/>
    <n v="3.5"/>
    <n v="4.5"/>
    <n v="1"/>
    <n v="4"/>
    <n v="3.5"/>
    <n v="4"/>
    <n v="3"/>
    <n v="4.5"/>
    <n v="78"/>
    <n v="0.5"/>
    <s v="Negado"/>
    <e v="#N/A"/>
    <m/>
    <m/>
    <n v="0"/>
    <m/>
    <m/>
    <s v="Economía"/>
    <e v="#N/A"/>
    <m/>
    <e v="#N/A"/>
  </r>
  <r>
    <s v="TI"/>
    <n v="1137978137"/>
    <s v="1000383897"/>
    <s v="DANIELA SOFIA SIERRA MORALES"/>
    <s v="Estudios por primera vez"/>
    <x v="1"/>
    <s v="Descartado por ingresos altos"/>
    <m/>
    <s v="En publico objetivo"/>
    <s v="1er Cohorte"/>
    <s v="Admitido"/>
    <s v="dssierram@eafit.edu.co"/>
    <s v="dssierram@eafit.edu.co"/>
    <s v="mariojsf17@gmail.com"/>
    <s v="573153442932"/>
    <d v="2025-04-25T00:00:00"/>
    <s v="Activo en Programa"/>
    <s v="013-Ingeniería Civil"/>
    <s v="E Ciencias Aplic e Ingeniería"/>
    <d v="2007-11-17T00:00:00"/>
    <n v="18"/>
    <s v="Córdoba"/>
    <s v="Montería"/>
    <s v="Mujer"/>
    <s v="Soltero"/>
    <s v="NO"/>
    <s v="NO"/>
    <n v="0"/>
    <s v="NO"/>
    <s v="NA"/>
    <s v="NO"/>
    <s v="NA"/>
    <s v="NO"/>
    <s v="NA"/>
    <s v="No"/>
    <s v="785-2590"/>
    <s v="573153442932"/>
    <s v="Estrato 3"/>
    <s v="CL 48 B 14 D- 55"/>
    <s v="Córdoba"/>
    <s v="Montería"/>
    <s v="No"/>
    <s v="Propio"/>
    <s v="SI"/>
    <s v="2024"/>
    <s v="AC202433085875"/>
    <n v="422"/>
    <n v="82"/>
    <n v="78"/>
    <s v="Privada"/>
    <s v="COL LA SALLE"/>
    <n v="2024"/>
    <s v="Córdoba"/>
    <s v="Montería"/>
    <s v="BACHILLER"/>
    <s v="ACAD"/>
    <s v="TIPO: Privada, INSTITUCION: COL LA SALLE, AÑO: 2024, CIUDAD: Montería, TITULO: BACHILLER"/>
    <s v="11"/>
    <s v="Escala de 0 - 5"/>
    <s v="Escala de 0 - 5"/>
    <s v="3,7"/>
    <s v="3,8"/>
    <m/>
    <s v="4"/>
    <s v="3,4"/>
    <m/>
    <n v="4.0999999999999996"/>
    <n v="3.8"/>
    <m/>
    <n v="3.6"/>
    <n v="4"/>
    <m/>
    <s v="4,1"/>
    <s v="4"/>
    <m/>
    <s v="3,7"/>
    <s v="3,7"/>
    <m/>
    <s v="3,5"/>
    <s v="3,6"/>
    <m/>
    <s v="De 9 y 10"/>
    <n v="3.875"/>
    <s v="NO"/>
    <s v="NA"/>
    <n v="0"/>
    <n v="0"/>
    <s v="No"/>
    <n v="45"/>
    <m/>
    <n v="45"/>
    <m/>
    <n v="45"/>
    <m/>
    <s v="La estudiante es admitida el programa de Ingeniería Civil"/>
    <n v="45"/>
    <s v="Con detalle por componente"/>
    <s v="Deportistas de alto rendimiento o representativo"/>
    <s v="Construyendo mi futuro de la mano de EAFIT_x000a_Estudiar en la universidad EAFIT será una experiencia emocionante para mí, ya que se destaca por una formación académica excelente, instalaciones deportivas de primer nivel y un entorno dinámico que impulsa el emprendimiento y la innovación, algo único de esta universidad. Me veo haciendo uso de todas estas herramientas de crecimiento personal, yéndome de intercambio a otro país para perfeccionar mi inglés, siendo parte del equipo de voleibol de la universidad y por supuesto, graduándome como una excelente ingeniera civil._x000a_Proyecto ingeniería civil como algo más que una carrera técnica, es una oportunidad de transformar vidas y comunidades. Al diseñar y construir infraestructuras podemos proporcionar acceso a servicios básicos, proteger a las personas de desastres naturales y mejorar la calidad de vida en general. Como ingeniera civil, tendré como objetivo crear un impacto positivo y duradero en la sociedad y contribuir a un futuro más sostenible y equitativo para todos._x000a_Personas cercanas a mí son testigo del compromiso que tengo en todo lo que hago: fui de las mejores estudiantes en bachillerato, alcancé el segundo mejor puntaje en las pruebas ICFES del colegio con 422, participé en olimpiadas de matemáticas y en eventos deportivos representando al colegio. Busco una universidad donde pueda continuar fortaleciendo mis habilidades, lo que me hizo conectar con esta universidad convencida de que EAFIT es el paso perfecto para seguir creciendo y destacándome, y estoy emocionada de ser parte de esta comunidad._x000a_Mi sueño es aprovechar la beca y los conocimientos adquiridos en la universidad para transformar mi región (Montería), contribuyendo en resolver problemas como la falta de infraestructura y a su vez proteger el medio ambiente. Me gustaría trabajar en la implementación de soluciones innovadoras que beneficien especialmente a las comunidades más vulnerables."/>
    <s v="Redes sociales"/>
    <s v="Universidad reconocida."/>
    <s v="Alta empleabilidad."/>
    <n v="3"/>
    <s v="3"/>
    <s v="NO"/>
    <s v="NO"/>
    <s v="Entre 7 y 8 millones"/>
    <s v="No"/>
    <n v="0"/>
    <n v="0"/>
    <m/>
    <s v="SI"/>
    <s v="Beca"/>
    <s v="NO"/>
    <s v=""/>
    <s v=""/>
    <s v="Si"/>
    <s v="Mario José Sierra Flórez"/>
    <s v="Casado"/>
    <s v="MAESTRÍA"/>
    <s v="52"/>
    <s v="Ingeniero Mecánico"/>
    <s v="Empleado (con contrato laboral)"/>
    <s v="Jefe de planeación"/>
    <s v="EMEC S.A.S."/>
    <n v="8669786"/>
    <s v="Si"/>
    <s v="SI"/>
    <s v="NO"/>
    <s v="Padre dedicado a la familia"/>
    <s v="Si"/>
    <s v="Gloria Yanet Morales Jaramillo"/>
    <s v="Casado"/>
    <s v="UNIVERSITARIOS"/>
    <s v="55"/>
    <s v="Administradora en salud"/>
    <s v="Desempleado (Se encuentra en la búsqueda activa de empleo)"/>
    <s v="NA"/>
    <s v="NA"/>
    <n v="0"/>
    <s v="Si"/>
    <s v="NO"/>
    <s v="NO"/>
    <s v="Mi mama es ama de casa"/>
    <n v="8669786"/>
    <s v="Si"/>
    <s v="Isabel Sofia Sierra Morales"/>
    <s v="Hermano / Hermana"/>
    <s v="10"/>
    <s v="Estudiante"/>
    <s v="Colegio La Salle Montería"/>
    <n v="0"/>
    <s v="No"/>
    <s v=""/>
    <s v=""/>
    <s v=""/>
    <s v=""/>
    <s v=""/>
    <m/>
    <s v=""/>
    <s v=""/>
    <s v=""/>
    <s v=""/>
    <s v=""/>
    <s v=""/>
    <m/>
    <s v=""/>
    <s v="Mi papá colabora en el sostenimiento de mi abuela y una tía, quienes no tienen ingresos actualmente pero no viven en nuestra casa."/>
    <n v="0"/>
    <n v="180000000"/>
    <n v="0"/>
    <n v="0"/>
    <n v="0"/>
    <s v="Si"/>
    <s v="KIA"/>
    <s v="2011"/>
    <n v="20000000"/>
    <s v="No"/>
    <s v=""/>
    <s v=""/>
    <n v="0"/>
    <s v="No"/>
    <s v=""/>
    <s v=""/>
    <s v=""/>
    <n v="0"/>
    <s v="NA"/>
    <n v="4"/>
    <n v="4"/>
    <n v="4"/>
    <n v="4"/>
    <n v="4"/>
    <n v="3"/>
    <n v="4"/>
    <n v="3"/>
    <n v="3"/>
    <n v="4"/>
    <n v="37"/>
    <s v="SI"/>
    <m/>
    <s v="SI, SON PRI"/>
    <s v="ok tienen todos los datos"/>
    <e v="#N/A"/>
    <e v="#N/A"/>
    <m/>
    <n v="2"/>
    <n v="10"/>
    <n v="8"/>
    <n v="15"/>
    <n v="10"/>
    <n v="15"/>
    <n v="15"/>
    <n v="7.5"/>
    <n v="7.5"/>
    <n v="72.5"/>
    <n v="0.4"/>
    <m/>
    <n v="2"/>
    <n v="2.5"/>
    <n v="1"/>
    <n v="2"/>
    <n v="2"/>
    <n v="2.5"/>
    <n v="1"/>
    <n v="2"/>
    <n v="70.5"/>
    <n v="0.4"/>
    <n v="0.4"/>
    <e v="#N/A"/>
    <m/>
    <m/>
    <n v="0"/>
    <m/>
    <m/>
    <s v="Ingeniería Civil"/>
    <e v="#N/A"/>
    <s v="013"/>
    <e v="#N/A"/>
  </r>
  <r>
    <s v="TI"/>
    <n v="1137978734"/>
    <s v="1000407377"/>
    <s v="SANTIAGO ALTAMIRANDA HERNANDEZ"/>
    <s v="Estudios por primera vez"/>
    <x v="1"/>
    <s v="Descartado por ingresos altos"/>
    <s v="Ambos padres profesionales, vehículo"/>
    <s v="En publico objetivo"/>
    <s v="2da Cohorte"/>
    <s v="Admitido"/>
    <s v="saltamirah@eafit.edu.co"/>
    <e v="#N/A"/>
    <s v="limon.santianti5599@gmail.com"/>
    <s v="573112477664"/>
    <d v="2025-05-16T00:00:00"/>
    <s v="Activo en Programa"/>
    <s v="260-Ingeniería Industrial"/>
    <s v="E Ciencias Aplic e Ingeniería"/>
    <d v="2008-08-09T00:00:00"/>
    <n v="17"/>
    <s v="Córdoba"/>
    <s v="Montería"/>
    <s v="Hombre"/>
    <s v="Soltero"/>
    <s v="NO"/>
    <s v="NO"/>
    <n v="0"/>
    <s v="NO"/>
    <s v="NA"/>
    <s v="NO"/>
    <s v="NA"/>
    <s v="NO"/>
    <s v="NA"/>
    <s v="No"/>
    <s v="311/247-7664"/>
    <s v="573112477664"/>
    <s v="Estrato 1"/>
    <s v="MZ 98 LT 1 BRR LA PALMA"/>
    <s v="Córdoba"/>
    <s v="Montería"/>
    <s v="No"/>
    <s v="Propio"/>
    <s v="SI"/>
    <s v="2024"/>
    <s v="AC202431629161"/>
    <n v="408"/>
    <n v="80"/>
    <n v="78"/>
    <s v="Privada"/>
    <s v="LICEO MONTERIA"/>
    <n v="2024"/>
    <s v="Córdoba"/>
    <s v="Montería"/>
    <s v="BACHILLER"/>
    <s v="ACAD"/>
    <s v="TIPO: Privada, INSTITUCION: LICEO MONTERIA, AÑO: 2024, CIUDAD: Montería, TITULO: BACHILLER"/>
    <s v="11"/>
    <s v="Escala de 0 - 10"/>
    <s v="Escala de 0 - 10"/>
    <s v="9,4"/>
    <s v="9,1"/>
    <m/>
    <s v="9,4"/>
    <s v="10"/>
    <m/>
    <n v="9.9"/>
    <n v="10"/>
    <m/>
    <n v="10"/>
    <n v="9.1999999999999993"/>
    <m/>
    <s v="10"/>
    <s v="10"/>
    <m/>
    <s v="9,3"/>
    <s v="10"/>
    <m/>
    <s v="9,9"/>
    <s v="10"/>
    <m/>
    <s v="De 9 y 10"/>
    <n v="9.7749999999999986"/>
    <s v="NO"/>
    <s v="NA"/>
    <n v="0"/>
    <n v="0"/>
    <s v="No"/>
    <n v="50"/>
    <m/>
    <n v="50"/>
    <m/>
    <n v="50"/>
    <m/>
    <s v="Muy buen desempeño en la entrevista, con deseo de aplicar a grupos estudiantiles y de investigación.  Muy buena decisión sobre Industrial, durante la entrevista demostró haber investigado sobre el pregrado y su estructura"/>
    <n v="50"/>
    <s v="Con detalle por componente"/>
    <s v="Artísticas o culturales,Espacios de liderazgo o representación social,Trabajo social o comunitario"/>
    <s v="Desde temprano, supe que estaba destinado a liderar. Aun cuando el camino era oscuro, no dejé que las circunstancias apagaran mi paso, porque mi visión siempre fue el faro que me mantuvo en marcha._x000a_Como ingeniero industrial, me visiono como un arquitecto del progreso de Colombia, expandiendo horizontes y transformando realidades. Imagino un futuro donde el campo colombiano florezca gracias a la innovación. Quiero liderar iniciativas que transformen residuos agroindustriales en energía limpia y bienestar económico, demostrando que el progreso puede brotar desde el talento eafitense._x000a_Sueño con un país donde la tecnología no sea un privilegio, sino una oportunidad al alcance de todos. Por eso, planeo construir soluciones de automatización para pequeñas empresas que luchan con procesos obsoletos. No quiero sustituir manos, sino liberar mentes. Quiero ser parte de un cambio que enseñe a trabajar con inteligencia, construyendo una Colombia más próspera._x000a_Por último, quiero construir puentes. Puentes que conecten el conocimiento con las necesidades del sector productivo; que integren al joven talentoso regional con empresas que buscan innovación y no saben dónde hallarla. Sueño con redes de colaboración donde un estudiante cordobés pueda desarrollar un prototipo útil en Medellín o Bogotá._x000a_Transformar no es solo mejorar lo que ya existe; es atreverse a imaginar lo nunca antes visto. Quiero que se reconozca en nosotros un liderazgo que no teme ensuciarse las manos en una planta, ni alzar la voz para exigir un país más competitivo, más humano, más nuestro. Porque transformar un país no se logra solo desde una planta ni desde un escritorio: se logra tejiendo conexiones entre quienes producen, piensan y sueñan._x000a_Crecí en un barrio donde los sueños parecían imposibles. Hoy, si me dan la oportunidad con esta beca, cambiaré esa perspectiva, convirtiéndome en prueba de que tu origen no limita tu destino."/>
    <s v="Página WEB"/>
    <s v="Por la calidad académica."/>
    <s v="Vocación."/>
    <n v="3"/>
    <s v="0"/>
    <s v="SI"/>
    <s v="NO"/>
    <s v="Entre 2 y 3 millones"/>
    <s v="No"/>
    <n v="0"/>
    <n v="0"/>
    <m/>
    <s v="SI"/>
    <m/>
    <s v="NO"/>
    <s v=""/>
    <s v=""/>
    <s v="Si"/>
    <s v="Luis Carlos Altamiranda Jaraba"/>
    <s v="Casado"/>
    <s v="UNIVERSITARIOS"/>
    <s v="60"/>
    <s v="ingeniero"/>
    <s v="Independiente (trabaja por cuenta propia)"/>
    <s v="Independiente, se dedica a trabajar en obras de minas y casas"/>
    <s v="Independiente, se dedica a trabajar en obras de minas y casas"/>
    <n v="3380000"/>
    <s v="Si"/>
    <s v="SI"/>
    <s v="NO"/>
    <s v=""/>
    <s v="Sin información"/>
    <s v="ELIZABETH   HERNANDEZ HERNANDEZ"/>
    <s v="Casado"/>
    <s v="UNIVERSITARIOS"/>
    <s v="52"/>
    <s v=""/>
    <s v=""/>
    <m/>
    <s v=""/>
    <m/>
    <s v=""/>
    <s v="NO"/>
    <s v="NO"/>
    <s v="No me apoya económicamente ni se hace cargo de mí, se encuentra separada de mi papá y desde que nací ha sido madre ausente."/>
    <n v="3380000"/>
    <s v="Si"/>
    <s v="Juliana Osorio Hernández"/>
    <s v="Primos"/>
    <s v="19"/>
    <s v="Estudiante"/>
    <s v="Estudiante"/>
    <n v="0"/>
    <s v="No"/>
    <s v="ROSALIN HERNANDEZ HERNANDEZ"/>
    <s v="Tío / Tía"/>
    <s v="45"/>
    <s v="Ama de casa"/>
    <s v="Ama de casa"/>
    <n v="0"/>
    <s v="No"/>
    <s v=""/>
    <s v=""/>
    <s v=""/>
    <s v=""/>
    <s v=""/>
    <m/>
    <s v=""/>
    <s v=""/>
    <n v="84000000"/>
    <n v="0"/>
    <n v="0"/>
    <n v="0"/>
    <n v="0"/>
    <s v="Si"/>
    <s v="KIA"/>
    <s v="2011"/>
    <n v="35000000"/>
    <s v="No"/>
    <s v=""/>
    <s v=""/>
    <n v="0"/>
    <s v="No"/>
    <s v=""/>
    <s v=""/>
    <s v=""/>
    <n v="0"/>
    <m/>
    <n v="2"/>
    <n v="4"/>
    <n v="4"/>
    <n v="4"/>
    <n v="4"/>
    <n v="4"/>
    <n v="2"/>
    <n v="4"/>
    <n v="4"/>
    <n v="3"/>
    <n v="35"/>
    <s v="SI"/>
    <m/>
    <s v="SI, SON PRI"/>
    <s v="ok tienen todos los datos"/>
    <e v="#N/A"/>
    <e v="#N/A"/>
    <m/>
    <n v="3"/>
    <n v="6"/>
    <n v="6"/>
    <n v="15"/>
    <n v="20"/>
    <n v="15"/>
    <n v="20"/>
    <n v="15.5"/>
    <n v="15.5"/>
    <n v="91.5"/>
    <n v="0.4"/>
    <m/>
    <n v="2"/>
    <n v="2.5"/>
    <n v="8"/>
    <n v="3"/>
    <n v="2"/>
    <n v="2.5"/>
    <n v="8"/>
    <n v="3"/>
    <n v="91.5"/>
    <n v="0.5"/>
    <n v="0.5"/>
    <e v="#N/A"/>
    <m/>
    <m/>
    <n v="0"/>
    <s v="EN ORDEN"/>
    <n v="0"/>
    <s v="Ingeniería Industrial"/>
    <s v="Pres. para revision docs nutresa"/>
    <m/>
    <e v="#N/A"/>
  </r>
  <r>
    <s v="TI"/>
    <n v="1138525310"/>
    <s v="1000393110"/>
    <s v="DAVID ORTEGA CALVACHE"/>
    <s v="Cupo Reservado"/>
    <x v="1"/>
    <s v="No cumple, otros estudios de pregrado"/>
    <m/>
    <s v="En publico objetivo"/>
    <s v="3ra Cohorte"/>
    <s v="Admitido"/>
    <s v="dortegac@eafit.edu.co"/>
    <e v="#N/A"/>
    <s v="dortegac@eafit.edu.co"/>
    <s v="573163252612, 3163252612"/>
    <d v="2025-05-30T00:00:00"/>
    <s v="Matrícula"/>
    <s v="001-Administración de Negocios"/>
    <s v="Escuela de Administración"/>
    <s v="28/03/2007"/>
    <n v="18"/>
    <s v="Nariño"/>
    <s v="Pasto"/>
    <s v="Hombre"/>
    <s v="Soltero"/>
    <s v="NO"/>
    <s v="NO"/>
    <n v="0"/>
    <s v="NO"/>
    <s v="NA"/>
    <s v="NO"/>
    <s v="NA"/>
    <s v="NO"/>
    <s v="NA"/>
    <s v="No"/>
    <s v="NA"/>
    <s v="NA"/>
    <s v="Estrato 1"/>
    <s v="CL 20 E 10 E 22 CANCHALA"/>
    <s v="Nariño"/>
    <s v="Pasto"/>
    <s v="Si"/>
    <s v="Propio"/>
    <s v="SI"/>
    <n v="2023"/>
    <s v="AC202341106608"/>
    <n v="449"/>
    <n v="100"/>
    <n v="80"/>
    <s v="Pública"/>
    <s v="Liceo Integrado de Bachillerato de la Universidad de Nariño"/>
    <n v="2023"/>
    <s v="Nariño"/>
    <s v="Pasto"/>
    <n v="0"/>
    <n v="0"/>
    <m/>
    <n v="0"/>
    <n v="0"/>
    <s v="Escala de 0 - 5"/>
    <m/>
    <m/>
    <m/>
    <m/>
    <m/>
    <m/>
    <m/>
    <n v="3.5"/>
    <n v="4"/>
    <m/>
    <n v="3.5"/>
    <n v="4"/>
    <m/>
    <m/>
    <m/>
    <m/>
    <m/>
    <m/>
    <m/>
    <m/>
    <m/>
    <s v="De 10 y 11"/>
    <n v="3.75"/>
    <s v="SI"/>
    <s v="Pregrado, administracion de empresas, universidad de nariño, en curso"/>
    <s v="PREGRADO"/>
    <s v="Administracion de empresas"/>
    <s v="No"/>
    <s v="Sin informacion"/>
    <s v="Sin informacion"/>
    <s v="Sin informacion"/>
    <s v="Sin informacion"/>
    <s v="Sin informacion"/>
    <s v="Sin informacion"/>
    <s v="Descartado por notas bajas"/>
    <n v="35"/>
    <s v="Cupo reservado"/>
    <s v="Ninguna"/>
    <s v="Ejerceré la profesión de administración de negocios a través del emprendimiento. Desde una temprana edad, me he visualizado como un empresario liderando proyectos que impulsen la modernización y la innovación, impregnado con la perspectiva ética, social y ambiental que me caracteriza. Me visualizo poniendo a disposición mi enfoque holístico y mis habilidades blandas como el liderazgo, creatividad y empatía para superar los retos que se presentan en el mercado actual. Creando empresas que generen empleos y oportunidades que permitan el desarrollo profesional y humano de los colaboradores y sus familias, además de estimular la economía._x000a__x000a_Adicionalmente, al contar con capacidades cognitivas (coeficiente intelectual) del espectro muy superior y con logros como la distinción Andrés Bello en su categoría nacional según resolución 011973 17 JUL 2024, soy consciente de que tengo el potencial para ser parte de los líderes que guían el desarrollo de la nación. Para lograr esto, preciso de una formación integral de alta calidad que su prestigiosa universidad me puede brindar. Con el apoyo de la beca Talento EAFIT puedo acceder a un abanico de herramientas formativas que me permitirán alcanzar mi potencial como profesional y realizar mi aporte al avance del país. Implementaré modelos de negocio que midan su éxito no solo por sus balances financieros, sino por su huella en la vida de los colombianos. Quiero que mi trabajo demuestre que es posible combinar rentabilidad con equidad, y que los negocios pueden ser motor de transformación social._x000a__x000a_Soy consciente de los desafíos que enfrenta Colombia, pero también del potencial de su gente. Con esta oportunidad, no solo cambiaré mi futuro, sino que inspiraré a otros a creer que, con educación y determinación, es posible transformar realidades. Estoy listo para asumir este reto y devolver a mi país cada enseñanza recibida._x000a__x000a_Gracias por considerar mi candidatura"/>
    <s v="Amigos"/>
    <s v="Proyección laboral."/>
    <s v="Vocación."/>
    <n v="2"/>
    <s v="Sin informacion"/>
    <s v="Sin informacion"/>
    <s v="Sin informacion"/>
    <s v="Sin informacion"/>
    <s v="No"/>
    <n v="0"/>
    <n v="0"/>
    <m/>
    <s v="Y"/>
    <m/>
    <s v="NO"/>
    <s v="NA"/>
    <s v="NA"/>
    <s v="Si"/>
    <s v="Luis Carlos Ortega Chamorro"/>
    <m/>
    <m/>
    <m/>
    <s v="Ingeniero Ambiental"/>
    <s v="Otra"/>
    <s v="SIN INFORMACION"/>
    <s v="SIN INFORMACION"/>
    <n v="0"/>
    <s v="No"/>
    <m/>
    <m/>
    <s v="No me aporta economicamente"/>
    <s v="Si"/>
    <s v="Lida Carmenza Calvache Benavides"/>
    <m/>
    <m/>
    <m/>
    <s v="Contadora publica"/>
    <s v="Desempleado (Se encuentra en la búsqueda activa de empleo)"/>
    <s v="Docente"/>
    <s v="En el momento ninguna"/>
    <n v="0"/>
    <s v="Si"/>
    <m/>
    <m/>
    <m/>
    <n v="0"/>
    <s v="Si"/>
    <s v="Doris del Socorro Benavides Rodriguez"/>
    <s v="Abuelo / Abuela"/>
    <s v="77"/>
    <s v="Modista"/>
    <s v="independiente"/>
    <n v="1800000"/>
    <s v="Si"/>
    <s v=""/>
    <s v=""/>
    <s v=""/>
    <s v=""/>
    <s v=""/>
    <m/>
    <s v=""/>
    <s v=""/>
    <s v=""/>
    <s v=""/>
    <s v=""/>
    <s v=""/>
    <m/>
    <s v=""/>
    <s v=""/>
    <n v="50000000"/>
    <n v="0"/>
    <n v="0"/>
    <n v="0"/>
    <n v="0"/>
    <s v="No"/>
    <s v=""/>
    <s v=""/>
    <n v="0"/>
    <s v="No"/>
    <s v=""/>
    <s v=""/>
    <n v="0"/>
    <s v="No"/>
    <s v=""/>
    <s v=""/>
    <s v=""/>
    <n v="0"/>
    <m/>
    <n v="4"/>
    <n v="4"/>
    <n v="4"/>
    <n v="4"/>
    <n v="4"/>
    <n v="4"/>
    <n v="4"/>
    <n v="4"/>
    <n v="4"/>
    <n v="4"/>
    <n v="40"/>
    <s v="SI"/>
    <s v="SI, CRE"/>
    <s v="Son CRE, sin tipo de vivienda, nada del ICFES, sin nada de entrevista, sin informacion del colegio y sin notas"/>
    <s v="sin info de entrevista, fue descartado en 20251"/>
    <s v="Negada"/>
    <n v="20251"/>
    <m/>
    <n v="3"/>
    <n v="6"/>
    <n v="6"/>
    <n v="15"/>
    <n v="10"/>
    <n v="15"/>
    <n v="5"/>
    <n v="17"/>
    <n v="17"/>
    <n v="68"/>
    <n v="0.5"/>
    <m/>
    <n v="3.5"/>
    <n v="2.5"/>
    <n v="8"/>
    <n v="3"/>
    <n v="3.5"/>
    <n v="2.5"/>
    <n v="8"/>
    <n v="3"/>
    <n v="68"/>
    <n v="0.6"/>
    <n v="0.5"/>
    <e v="#N/A"/>
    <m/>
    <m/>
    <s v="SI, CRE"/>
    <m/>
    <m/>
    <s v="Administración de Negocios"/>
    <e v="#N/A"/>
    <s v="001"/>
    <e v="#N/A"/>
  </r>
  <r>
    <s v="TI"/>
    <n v="1138525694"/>
    <s v="1000401484"/>
    <s v="LIAN VALERIA AYALA JIMENEZ"/>
    <s v="Estudios por primera vez"/>
    <x v="7"/>
    <s v="Descartado por ingresos altos"/>
    <m/>
    <s v="En publico objetivo"/>
    <s v="3ra Cohorte"/>
    <s v="Admitido"/>
    <s v="lvayalaj@eafit.edu.co"/>
    <s v="lvayalaj@eafit.edu.co"/>
    <s v="lianvayalaj@gmail.com"/>
    <s v="573127550265"/>
    <d v="2025-05-30T00:00:00"/>
    <s v="Activo en Programa"/>
    <s v="084-Derecho"/>
    <s v="Escuela de Derecho"/>
    <d v="2007-10-11T00:00:00"/>
    <n v="18"/>
    <s v="Nariño"/>
    <s v="Pasto"/>
    <s v="Mujer"/>
    <s v="Soltero"/>
    <s v="NO"/>
    <s v="NO"/>
    <n v="0"/>
    <s v="NO"/>
    <s v="NA"/>
    <s v="NO"/>
    <s v="NA"/>
    <s v="NO"/>
    <s v="NA"/>
    <s v="No"/>
    <s v="318/873-7343"/>
    <s v="573127550265"/>
    <s v="Estrato 1"/>
    <s v="MOCOA BRR LA LOMA"/>
    <s v="Putumayo"/>
    <s v="Mocoa"/>
    <s v="Si"/>
    <s v="Propio"/>
    <s v="SI"/>
    <s v="2024"/>
    <s v="AC202434161519"/>
    <n v="317"/>
    <n v="73"/>
    <n v="70"/>
    <s v="Pública"/>
    <s v="IE SANTA MARIA GORETTI"/>
    <n v="2024"/>
    <s v="Putumayo"/>
    <s v="Mocoa"/>
    <s v="BACHILLER"/>
    <s v="ACAD"/>
    <s v="TIPO: Pública, INSTITUCION: IE SANTA MARIA GORETTI, AÑO: 2024, CIUDAD: Mocoa, TITULO: BACHILLER"/>
    <s v="11"/>
    <s v="Escala de 0 - 5"/>
    <s v="Escala de 0 - 5"/>
    <s v="4"/>
    <s v="3"/>
    <m/>
    <s v="4"/>
    <s v="3,4"/>
    <m/>
    <n v="3.6"/>
    <n v="4"/>
    <m/>
    <n v="3.8"/>
    <n v="3.9"/>
    <m/>
    <s v="4,5"/>
    <s v="3,8"/>
    <m/>
    <s v="5"/>
    <s v="4,5"/>
    <m/>
    <s v="4,2"/>
    <s v="4"/>
    <m/>
    <s v="De 9 y 10"/>
    <n v="3.8249999999999997"/>
    <s v="NO"/>
    <s v="NA"/>
    <n v="0"/>
    <n v="0"/>
    <s v="No"/>
    <n v="50"/>
    <m/>
    <n v="50"/>
    <m/>
    <n v="50"/>
    <m/>
    <s v="Excelente candidata"/>
    <n v="50"/>
    <s v="Con detalle por componente"/>
    <s v="Espacios de liderazgo o representación social,Trabajo social o comunitario"/>
    <s v="Me visualizo siendo una excelente abogada especialista, me encanta haber encontrado la manera de poder ayudar a mi comunidad haciendo lo que más amo, que es defendiendo y dando a conocer sus derechos, me encantaría en un futuro llegar a ser alcaldesa, me caracterizo mucho por mi liderazgo, empatía, respeto y carisma, ya tengo una iniciativa de experiencia en ello, ya que fui personera de mi colegio, obteniendo más del 80% de las votaciones, donde hice grandes actividades como una sembratón estudiantil que consistió en sembrar arbolitos, en conjunto con CORPOAMAZONIA y la gobernación del DEPARTAMENTO DEL PUTUMAYO y otra actividad que se destacó fue una donatón para perritos y gatitos, donde pudimos recaudar mucha comida para estos peluditos, actividades que fueron un éxito, ya que logré sacar muchas sonrisas tanto a las personas como beneficios para la naturaleza y los animalitos. El obtener la beca, para mí sería maravilloso, ya que esto me permitiría formarme y destacarme en la universidad de mis sueños, la cual es la universidad EAFIT, me encanta la diversidad, la preparación, las instalaciones y el profesionalismo que se maneja en esta universidad, es una gran motivación, ya que es una de las mejores universidades del país, espero apoyar a mi región, (muy golpeada por la violencia), a través de la dirección o asesoría en las políticas públicas, gestionar recursos a nivel internacional a través de proyectos de beneficio común y servir de ejemplo para mi entorno."/>
    <s v="Redes sociales"/>
    <s v="Por la calidad académica."/>
    <s v="Vocación."/>
    <n v="2"/>
    <s v="0"/>
    <s v="SI"/>
    <s v="NO"/>
    <s v="Entre 6 y 7 millones"/>
    <s v="Si"/>
    <n v="0"/>
    <n v="0"/>
    <m/>
    <s v="SI"/>
    <s v="Beca"/>
    <s v="NO"/>
    <s v=""/>
    <s v=""/>
    <s v="Si"/>
    <s v="ANDRES MAURICIO AYALA PORTILLA"/>
    <s v="Casado"/>
    <s v="ESPECIALIZACIÓN"/>
    <s v="44"/>
    <s v="INGENIERO SANITARIO Y AMBIENTAL"/>
    <s v="Independiente (trabaja por cuenta propia)"/>
    <s v="PROFESIONAL ESPECIALIZADO DE APOYO AL PLAN DEPARTAMENTAL DE AGUA PUTUMAYO"/>
    <s v="GOBERNACION DEL PUTUMAYO"/>
    <n v="5250000"/>
    <s v="Si"/>
    <s v="NO"/>
    <s v="NO"/>
    <s v="PADRE AMOROSO, COMPROMETIDO CON MI ESTUDIO"/>
    <s v="Si"/>
    <s v="LILIA DEL ROSARIO JIMENEZ ARCINIEGAS"/>
    <s v="Casado"/>
    <s v="ESPECIALIZACIÓN"/>
    <s v="47"/>
    <s v="ABOGADA ESPECIALISTA EN CONTRATACION ESTATAL"/>
    <s v="Independiente (trabaja por cuenta propia)"/>
    <s v="ASESORA JURIDICA"/>
    <s v="SENA REGIONAL PUTUMAYO Y BATALLON DE ASPC27"/>
    <n v="9800000"/>
    <s v="Si"/>
    <s v="SI"/>
    <s v="NO"/>
    <s v="AMOROSA, RESPONSABLE, COMPROMETIDA CON MI EDUCACION"/>
    <n v="15050000"/>
    <s v="No, solo vivo con mis padres"/>
    <s v=""/>
    <s v=""/>
    <s v=""/>
    <s v=""/>
    <s v=""/>
    <m/>
    <s v=""/>
    <s v=""/>
    <s v=""/>
    <s v=""/>
    <s v=""/>
    <s v=""/>
    <m/>
    <s v=""/>
    <s v=""/>
    <s v=""/>
    <s v=""/>
    <s v=""/>
    <s v=""/>
    <m/>
    <s v=""/>
    <s v=""/>
    <n v="120000000"/>
    <n v="0"/>
    <n v="200000000"/>
    <n v="0"/>
    <n v="25000000"/>
    <s v="Si"/>
    <s v="RENAULT STEPWAY"/>
    <s v="2019"/>
    <n v="42000000"/>
    <s v="No"/>
    <s v=""/>
    <s v=""/>
    <n v="0"/>
    <s v="Si"/>
    <s v="Moto"/>
    <s v="Honda Dio"/>
    <s v="2023"/>
    <n v="4500000"/>
    <s v="VEHICULOS FAMILIARES, FUNCIONALES Y EN BUEN ESTADO"/>
    <n v="4"/>
    <n v="4"/>
    <n v="4"/>
    <n v="4"/>
    <n v="4"/>
    <n v="3"/>
    <n v="4"/>
    <n v="4"/>
    <n v="4"/>
    <n v="4"/>
    <n v="39"/>
    <s v="SI"/>
    <m/>
    <s v="SI, SON PRI"/>
    <s v="ok tienen todos los datos"/>
    <e v="#N/A"/>
    <e v="#N/A"/>
    <m/>
    <n v="2"/>
    <n v="6"/>
    <n v="6"/>
    <n v="5"/>
    <n v="10"/>
    <n v="15"/>
    <n v="20"/>
    <n v="8"/>
    <n v="8"/>
    <n v="64"/>
    <n v="0.4"/>
    <m/>
    <n v="3.5"/>
    <n v="2.5"/>
    <n v="0"/>
    <n v="2"/>
    <n v="3.5"/>
    <n v="2.5"/>
    <n v="0"/>
    <n v="2"/>
    <n v="64"/>
    <n v="0.4"/>
    <s v="Negado"/>
    <e v="#N/A"/>
    <m/>
    <m/>
    <n v="0"/>
    <m/>
    <m/>
    <s v="Derecho"/>
    <e v="#N/A"/>
    <m/>
    <e v="#N/A"/>
  </r>
  <r>
    <s v="TI"/>
    <n v="1141517559"/>
    <s v="1000195012"/>
    <s v="NICOLAS DANIEL QUIROZ VAN DILLEWIJN"/>
    <s v="Estudios por primera vez"/>
    <x v="9"/>
    <s v="No cumple, estrato 5 o 6"/>
    <m/>
    <s v="En publico objetivo"/>
    <s v="2da Cohorte"/>
    <s v="Admitido"/>
    <s v="ndquirozv@eafit.edu.co"/>
    <e v="#N/A"/>
    <s v="nicolasdanielqiroz08@gmail.com"/>
    <s v="573144113270"/>
    <d v="2025-05-16T00:00:00"/>
    <s v="Activo en Programa"/>
    <s v="237-Diseño Interactivo"/>
    <s v="Escuela de Artes y Humanidades"/>
    <d v="2008-05-25T00:00:00"/>
    <n v="17"/>
    <s v="Bogotá"/>
    <s v="Bogotá D.C."/>
    <s v="Hombre"/>
    <s v="Soltero"/>
    <s v="NO"/>
    <s v="NO"/>
    <n v="0"/>
    <s v="NO"/>
    <s v="NA"/>
    <s v="NO"/>
    <s v="NA"/>
    <s v="NO"/>
    <s v="NA"/>
    <s v="No"/>
    <s v="573144113270"/>
    <s v="NA"/>
    <s v="Estrato 5"/>
    <s v="CL 23 SUR 27 19 IN 219"/>
    <s v="Antioquia"/>
    <s v="Envigado"/>
    <s v="No aplica, no soy foráneo"/>
    <s v="Propio"/>
    <s v="SI"/>
    <s v="2025"/>
    <s v="AC202511077338"/>
    <n v="382"/>
    <n v="78"/>
    <n v="69"/>
    <s v="Privada"/>
    <s v="COLEGIO CANADIENSE"/>
    <n v="2025"/>
    <s v="Antioquia"/>
    <s v="La Estrella"/>
    <s v="BACHILLER"/>
    <s v="ACAD"/>
    <s v="TIPO: Privada, INSTITUCION: COLEGIO CANADIENSE, AÑO: 2025, CIUDAD: La Estrella, TITULO: BACHILLER"/>
    <s v="11"/>
    <s v="Escala de 0 - 100"/>
    <s v="Escala de 0 - 100"/>
    <s v="95"/>
    <s v="98"/>
    <m/>
    <s v="98"/>
    <s v="98"/>
    <m/>
    <n v="98"/>
    <n v="98"/>
    <m/>
    <n v="86"/>
    <n v="91"/>
    <m/>
    <s v="86"/>
    <s v="91"/>
    <m/>
    <s v="100"/>
    <s v="100"/>
    <m/>
    <s v="100"/>
    <s v="96"/>
    <m/>
    <s v="De 9 y 10"/>
    <n v="93.25"/>
    <s v="NO"/>
    <s v="NA"/>
    <n v="0"/>
    <n v="0"/>
    <s v="No"/>
    <n v="45"/>
    <m/>
    <n v="50"/>
    <m/>
    <n v="45"/>
    <m/>
    <m/>
    <n v="46.666666666666664"/>
    <s v="Con detalle por componente"/>
    <s v="Artísticas o culturales,Otras (por ejemplo, un talento extraordinario)"/>
    <s v="Desde pequeño siempre me ha gustado imaginar mundos, crear personajes y contar historias. Por eso elegí estudiar Diseño Interactivo, porque me encanta todo lo que tiene que ver con hacer videojuegos. Disfruto mucho el proceso: programar, dibujar, diseñar niveles y trabajar en la parte sonora. Me emociona ver cómo una idea se convierte en algo real que otros pueden jugar y disfrutar._x000a__x000a_En el futuro me veo trabajando en un estudio o creando el mío propio, desarrollando videojuegos que sean reconocidos a nivel global. Pero más que la fama, lo que quiero es que mis proyectos den visibilidad a mi región y ayuden al crecimiento de la industria de los videojuegos en Colombia. Sé que hay mucho talento aquí, y quiero ser parte del cambio que impulse esa industria._x000a__x000a_También quiero crear juegos que representen nuestra identidad cultural y que ayuden a unir a las personas como comunidad, contando historias nuestras, con nuestros paisajes, costumbres y formas de ver el mundo._x000a__x000a_La beca me permitiría estudiar con más tranquilidad, tener acceso a buenos recursos y enfocarme en aprender todo lo que necesito para crecer como profesional. Es una oportunidad muy importante para mí, no solo por lo que puedo lograr a nivel personal, sino también por lo que puedo aportar más adelante a mi región y a todo el país a través del diseño interactivo."/>
    <s v="Página WEB"/>
    <s v="Internacionalización."/>
    <s v="Vocación."/>
    <n v="3"/>
    <s v="1"/>
    <s v="NO"/>
    <s v="NO"/>
    <s v="Entre 3 y 4 millones"/>
    <s v="Si"/>
    <s v="SI"/>
    <s v="NO"/>
    <m/>
    <s v="SI"/>
    <s v="Beca"/>
    <s v="NO"/>
    <s v=""/>
    <s v=""/>
    <s v="Si"/>
    <s v="Luis Carlos Quiroz Chaves"/>
    <s v="Casado"/>
    <s v="ESPECIALIZACIÓN"/>
    <s v="51"/>
    <s v="Ingeniero Electrónico"/>
    <s v="Desempleado (Se encuentra en la búsqueda activa de empleo)"/>
    <s v="Comercial en Telecomunicaciones"/>
    <s v="N/A"/>
    <n v="0"/>
    <s v="Si"/>
    <s v="SI"/>
    <s v="NO"/>
    <s v="En búsqueda de oportunidades laborales desde enero 2025"/>
    <s v="Si"/>
    <s v="Gisela del Carmen Margarita van Dillewijn Dávila"/>
    <s v="Soltero"/>
    <s v="MAESTRÍA"/>
    <s v="52"/>
    <s v="Profesional en Relaciones Industriales - Auditora de Sistemas de Gestión"/>
    <s v="Independiente (trabaja por cuenta propia)"/>
    <s v="Auditora"/>
    <s v="BVQI y otras, además de la propia"/>
    <n v="8000000"/>
    <s v="Si"/>
    <s v="NO"/>
    <s v="SI"/>
    <s v="En este momento es el sostén económico de la familia"/>
    <n v="8000000"/>
    <s v="Si"/>
    <s v="Sebastian David Quiroz van Dillewijn"/>
    <s v="Hermano / Hermana"/>
    <s v="20"/>
    <s v="Estudiante"/>
    <s v="CES"/>
    <n v="0"/>
    <s v="No"/>
    <s v=""/>
    <s v=""/>
    <s v=""/>
    <s v=""/>
    <s v=""/>
    <m/>
    <s v=""/>
    <s v=""/>
    <s v=""/>
    <s v=""/>
    <s v=""/>
    <s v=""/>
    <m/>
    <s v=""/>
    <s v=""/>
    <n v="0"/>
    <n v="0"/>
    <n v="0"/>
    <n v="0"/>
    <n v="0"/>
    <s v="Si"/>
    <s v="Volks Wagen"/>
    <s v="2008"/>
    <n v="30000000"/>
    <s v="No"/>
    <s v=""/>
    <s v=""/>
    <n v="0"/>
    <s v="Si"/>
    <s v="Buseta"/>
    <s v="chevrolet"/>
    <s v="2024"/>
    <n v="200000000"/>
    <m/>
    <n v="4"/>
    <n v="3"/>
    <n v="3"/>
    <n v="4"/>
    <n v="4"/>
    <n v="3"/>
    <n v="3"/>
    <n v="3"/>
    <n v="2"/>
    <n v="4"/>
    <n v="33"/>
    <s v="SI"/>
    <m/>
    <s v="SI, SON PRI"/>
    <s v="ok tienen todos los datos"/>
    <e v="#N/A"/>
    <e v="#N/A"/>
    <m/>
    <n v="3"/>
    <s v="NA"/>
    <s v="NA"/>
    <s v="NA"/>
    <s v="NA"/>
    <s v="NA"/>
    <s v="NA"/>
    <e v="#VALUE!"/>
    <e v="#VALUE!"/>
    <e v="#VALUE!"/>
    <s v="NCR"/>
    <m/>
    <s v="NA"/>
    <s v="NA"/>
    <s v="NA"/>
    <s v="NA"/>
    <s v="NA"/>
    <s v="NA"/>
    <s v="NA"/>
    <s v="NA"/>
    <e v="#VALUE!"/>
    <s v="NCR"/>
    <s v="Negado"/>
    <e v="#N/A"/>
    <m/>
    <m/>
    <n v="0"/>
    <m/>
    <m/>
    <s v="Diseño Interactivo"/>
    <e v="#N/A"/>
    <m/>
    <s v="NCR"/>
  </r>
  <r>
    <s v="TI"/>
    <n v="1147484154"/>
    <s v="1000387809"/>
    <s v="SALOME BERMUDEZ CARDENAS"/>
    <s v="Estudios por primera vez"/>
    <x v="1"/>
    <s v="No cumple, estrato 4"/>
    <m/>
    <s v="En publico objetivo"/>
    <s v="1er Cohorte"/>
    <s v="Admitido"/>
    <s v="sbermudec1@eafit.edu.co"/>
    <s v="sbermudec1@eafit.edu.co"/>
    <s v="sbermudec1@eafit.edu.co"/>
    <s v="310/554-6170"/>
    <d v="2025-04-25T00:00:00"/>
    <s v="Activo en Programa"/>
    <s v="169-Mercadeo"/>
    <s v="Escuela de Administración"/>
    <d v="2007-05-07T00:00:00"/>
    <n v="18"/>
    <s v="Bogotá"/>
    <s v="Bogotá D.C."/>
    <s v="Mujer"/>
    <s v="Soltero"/>
    <s v="SI"/>
    <s v="NO"/>
    <n v="0"/>
    <s v="NO"/>
    <s v="NA"/>
    <s v="NO"/>
    <s v="NA"/>
    <s v="NO"/>
    <s v="NA"/>
    <s v="No"/>
    <s v="310/554-6170"/>
    <s v="310/554-6170"/>
    <s v="Estrato 4"/>
    <s v="CR 25#10 40 CAMINOS DE MONTICELLO"/>
    <s v="Antioquia"/>
    <s v="Medellín"/>
    <s v="Si"/>
    <s v="Familiar"/>
    <s v="SI"/>
    <s v="2024"/>
    <s v="AC202430081851"/>
    <n v="352"/>
    <n v="77"/>
    <n v="64"/>
    <s v="Privada"/>
    <s v="COL ANGLOAMERICANO"/>
    <n v="2024"/>
    <s v="Risaralda"/>
    <s v="Pereira"/>
    <s v="BACHILLER"/>
    <s v="ACAD"/>
    <s v="TIPO: Privada, INSTITUCION: COL ANGLOAMERICANO, AÑO: 2024, CIUDAD: Pereira, TITULO: BACHILLER"/>
    <s v="11"/>
    <s v="Escala de 0 - 50"/>
    <s v="Escala de 0 - 5"/>
    <s v="4"/>
    <s v="4"/>
    <m/>
    <s v="4,5"/>
    <s v="4,5"/>
    <m/>
    <n v="4"/>
    <n v="4"/>
    <m/>
    <n v="4.5"/>
    <n v="4.5"/>
    <m/>
    <s v="4"/>
    <s v="4,5"/>
    <m/>
    <s v="5"/>
    <s v="5"/>
    <m/>
    <s v="4,5"/>
    <s v="4,5"/>
    <m/>
    <s v="De 9 y 10"/>
    <n v="4.25"/>
    <s v="NO"/>
    <s v="NA"/>
    <n v="0"/>
    <n v="0"/>
    <s v="No"/>
    <n v="35"/>
    <m/>
    <n v="50"/>
    <m/>
    <n v="45"/>
    <m/>
    <m/>
    <n v="43.333333333333336"/>
    <s v="Con detalle por componente"/>
    <s v="Espacios de liderazgo o representación social,Otras (por ejemplo, un talento extraordinario)"/>
    <s v="Desde muy pequeña me he visualizado en un futuro lo que quiero alcanzar y lograr, siento que la universidad eafit me enseñara y dará las herramientas necesarias para lograrlo. tengo una meta y una proyección a raíz de lo aprendido y vivido, crecí con mis abuelos en una familia cañicultora y panelera en Santander donde he visto el esfuerzo y dedicación  que requiere pero tambien he sido testigo de la poca retribución económica que recibimos los campesinos ya que quienes la compran devalúan el verdadero valor y dedicación que hay detrás de cada panela, gracias a esta beca que me hará realidad alcanzar mis estudios en el pregrado de Mercadeo podre adquirir y aprender todo lo necesario para transformar esta realidad, mi meta y objetivo es dar a conocer la panela como un producto de calidad destacando el esfuerzo con el que se cosecha para luego hacerse con dedicación, posicionándola como una marca atractiva y de calidad, quiero tener la oportunidad de ganarme esta beca y que la universidad me enseñe todas aquellas cosas que necesito para lograr comercializar y fortalecer este emprendimiento familiar y hacer que este trabajo logre ser justamente remunerado y reconocido y asi mejorar las condiciones del campo honrando el trabajo que mis abuelos me han inculcado, mi propósito a travez del Mercadeo es demostrarles a los cañicultores que todo lo que han construido tiene valor, que la panela puede destacarse en el mercado que aquellos frutos de años de esfuerzo si se pueden transformar en una empresa reconocida y digna dándole visibilidad a este esfuerzo y sueño campesino familiar."/>
    <s v="EAFIT es una experiencia"/>
    <s v="Por la oferta académica."/>
    <s v="Vocación."/>
    <n v="3"/>
    <s v="0"/>
    <s v="SI"/>
    <s v="NO"/>
    <s v="Menos de 1millón"/>
    <s v="Si"/>
    <n v="0"/>
    <s v="SI"/>
    <s v="Crédito educativo propio"/>
    <s v="SI"/>
    <s v="Beca"/>
    <s v="SI"/>
    <s v="HOMEN BURBUJA EN CC"/>
    <s v="Asesor de ventas"/>
    <s v="No, fallecido"/>
    <n v="0"/>
    <m/>
    <m/>
    <m/>
    <s v=""/>
    <s v=""/>
    <m/>
    <s v=""/>
    <m/>
    <s v=""/>
    <m/>
    <m/>
    <s v="Mi padre falleció cuando tenia tres años asi que mi mama busco ayuda para mi crianza en mis abuelos"/>
    <s v="Si"/>
    <s v="Diana Janneth Cárdenas Santamaria"/>
    <s v="Soltero"/>
    <s v="BACHILLERATO"/>
    <s v="43"/>
    <s v="Trabajos esporádicos por prestación de servicios"/>
    <s v="Trabajador informal"/>
    <s v="Apoyo logistico esporadico"/>
    <s v="Soluciones y suministros agricolas"/>
    <n v="1000000"/>
    <s v="Si"/>
    <s v="NO"/>
    <s v="NO"/>
    <s v="Es madre cabeza de familia no tiene un trabajo estable ni fijo ya que la limita una hernia discal lumbar  que le impide realizar algunos trabajos y tampoco tiene una profesión."/>
    <n v="1000000"/>
    <s v="Si"/>
    <s v="Nancy Yaneth Santamaria Santamaria"/>
    <s v="Abuelo / Abuela"/>
    <s v="65"/>
    <s v="Ama de casa"/>
    <s v="Pequeño emprendimiento agrícola familiar, realiza oficios domésticos"/>
    <n v="200000"/>
    <s v="No"/>
    <s v="Ranfis Gabriel Mateus Hernandez"/>
    <s v="Abuelo / Abuela"/>
    <s v="64"/>
    <s v="Pequeño cañicultor"/>
    <s v="Pequeño emprendimiento agrícola familiar"/>
    <n v="2000000"/>
    <s v="Si"/>
    <s v=""/>
    <s v=""/>
    <s v=""/>
    <s v=""/>
    <s v=""/>
    <m/>
    <s v=""/>
    <s v=""/>
    <n v="0"/>
    <n v="0"/>
    <n v="0"/>
    <n v="0"/>
    <n v="0"/>
    <s v="Si"/>
    <s v="Toyota"/>
    <s v="1993"/>
    <n v="20000000"/>
    <s v="No"/>
    <s v=""/>
    <s v=""/>
    <n v="0"/>
    <s v="No"/>
    <s v=""/>
    <s v=""/>
    <s v=""/>
    <n v="0"/>
    <s v="Vehículo utilizado para los servicios del campo"/>
    <n v="4"/>
    <n v="4"/>
    <n v="4"/>
    <n v="4"/>
    <n v="4"/>
    <n v="4"/>
    <n v="4"/>
    <n v="4"/>
    <n v="4"/>
    <n v="4"/>
    <n v="40"/>
    <s v="SI"/>
    <m/>
    <s v="SI, SON PRI"/>
    <s v="ok tienen todos los datos"/>
    <e v="#N/A"/>
    <e v="#N/A"/>
    <m/>
    <n v="3"/>
    <n v="4"/>
    <n v="4"/>
    <n v="10"/>
    <n v="15"/>
    <n v="15"/>
    <n v="15"/>
    <n v="18"/>
    <n v="17.5"/>
    <n v="76.5"/>
    <n v="0.5"/>
    <m/>
    <n v="2"/>
    <n v="3.5"/>
    <n v="8"/>
    <n v="4"/>
    <n v="2"/>
    <n v="3.5"/>
    <n v="8"/>
    <n v="4.5"/>
    <n v="77"/>
    <n v="0.6"/>
    <n v="0.6"/>
    <e v="#N/A"/>
    <m/>
    <m/>
    <n v="0"/>
    <m/>
    <m/>
    <s v="Mercadeo"/>
    <e v="#N/A"/>
    <s v="169"/>
    <e v="#N/A"/>
  </r>
  <r>
    <s v="TI"/>
    <n v="1147484345"/>
    <s v="1000405440"/>
    <s v="VALERIA RINCON GUTIERREZ"/>
    <s v="Estudios por primera vez"/>
    <x v="1"/>
    <s v="Descartado por propiedades"/>
    <m/>
    <s v="En publico objetivo"/>
    <s v="2da Cohorte"/>
    <s v="Admitido"/>
    <s v="vrincong2@eafit.edu.co"/>
    <e v="#N/A"/>
    <s v="valeriarincongutierrez@gmail.com"/>
    <s v="573195621671"/>
    <d v="2025-05-16T00:00:00"/>
    <s v="Activo en Programa"/>
    <s v="084-Derecho"/>
    <s v="Escuela de Derecho"/>
    <d v="2007-07-23T00:00:00"/>
    <n v="18"/>
    <s v="Bogotá"/>
    <s v="Bogotá D.C."/>
    <s v="Mujer"/>
    <s v="Soltero"/>
    <s v="NO"/>
    <s v="NO"/>
    <n v="0"/>
    <s v="NO"/>
    <s v="NA"/>
    <s v="NO"/>
    <s v="NA"/>
    <s v="NO"/>
    <s v="NA"/>
    <s v="No"/>
    <s v="300/289-2622"/>
    <s v="573195621671"/>
    <s v="Estrato 3"/>
    <s v="CR 44 60 B SUR 54"/>
    <s v="Antioquia"/>
    <s v="Sabaneta"/>
    <s v="No aplica, no soy foráneo"/>
    <s v="Arriendo"/>
    <s v="SI"/>
    <s v="2024"/>
    <s v="AC202437368467"/>
    <n v="317"/>
    <n v="58"/>
    <n v="69"/>
    <s v="Pública"/>
    <s v="IE JOSE MARIA CEBALLOS BOTERO"/>
    <n v="2024"/>
    <s v="Antioquia"/>
    <s v="Sabaneta"/>
    <s v="BACHILLER"/>
    <s v="TECN"/>
    <s v="TIPO: Pública, INSTITUCION: IE JOSE MARIA CEBALLOS BOTERO, AÑO: 2024, CIUDAD: Sabaneta, TITULO: BACHILLER"/>
    <s v="11"/>
    <s v="Escala de 0 - 5"/>
    <s v="Escala de 0 - 5"/>
    <s v="4,7"/>
    <s v="4,7"/>
    <m/>
    <s v="4,8"/>
    <s v="4,8"/>
    <m/>
    <n v="4.5"/>
    <n v="4.7"/>
    <m/>
    <n v="4.3"/>
    <n v="4.5"/>
    <m/>
    <s v="4,1"/>
    <s v="4"/>
    <m/>
    <s v="4,5"/>
    <s v="4,5"/>
    <m/>
    <s v="4,2"/>
    <s v="4,5"/>
    <m/>
    <s v="De 9 y 10"/>
    <n v="4.5"/>
    <s v="NO"/>
    <s v="NA"/>
    <n v="0"/>
    <n v="0"/>
    <s v="No"/>
    <n v="50"/>
    <m/>
    <n v="50"/>
    <m/>
    <n v="50"/>
    <m/>
    <s v="Muy buena aspirante."/>
    <n v="50"/>
    <s v="Con detalle por componente"/>
    <s v="Artísticas o culturales"/>
    <s v="Desde varios años atras, me ha inspirado el ejercicio de la justicia y sobre todo lo he visto como una herramienta de transformación social que con los años va evolucionando. Siempre he soñado en convertirme en una abogada la cual busca defender los derechos humanos y busca luchar contra temas como la impunidad, tambien busco darle voz a quienes no la tienen._x000a__x000a_Aspiro a ejercer mi profesión especializandome en ramas del Derecho como lo es Penal e Internacional, y trabajar en espacios donde se pueda promover la justicia y proteger a las personas más vulnerables. Mi objetivo es ser una abogada justa y equitativa, que busca promover la paz y que tiene un enfoque etico, humano y sobre todo comprometido en el cambio social._x000a__x000a_Sin duda esta beca es una gran oportunidad y un enorme privilegio el cual me ayudaria a alcanzar todos estos objetivos. Me permitira acceder a una educación acreditada y de alta calidad, ampliar mis conocimientos y mis habilidades para asi liderar distintos procesos y proyectos de transformación social con un enfoque jurídico."/>
    <s v="EAFIT es una experiencia"/>
    <s v="Por estar acreditada."/>
    <s v="Vocación."/>
    <n v="4"/>
    <s v="2"/>
    <s v="NO"/>
    <s v="NO"/>
    <s v="Entre 1 y 2 millones"/>
    <s v="Si"/>
    <n v="0"/>
    <n v="0"/>
    <m/>
    <s v="SI"/>
    <s v="Beca"/>
    <s v="NO"/>
    <s v=""/>
    <s v=""/>
    <s v="Si"/>
    <s v="Raul Rincon Gamboa"/>
    <s v="Casado"/>
    <s v="BACHILLERATO"/>
    <s v="52"/>
    <s v="Conductor"/>
    <s v="Independiente (trabaja por cuenta propia)"/>
    <s v="conductor"/>
    <s v="Independiente - Conductor vehículo Servicio Especial"/>
    <n v="5000000"/>
    <s v="Si"/>
    <s v="SI"/>
    <s v="NO"/>
    <s v=""/>
    <s v="Si"/>
    <s v="Bibiana Rocio Gutierrez Contreras"/>
    <s v="Casado"/>
    <s v="UNIVERSITARIOS"/>
    <s v="41"/>
    <s v="ama de casa"/>
    <s v="Labores del hogar y cuidado"/>
    <s v="Ama de casa"/>
    <s v="Ama de casa"/>
    <n v="0"/>
    <s v="Si"/>
    <s v="NO"/>
    <s v="NO"/>
    <m/>
    <n v="5000000"/>
    <s v="Si"/>
    <s v="Salome del Mar Rincon Gutierrez"/>
    <s v="Hermano / Hermana"/>
    <s v="6"/>
    <s v="Estudiante"/>
    <s v="Estudiante"/>
    <n v="0"/>
    <s v="No"/>
    <s v=""/>
    <s v=""/>
    <s v=""/>
    <s v=""/>
    <s v=""/>
    <m/>
    <s v=""/>
    <s v=""/>
    <s v=""/>
    <s v=""/>
    <s v=""/>
    <s v=""/>
    <m/>
    <s v=""/>
    <s v=""/>
    <n v="0"/>
    <n v="0"/>
    <n v="0"/>
    <n v="0"/>
    <n v="0"/>
    <s v="Si"/>
    <s v="Renault"/>
    <s v="2024"/>
    <n v="65000000"/>
    <s v="No"/>
    <s v=""/>
    <s v=""/>
    <n v="0"/>
    <s v="No"/>
    <s v=""/>
    <s v=""/>
    <s v=""/>
    <n v="0"/>
    <m/>
    <n v="4"/>
    <n v="4"/>
    <n v="4"/>
    <n v="4"/>
    <n v="4"/>
    <n v="3"/>
    <n v="4"/>
    <n v="4"/>
    <n v="4"/>
    <n v="4"/>
    <n v="39"/>
    <s v="SI"/>
    <m/>
    <s v="SI, SON PRI"/>
    <s v="ok tienen todos los datos"/>
    <s v="Negada"/>
    <n v="20251"/>
    <m/>
    <n v="2"/>
    <n v="10"/>
    <n v="8"/>
    <n v="5"/>
    <n v="20"/>
    <n v="15"/>
    <n v="20"/>
    <n v="18"/>
    <n v="15"/>
    <n v="85"/>
    <n v="0.4"/>
    <m/>
    <n v="3.5"/>
    <n v="4.5"/>
    <n v="3"/>
    <n v="4"/>
    <n v="3.5"/>
    <n v="4"/>
    <n v="6"/>
    <n v="4.5"/>
    <n v="86"/>
    <n v="0.6"/>
    <n v="0.6"/>
    <e v="#N/A"/>
    <m/>
    <m/>
    <n v="0"/>
    <m/>
    <m/>
    <s v="Derecho"/>
    <e v="#N/A"/>
    <s v="084"/>
    <e v="#N/A"/>
  </r>
  <r>
    <s v="TI"/>
    <n v="1147484739"/>
    <s v="1000402350"/>
    <s v="JACOBO LLANOS LEYTON"/>
    <s v="Estudios por primera vez"/>
    <x v="4"/>
    <s v="No cumple, estrato 4"/>
    <m/>
    <s v="En publico objetivo"/>
    <s v="3ra Cohorte"/>
    <s v="Admitido"/>
    <s v="jllanosl@eafit.edu.co"/>
    <s v="jllanosl@eafit.edu.co"/>
    <s v="jllanosleyton@gmail.com"/>
    <s v="573147273083"/>
    <d v="2025-05-30T00:00:00"/>
    <s v="Activo en Programa"/>
    <s v="199-Finanzas"/>
    <s v="E.Finanzas, Economía, Gobierno"/>
    <d v="2007-11-19T00:00:00"/>
    <n v="18"/>
    <s v="Bogotá"/>
    <s v="Bogotá D.C."/>
    <s v="Hombre"/>
    <s v="Soltero"/>
    <s v="NO"/>
    <s v="NO"/>
    <n v="0"/>
    <s v="NO"/>
    <s v="NA"/>
    <s v="NO"/>
    <s v="NA"/>
    <s v="NO"/>
    <s v="NA"/>
    <s v="No"/>
    <s v="314/621-2819"/>
    <s v="573147273083"/>
    <s v="Estrato 4"/>
    <s v="CALLE 19 NORTE 19 54"/>
    <s v="Quindío"/>
    <s v="Armenia"/>
    <s v="Si"/>
    <s v="Propio"/>
    <s v="SI"/>
    <s v="2024"/>
    <s v="AC202434075008"/>
    <n v="376"/>
    <n v="84"/>
    <n v="74"/>
    <s v="Privada"/>
    <s v="FRANCISCANO SAN LUIS REY"/>
    <n v="2024"/>
    <s v="Quindío"/>
    <s v="Armenia"/>
    <s v="BACHILLER"/>
    <s v="ACAD"/>
    <s v="TIPO: Privada, INSTITUCION: FRANCISCANO SAN LUIS REY, AÑO: 2024, CIUDAD: Armenia, TITULO: BACHILLER"/>
    <s v="11"/>
    <s v="Escala de 0 - 5"/>
    <s v="Escala de 0 - 5"/>
    <s v="2,8"/>
    <s v="3"/>
    <m/>
    <s v="2,8"/>
    <s v="3"/>
    <m/>
    <n v="3"/>
    <n v="3.1"/>
    <m/>
    <n v="3.1"/>
    <n v="3.1"/>
    <m/>
    <s v="3"/>
    <s v="3"/>
    <m/>
    <s v="3,3"/>
    <s v="3,3"/>
    <m/>
    <s v="3"/>
    <s v="2,6"/>
    <m/>
    <s v="De 9 y 10"/>
    <n v="3.0749999999999997"/>
    <s v="NO"/>
    <s v="NA"/>
    <n v="0"/>
    <n v="0"/>
    <s v="No"/>
    <n v="40"/>
    <m/>
    <n v="40"/>
    <m/>
    <n v="40"/>
    <m/>
    <s v="Es de Armenia y se graduó el año pasado_x000a_En estos meses ha estado estudiando Ingles"/>
    <n v="40"/>
    <s v="Con detalle por componente"/>
    <s v="Deportistas de alto rendimiento o representativo"/>
    <s v="Desde que supe que fui admitido al pregrado en Finanzas, comencé a imaginarme trabajando en algo que siempre me ha llamado la atención: entender cómo funciona el dinero, cómo se toman decisiones económicas y, sobre todo, cómo eso puede impactar positivamente a las personas y a las regiones. Me visualizo asesorando empresas, emprendimientos o incluso entidades públicas, ayudándolas a manejar mejor sus recursos, a crecer de forma sostenible y a tomar decisiones financieras más inteligentes."/>
    <s v="A través del Colegio"/>
    <s v="Por la calidad académica."/>
    <s v="Alta proyección de ingresos."/>
    <n v="1"/>
    <s v="1"/>
    <s v="NO"/>
    <s v="NO"/>
    <s v="Entre 8 y 9 millones"/>
    <s v="No"/>
    <s v="NO"/>
    <n v="0"/>
    <m/>
    <s v="SI"/>
    <s v="Beca"/>
    <s v="NO"/>
    <s v=""/>
    <s v=""/>
    <s v="Si"/>
    <s v="Carlos llanos Carvajal"/>
    <m/>
    <m/>
    <m/>
    <s v="NO APLICA"/>
    <s v="Otra"/>
    <s v="No aplica"/>
    <s v="No aplica"/>
    <n v="0"/>
    <s v="No"/>
    <m/>
    <m/>
    <s v="No vive conmigo"/>
    <s v="Si"/>
    <s v="Diana Leyton Jiménez"/>
    <s v="Soltero"/>
    <s v="BACHILLERATO"/>
    <s v="50"/>
    <s v="Ama de casa / Arrendataria"/>
    <s v="Labores del hogar y cuidado"/>
    <s v="ARRENDATARIA"/>
    <s v="N/I"/>
    <n v="3500000"/>
    <s v="Si"/>
    <s v="NO"/>
    <s v="NO"/>
    <s v="Gran mujer"/>
    <n v="3500000"/>
    <s v="No, solo vivo con mis padres"/>
    <s v=""/>
    <s v=""/>
    <s v=""/>
    <s v=""/>
    <s v=""/>
    <m/>
    <s v=""/>
    <s v=""/>
    <s v=""/>
    <s v=""/>
    <s v=""/>
    <s v=""/>
    <m/>
    <s v=""/>
    <s v=""/>
    <s v=""/>
    <s v=""/>
    <s v=""/>
    <s v=""/>
    <m/>
    <s v=""/>
    <s v=""/>
    <n v="350000000"/>
    <n v="350000000"/>
    <n v="0"/>
    <n v="0"/>
    <n v="0"/>
    <s v="Si"/>
    <s v="KIA"/>
    <s v="2020"/>
    <n v="52700000"/>
    <s v="No"/>
    <s v=""/>
    <s v=""/>
    <n v="0"/>
    <s v="No"/>
    <s v=""/>
    <s v=""/>
    <s v=""/>
    <n v="0"/>
    <m/>
    <n v="4"/>
    <n v="4"/>
    <n v="3"/>
    <n v="3"/>
    <n v="2"/>
    <n v="3"/>
    <n v="3"/>
    <n v="3"/>
    <n v="2"/>
    <n v="4"/>
    <n v="31"/>
    <s v="SI"/>
    <m/>
    <s v="SI, SON PRI"/>
    <s v="ok tienen todos los datos"/>
    <e v="#N/A"/>
    <e v="#N/A"/>
    <m/>
    <n v="2"/>
    <n v="4"/>
    <n v="4"/>
    <n v="15"/>
    <n v="5"/>
    <n v="10"/>
    <n v="10"/>
    <n v="12.5"/>
    <n v="10.5"/>
    <n v="54.5"/>
    <n v="0.4"/>
    <m/>
    <n v="2"/>
    <n v="2.5"/>
    <n v="6"/>
    <n v="0"/>
    <n v="2"/>
    <n v="2.5"/>
    <n v="8"/>
    <n v="0"/>
    <n v="56.5"/>
    <n v="0.4"/>
    <s v="Negado"/>
    <e v="#N/A"/>
    <m/>
    <m/>
    <n v="0"/>
    <m/>
    <m/>
    <s v="Finanzas"/>
    <e v="#N/A"/>
    <m/>
    <e v="#N/A"/>
  </r>
  <r>
    <s v="TI"/>
    <n v="1150184138"/>
    <s v="1000406557"/>
    <s v="SARAY NAVARRO LAGUNA"/>
    <s v="Estudios por primera vez"/>
    <x v="1"/>
    <s v="Descartado por notas"/>
    <m/>
    <s v="En publico objetivo"/>
    <s v="1er Cohorte"/>
    <s v="Admitido"/>
    <s v="snavarrol1@eafit.edu.co"/>
    <e v="#N/A"/>
    <s v="sraylaguna27@gmail.com"/>
    <s v="573043760581"/>
    <d v="2025-04-25T00:00:00"/>
    <s v="Activo en Programa"/>
    <s v="084-Derecho"/>
    <s v="Escuela de Derecho"/>
    <d v="2007-06-27T00:00:00"/>
    <n v="18"/>
    <s v="Bogotá"/>
    <s v="Bogotá D.C."/>
    <s v="Mujer"/>
    <s v="Soltero"/>
    <s v="NO"/>
    <s v="NO"/>
    <n v="0"/>
    <s v="NO"/>
    <s v="NA"/>
    <s v="NO"/>
    <s v="NA"/>
    <s v="NO"/>
    <s v="NA"/>
    <s v="No"/>
    <s v="304/396-0139"/>
    <s v="573043760581"/>
    <s v="Estrato 2"/>
    <s v="CR 23 A CL 11 B 44 MZ 65 CA 8"/>
    <s v="Cesar"/>
    <s v="Valledupar"/>
    <s v="Si"/>
    <s v="Arriendo"/>
    <s v="SI"/>
    <s v="2024"/>
    <s v="AC202431296938"/>
    <n v="370"/>
    <n v="71"/>
    <n v="76"/>
    <s v="Privada"/>
    <s v="COL. SAGRADA FAMILIA"/>
    <n v="2024"/>
    <s v="Cesar"/>
    <s v="Valledupar"/>
    <s v="BACHILLER"/>
    <s v="ACAD"/>
    <s v="TIPO: Privada, INSTITUCION: COL. SAGRADA FAMILIA, AÑO: 2024, CIUDAD: Valledupar, TITULO: BACHILLER"/>
    <s v="11"/>
    <s v="Escala de 0 - 5"/>
    <s v="Escala de 0 - 5"/>
    <s v="4"/>
    <s v="3,8"/>
    <m/>
    <s v="4"/>
    <s v="3,8"/>
    <m/>
    <n v="4"/>
    <n v="3.8"/>
    <m/>
    <n v="4.0999999999999996"/>
    <n v="4.0999999999999996"/>
    <m/>
    <s v="4,3"/>
    <s v="4"/>
    <m/>
    <s v="4,6"/>
    <s v="4,6"/>
    <m/>
    <s v="4"/>
    <s v="4,4"/>
    <m/>
    <s v="De 9 y 10"/>
    <n v="3.9999999999999996"/>
    <s v="NO"/>
    <s v="NA"/>
    <n v="0"/>
    <n v="0"/>
    <s v="No"/>
    <n v="50"/>
    <m/>
    <n v="50"/>
    <m/>
    <n v="50"/>
    <m/>
    <s v="Estudiante con gran deseo de acceder a la Universidad. Segunda vez que se presenta a una beca. Ya admitida en la Universidad de Antioquia para estudiar Derecho pero desea estudiar en EAFIT. Proveniente de Valledupar. Hija de madre viuda.  Participación en el Consejo Estudiantil de su colegio. Buena expresión oral."/>
    <n v="50"/>
    <s v="Con detalle por componente"/>
    <s v="Artísticas o culturales,Deportistas de alto rendimiento o representativo,Trabajo social o comunitario"/>
    <s v="yo me visualizo siendo un abogada perseverante y exitosa, soy alguien que se caracteriza porque nunca se rinde cuando quiere algo y yo siento que es algo muy importante me veo como alguien que puede aportar muchas cosas al país desde mi puesto, me veo teniendo una firma de abogados muy solicitada donde yo y mis compañeros con nuestra experiencia y profesionalismo ayudamos a estas personas a solucionar sus diferentes problemas jurídicos y legales._x000a_Mi sueño es poder abrir un consultorio jurídico en apoyo con alguna entidad sea pública o privada en mi ciudad la cual pueda ayudar a personas que no tienen como pagar un abogado obtengan aquí  la oportunidad de buscar una solución a su problemas legales, que sea un espacio donde puedan desarrollar sus demandas y solicitudes sin preocupación; si obtengo la beca sé que podre tener las herramientas para desarrollar este sueño que tengo, deseo con todo el corazón poder estudiar en EAFIT desde que la conocí se convirtió en mi universidad soñada, sé que puedo ser una gran abogada, denme al oportunidad de tener las herramientas para lograrlo, sé que puedo hacer grandes cosas y ayudar a mi región es una de las principales, yo he vivido y he visto todas las problemáticas sociales ,políticas y económicas que hay en mi ciudad , deseo así sea poder cambiar algo y ayudar a mi gente que se lo mucho que lo necesita."/>
    <s v="Referencias familiares"/>
    <s v="Por la calidad académica."/>
    <s v="Vocación."/>
    <n v="1"/>
    <s v="1"/>
    <s v="NO"/>
    <s v="NO"/>
    <s v="Entre 3 y 4 millones"/>
    <s v="No"/>
    <n v="0"/>
    <s v="NO"/>
    <m/>
    <s v="SI"/>
    <s v="Beca"/>
    <s v="NO"/>
    <s v=""/>
    <s v=""/>
    <s v="No, fallecido"/>
    <n v="0"/>
    <m/>
    <m/>
    <m/>
    <s v=""/>
    <s v=""/>
    <m/>
    <s v=""/>
    <m/>
    <s v=""/>
    <m/>
    <m/>
    <s v="Fue un gran economista y padre, su nombre era Jaime Navarro López"/>
    <s v="Si"/>
    <s v="Deicy Laguna Pabón"/>
    <s v="Otro"/>
    <s v="UNIVERSITARIOS"/>
    <s v="56"/>
    <s v="ama de casa"/>
    <s v="Pensionado"/>
    <s v="No trabaja"/>
    <s v="en ninguna"/>
    <n v="2358498"/>
    <s v="Si"/>
    <s v="SI"/>
    <s v="NO"/>
    <s v="Mama amorosa y luchadora, que siempre esta para sus hijos y los apoya en todo"/>
    <n v="2358498"/>
    <s v="No, solo vivo con mis padres"/>
    <s v=""/>
    <s v=""/>
    <s v=""/>
    <s v=""/>
    <s v=""/>
    <m/>
    <s v=""/>
    <s v=""/>
    <s v=""/>
    <s v=""/>
    <s v=""/>
    <s v=""/>
    <m/>
    <s v=""/>
    <s v=""/>
    <s v=""/>
    <s v=""/>
    <s v=""/>
    <s v=""/>
    <m/>
    <s v=""/>
    <s v=""/>
    <n v="0"/>
    <n v="0"/>
    <n v="0"/>
    <n v="0"/>
    <n v="0"/>
    <s v="No"/>
    <s v=""/>
    <s v=""/>
    <n v="0"/>
    <s v="No"/>
    <s v=""/>
    <s v=""/>
    <n v="0"/>
    <s v="No"/>
    <s v=""/>
    <s v=""/>
    <s v=""/>
    <n v="0"/>
    <s v="no tenemos vienes"/>
    <n v="4"/>
    <n v="3"/>
    <n v="3"/>
    <n v="4"/>
    <n v="4"/>
    <n v="3"/>
    <n v="4"/>
    <n v="3"/>
    <n v="3"/>
    <n v="4"/>
    <n v="35"/>
    <s v="SI"/>
    <m/>
    <s v="SI, SON PRI"/>
    <s v="ok tienen todos los datos"/>
    <s v="Negada"/>
    <n v="20251"/>
    <m/>
    <n v="2"/>
    <n v="10"/>
    <n v="10"/>
    <n v="15"/>
    <n v="15"/>
    <n v="15"/>
    <n v="20"/>
    <n v="18.5"/>
    <n v="18.5"/>
    <n v="93.5"/>
    <n v="0.6"/>
    <m/>
    <n v="2"/>
    <n v="4.5"/>
    <n v="8"/>
    <n v="4"/>
    <n v="2"/>
    <n v="4"/>
    <n v="8"/>
    <n v="4.5"/>
    <n v="93.5"/>
    <n v="0.7"/>
    <n v="0.8"/>
    <e v="#N/A"/>
    <m/>
    <m/>
    <n v="0"/>
    <m/>
    <m/>
    <s v="Derecho"/>
    <e v="#N/A"/>
    <s v="084"/>
    <e v="#N/A"/>
  </r>
  <r>
    <s v="TI"/>
    <n v="1150184292"/>
    <s v="1000402819"/>
    <s v="SAMUEL OLIVEROS RIOS"/>
    <s v="Transferencia Externa"/>
    <x v="1"/>
    <s v="No cumple, estrato 4"/>
    <m/>
    <s v="En publico objetivo"/>
    <s v="3ra Cohorte"/>
    <s v="Admitido"/>
    <s v="soliverosr@eafit.edu.co"/>
    <s v="soliverosr@eafit.edu.co"/>
    <s v="olisamuel07@gmail.com"/>
    <s v="573115277088"/>
    <d v="2025-05-30T00:00:00"/>
    <s v="Activo en Programa"/>
    <s v="113-Ingeniería Física"/>
    <s v="E Ciencias Aplic e Ingeniería"/>
    <d v="2007-08-02T00:00:00"/>
    <n v="18"/>
    <s v="Bogotá"/>
    <s v="Bogotá D.C."/>
    <s v="Hombre"/>
    <s v="Soltero"/>
    <s v="NO"/>
    <s v="NO"/>
    <n v="0"/>
    <s v="NO"/>
    <s v="NA"/>
    <s v="NO"/>
    <s v="NA"/>
    <s v="NO"/>
    <s v="NA"/>
    <s v="No"/>
    <s v="311/527-7088"/>
    <s v="573115277088"/>
    <s v="Estrato 4"/>
    <s v="KM 6 VIA PEREIRA VDA LOS PINOS"/>
    <s v="Quindío"/>
    <s v="Circasia"/>
    <s v="Si"/>
    <s v="Familiar"/>
    <s v="SI"/>
    <s v="2024"/>
    <s v="AC202434075206"/>
    <n v="417"/>
    <n v="100"/>
    <n v="77"/>
    <s v="Privada"/>
    <s v="COL SAN FRANCISCO SOLANO"/>
    <n v="2024"/>
    <s v="Quindío"/>
    <s v="Calarca"/>
    <s v="Bachillerato"/>
    <s v="ACAD"/>
    <s v="TIPO: Privada, INSTITUCION: COL SAN FRANCISCO SOLANO, AÑO: 2024, CIUDAD: Calarca, TITULO: BACHILLER"/>
    <n v="0"/>
    <n v="0"/>
    <s v="PCA TEX"/>
    <m/>
    <m/>
    <m/>
    <m/>
    <m/>
    <m/>
    <m/>
    <m/>
    <m/>
    <m/>
    <m/>
    <m/>
    <m/>
    <m/>
    <m/>
    <m/>
    <m/>
    <m/>
    <m/>
    <m/>
    <m/>
    <s v="Sin informacion"/>
    <n v="0"/>
    <s v="SI"/>
    <s v="TIPO: Pública, INSTITUCION: UNV. TECNOLOGICA DE PEREIRA UT, AÑO: 0, CIUDAD: Pereira, TITULO: INGENIERO FISICO (Pereira)"/>
    <s v="PREGRADO"/>
    <s v=" TITULO: INGENIERO FISICO (Pereira)"/>
    <s v="No"/>
    <n v="50"/>
    <m/>
    <n v="50"/>
    <m/>
    <n v="50"/>
    <m/>
    <s v="Se admite al programa. Esta en primer semestre en la Universidad Tecnológica de Pereira también en Ingeniería Física. Para hacer homologación de materia se debe esperar hasta final del semestre que tenga las notas de la otra universidad."/>
    <n v="50"/>
    <s v="Con detalle por componente"/>
    <s v="Deportistas de alto rendimiento o representativo,Artísticas o culturales,Trabajo social o comunitario"/>
    <s v="Como Ingeniero Físico, me visualizo trabajando en el área de la investigación y el desarrollo tecnológico, aplicando mis conocimientos para abordar desafíos en áreas como la computación cuántica e investigaciones relacionadas con la Neurociencia. Me entusiasma la idea de diseñar soluciones innovadoras que contribuyan a ayudar personas ya sea en temas de la salud o en mejorar la productividad de las mismas, usando los nuevos paradigmas de la física cuántica._x000a__x000a_Obtener esta beca de la Universidad EAFIT sería un paso fundamental para alcanzar esta meta. La excelencia académica y los recursos de la universidad me proporcionarían las herramientas y la red de contactos necesarios para especializarme y desarrollar proyectos de alto impacto._x000a__x000a_En cuanto a mi región, sueño con aplicar mis conocimientos en el apoyo de centros de investigación y desarrollo enfocados en las necesidades específicas de mi comunidad. Visualizo la implementación de programas educativos que fomenten el interés por la ciencia y la tecnología en los jóvenes._x000a__x000a_A través de la beca, no solo invertiría en mi futuro profesional, sino que también adquiriría las habilidades para convertirme en un agente de cambio positivo, impulsando la innovación y el progreso en mi región y generando oportunidades para las futuras generaciones."/>
    <s v="A través del Colegio"/>
    <s v="Por la calidad académica."/>
    <s v="Vocación."/>
    <n v="2"/>
    <s v="0"/>
    <s v="SI"/>
    <s v="NO"/>
    <s v="Entre 4 y 5 millones"/>
    <s v="No"/>
    <n v="0"/>
    <s v="SI"/>
    <s v="Crédito educativo propio"/>
    <s v="SI"/>
    <s v="Beca"/>
    <s v="NO"/>
    <s v=""/>
    <s v=""/>
    <s v="Si"/>
    <s v="OSCAR ALBERTO OLIVEROS GIRALDO"/>
    <s v="Casado"/>
    <s v="ESPECIALIZACIÓN"/>
    <s v="51"/>
    <s v="Ingeniero de Sistemas"/>
    <s v="Empleado (con contrato laboral)"/>
    <s v="LIDER AREA DE TECNOLOGIA"/>
    <s v="DYNAMICS IT S.A."/>
    <n v="11639000"/>
    <s v="Si"/>
    <s v="SI"/>
    <s v="NO"/>
    <s v=""/>
    <s v="Si"/>
    <s v="MARIA DEL PILAR RIOS RIOS"/>
    <s v="Casado"/>
    <s v="TECNOLOGÍA"/>
    <s v="52"/>
    <s v="TECNOLOGA DE SISTEMAS"/>
    <s v="Desempleado (Se encuentra en la búsqueda activa de empleo)"/>
    <s v="Ama de casa"/>
    <s v="NO APLICA"/>
    <n v="0"/>
    <s v="Si"/>
    <s v="NO"/>
    <s v="NO"/>
    <m/>
    <n v="11639000"/>
    <s v="No, solo vivo con mis padres"/>
    <s v=""/>
    <s v=""/>
    <s v=""/>
    <s v=""/>
    <s v=""/>
    <m/>
    <s v=""/>
    <s v=""/>
    <s v=""/>
    <s v=""/>
    <s v=""/>
    <s v=""/>
    <m/>
    <s v=""/>
    <s v=""/>
    <s v=""/>
    <s v=""/>
    <s v=""/>
    <s v=""/>
    <m/>
    <s v=""/>
    <s v=""/>
    <n v="120000000"/>
    <n v="0"/>
    <n v="0"/>
    <n v="0"/>
    <n v="0"/>
    <s v="Si"/>
    <s v="FORD"/>
    <s v="2016"/>
    <n v="40000000"/>
    <s v="No"/>
    <s v=""/>
    <s v=""/>
    <n v="0"/>
    <s v="No"/>
    <s v=""/>
    <s v=""/>
    <s v=""/>
    <n v="0"/>
    <m/>
    <n v="4"/>
    <n v="4"/>
    <n v="3"/>
    <n v="4"/>
    <n v="4"/>
    <n v="3"/>
    <n v="4"/>
    <n v="4"/>
    <n v="4"/>
    <n v="4"/>
    <n v="38"/>
    <s v="SI"/>
    <s v="SI, PROMEDIO"/>
    <s v="ES TEX, SIN NOTAS NI PCA"/>
    <s v="ok no darles punto por notas ni pca"/>
    <e v="#N/A"/>
    <e v="#N/A"/>
    <m/>
    <n v="1"/>
    <n v="4"/>
    <n v="4"/>
    <n v="15"/>
    <n v="0"/>
    <n v="15"/>
    <n v="20"/>
    <n v="7.5"/>
    <n v="7.5"/>
    <n v="61.5"/>
    <n v="0.4"/>
    <m/>
    <n v="2"/>
    <n v="3.5"/>
    <n v="0"/>
    <n v="2"/>
    <n v="2"/>
    <n v="3.5"/>
    <n v="0"/>
    <n v="2"/>
    <n v="61.5"/>
    <n v="0.4"/>
    <n v="0.4"/>
    <e v="#N/A"/>
    <m/>
    <m/>
    <s v="SI, PROMEDIO"/>
    <m/>
    <m/>
    <s v="Ingeniería Física"/>
    <e v="#N/A"/>
    <s v="113"/>
    <e v="#N/A"/>
  </r>
  <r>
    <s v="CC"/>
    <n v="1152226454"/>
    <s v="1000408217"/>
    <s v="MARIA CAMILA CORTES ARISTIZABAL"/>
    <s v="Estudios por primera vez"/>
    <x v="1"/>
    <s v="No cumple, estrato 4"/>
    <m/>
    <s v="En publico objetivo"/>
    <s v="3ra Cohorte"/>
    <s v="Admitido"/>
    <s v="mccortesa1@eafit.edu.co"/>
    <e v="#N/A"/>
    <s v="mcca29999@gmail.com"/>
    <s v="310/854-6812"/>
    <d v="2025-05-30T00:00:00"/>
    <s v="Activo en Programa"/>
    <s v="085-Ingeniería Diseño de Producto"/>
    <s v="E Ciencias Aplic e Ingeniería"/>
    <d v="1999-09-29T00:00:00"/>
    <n v="26"/>
    <s v="Antioquia"/>
    <s v="Medellín"/>
    <s v="Mujer"/>
    <s v="Soltero"/>
    <s v="NO"/>
    <s v="NO"/>
    <n v="0"/>
    <s v="NO"/>
    <s v="NA"/>
    <s v="NO"/>
    <s v="NA"/>
    <s v="NO"/>
    <s v="NA"/>
    <s v="No"/>
    <s v="310/854-6812"/>
    <s v="310/854-6812"/>
    <s v="Estrato 4"/>
    <s v="CR 96 C #50 A- 280"/>
    <s v="Antioquia"/>
    <s v="Medellín"/>
    <s v="No aplica, no soy foráneo"/>
    <s v="Arriendo"/>
    <s v="SI"/>
    <s v="2016"/>
    <s v="AC201625166749"/>
    <n v="292"/>
    <n v="59"/>
    <n v="54"/>
    <s v="Privada"/>
    <s v="DE LA UNV. PONTIFICIA BOLIVARI"/>
    <n v="2016"/>
    <s v="Antioquia"/>
    <s v="Medellín"/>
    <s v="BACHILLER"/>
    <s v="ACAD"/>
    <s v="TIPO: Privada, INSTITUCION: DE LA UNV. PONTIFICIA BOLIVARI, AÑO: 2016, CIUDAD: Medellín, TITULO: BACHILLER"/>
    <s v="11"/>
    <s v="Escala de 0 - 5"/>
    <s v="Escala de 0 - 5"/>
    <s v="4"/>
    <s v="4"/>
    <m/>
    <s v="4"/>
    <s v="4"/>
    <m/>
    <n v="4"/>
    <n v="3.5"/>
    <m/>
    <n v="4"/>
    <n v="4"/>
    <m/>
    <s v="4"/>
    <s v="4"/>
    <m/>
    <s v="4"/>
    <s v="4"/>
    <m/>
    <s v="4"/>
    <s v="4"/>
    <m/>
    <s v="De 9 y 10"/>
    <n v="3.875"/>
    <s v="NO"/>
    <s v="NA"/>
    <n v="0"/>
    <n v="0"/>
    <s v="No"/>
    <n v="50"/>
    <m/>
    <n v="50"/>
    <m/>
    <n v="50"/>
    <m/>
    <m/>
    <n v="50"/>
    <s v="Con detalle por componente"/>
    <s v="Trabajo social o comunitario"/>
    <s v="Algo que me ha caracterizado desde pequeña es encontrar múltiples soluciones en donde hay necesidades. Mis experiencias personales y lo que he atravesado a lo largo de mi vida me ha llevado a identificar muy bien aspectos que requieren mejoras o propuestas para la evolución o transición de situaciones en general. Esto también ha desarrollado en mí la creatividad y me ha convertido en alguien que de manera algo instintiva puede ver claramente necesidades y/o problemas y buscar soluciones aplicando métodos y caminos diferentes, y disfrutando de la misma manera al evaluar cada propuesta, ensayar, y si es necesario volver a empezar._x000a_Me gustan mucho los retos, y me gusta más ver el desenlace benéfico de algo que inicialmente tenía muchas cosas por mejorar, además que ser parte y aportar en cada proceso me parece muy enriquecedor._x000a_Me gustaría especializarme en el diseño de productos que impacten positivamente en sectores como la salud, la educación o la movilidad, especialmente en contextos con recursos limitados._x000a_Vivimos en un país lleno de retos económicos, sociales, ambientales, que con ideas integradoras se podrían hacer cambios significativos para muchas comunidades. En Eafit desarrollaré conocimientos y habilidades de ingeniería, creatividad y herramientas para transformar realidades desde el enfoque humano, ya sea con educación accesible o incluso con dispositivos que busquen mejorar la calidad de vida de las personas. _x000a_Obtener esta beca sería sin duda una oportunidad invaluable para explotar toda mi energía en el estudio y preparación que exige este campo. Además representaría un compromiso moral regresar ese apoyo con proyectos que aporten valor al ámbito en donde me desenvuelva laboralmente._x000a_He confirmado que trabajar con propósito logra cosas inimaginables, y estaría más que honrada y feliz convirtiéndome en una profesional que diseña con propósito y construye país desde la empatía e innovación."/>
    <s v="Amigos"/>
    <s v="Internacionalización."/>
    <s v="Vocación."/>
    <n v="3"/>
    <s v="1"/>
    <s v="NO"/>
    <s v="NO"/>
    <s v="Entre 4 y 5 millones"/>
    <s v="No"/>
    <s v="SI"/>
    <s v="SI"/>
    <s v="Crédito educativo propio"/>
    <s v="SI"/>
    <s v="Beca"/>
    <s v="SI"/>
    <s v="INDEPENDIENTE"/>
    <s v="Independiente"/>
    <s v="Si"/>
    <s v="Omar Darío Cortés Cardona"/>
    <s v="Soltero"/>
    <s v="ESPECIALIZACIÓN"/>
    <s v="55"/>
    <s v="Ingeniero de Sistemas"/>
    <s v="Empleado (con contrato laboral)"/>
    <s v="Analista de sistemas"/>
    <s v="Corporación Colegio Montessori"/>
    <n v="4800000"/>
    <s v="Si"/>
    <s v="NO"/>
    <s v="NO"/>
    <s v=""/>
    <s v="Si"/>
    <s v="Sandra Astrid Aristizábal Londoño"/>
    <s v="Soltero"/>
    <s v="TECNOLOGÍA"/>
    <s v="55"/>
    <s v="Independiente"/>
    <s v="Independiente (trabaja por cuenta propia)"/>
    <s v="Independiente, vendedora online de productos"/>
    <s v="Independiente, no aplica"/>
    <n v="1800000"/>
    <s v="Si"/>
    <s v="NO"/>
    <s v="NO"/>
    <m/>
    <n v="6600000"/>
    <s v="Si"/>
    <s v="Johan Daniel Cortés Aristizábal"/>
    <s v="Hermano / Hermana"/>
    <s v="24"/>
    <s v="Estudiante"/>
    <s v="ITM"/>
    <n v="1000000"/>
    <s v="No"/>
    <s v=""/>
    <s v=""/>
    <s v=""/>
    <s v=""/>
    <s v=""/>
    <m/>
    <s v=""/>
    <s v=""/>
    <s v=""/>
    <s v=""/>
    <s v=""/>
    <s v=""/>
    <m/>
    <s v=""/>
    <s v=""/>
    <n v="0"/>
    <n v="0"/>
    <n v="0"/>
    <n v="0"/>
    <n v="0"/>
    <s v="Si"/>
    <s v="Hyundai"/>
    <s v="2015"/>
    <n v="27000000"/>
    <s v="No"/>
    <s v=""/>
    <s v=""/>
    <n v="0"/>
    <s v="Si"/>
    <s v="Carro"/>
    <s v="Renault"/>
    <s v="2007"/>
    <n v="15000000"/>
    <m/>
    <n v="4"/>
    <n v="4"/>
    <n v="3"/>
    <n v="4"/>
    <n v="4"/>
    <n v="4"/>
    <n v="3"/>
    <n v="4"/>
    <n v="3"/>
    <n v="4"/>
    <n v="37"/>
    <s v="SI"/>
    <m/>
    <s v="SI, SON PRI"/>
    <s v="ok tienen todos los datos"/>
    <e v="#N/A"/>
    <e v="#N/A"/>
    <m/>
    <n v="3"/>
    <n v="4"/>
    <n v="4"/>
    <n v="0"/>
    <n v="10"/>
    <n v="15"/>
    <n v="20"/>
    <n v="13.5"/>
    <n v="13.5"/>
    <n v="62.5"/>
    <n v="0.4"/>
    <m/>
    <n v="2"/>
    <n v="4.5"/>
    <n v="3"/>
    <n v="4"/>
    <n v="2"/>
    <n v="4"/>
    <n v="3"/>
    <n v="4.5"/>
    <n v="62.5"/>
    <n v="0.4"/>
    <n v="0.4"/>
    <e v="#N/A"/>
    <m/>
    <m/>
    <n v="0"/>
    <m/>
    <m/>
    <s v="Ingeniería Diseño de Producto"/>
    <e v="#N/A"/>
    <s v="085"/>
    <e v="#N/A"/>
  </r>
  <r>
    <s v="CC"/>
    <n v="1152717900"/>
    <s v="1000406150"/>
    <s v="MARIA CAMILA MARIN SANCHEZ"/>
    <s v="Estudios por primera vez"/>
    <x v="1"/>
    <s v="Descartado por bajo icfes"/>
    <m/>
    <s v="En publico objetivo"/>
    <s v="3ra Cohorte"/>
    <s v="Admitido"/>
    <s v="mcmarins1@eafit.edu.co"/>
    <e v="#N/A"/>
    <s v="mariamarin1415@gmail.com"/>
    <s v="573218079680"/>
    <d v="2025-05-30T00:00:00"/>
    <s v="Activo en Programa"/>
    <s v="003-Economía"/>
    <s v="E.Finanzas, Economía, Gobierno"/>
    <d v="1999-12-14T00:00:00"/>
    <n v="25"/>
    <s v="Antioquia"/>
    <s v="Medellín"/>
    <s v="Mujer"/>
    <s v="Soltero"/>
    <s v="NO"/>
    <s v="NO"/>
    <n v="0"/>
    <s v="NO"/>
    <s v="NA"/>
    <s v="NO"/>
    <s v="NA"/>
    <s v="NO"/>
    <s v="NA"/>
    <s v="No"/>
    <s v="573218079680"/>
    <s v="573218079680"/>
    <s v="Estrato 2"/>
    <s v="CL 89 #67 94"/>
    <s v="Antioquia"/>
    <s v="Medellín"/>
    <s v="No aplica, no soy foráneo"/>
    <s v="Arriendo"/>
    <s v="SI"/>
    <s v="2016"/>
    <s v="AC201621022334"/>
    <n v="302"/>
    <n v="58"/>
    <n v="63"/>
    <s v="Pública"/>
    <s v="INST EDUC LOLA GONZALEZ"/>
    <n v="2016"/>
    <s v="Antioquia"/>
    <s v="Medellín"/>
    <s v="BACHILLER"/>
    <s v="ACAD"/>
    <s v="TIPO: Pública, INSTITUCION: INST EDUC LOLA GONZALEZ, AÑO: 2016, CIUDAD: Medellín, TITULO: BACHILLER"/>
    <s v="11"/>
    <s v="Escala de 0 - 5"/>
    <s v="Escala de 0 - 5"/>
    <s v="4"/>
    <s v="4"/>
    <m/>
    <s v="4"/>
    <s v="4"/>
    <m/>
    <n v="5"/>
    <n v="4"/>
    <m/>
    <n v="4.5"/>
    <n v="4.5"/>
    <m/>
    <s v="4,5"/>
    <s v="4,5"/>
    <m/>
    <s v="4,5"/>
    <s v="4,5"/>
    <m/>
    <s v="4,5"/>
    <s v="4,5"/>
    <m/>
    <s v="De 9 y 10"/>
    <n v="4.5"/>
    <s v="NO"/>
    <s v="NA"/>
    <n v="0"/>
    <n v="0"/>
    <s v="No"/>
    <n v="35"/>
    <m/>
    <n v="40"/>
    <m/>
    <n v="40"/>
    <m/>
    <m/>
    <n v="38.333333333333336"/>
    <s v="Con detalle por componente"/>
    <s v="Deportistas de alto rendimiento o representativo,Trabajo social o comunitario,Espacios de liderazgo o representación social"/>
    <s v="Quiero estudiar Economía porque tengo un gran interés por comprender cómo funciona nuestro sistema económico y financiero, y cómo a partir de ese conocimiento se pueden tomar decisiones que mejoren la vida de las personas. Incluso estuve considerando estudiar Finanzas, pero me decidí por Economía porque me ofrece una visión más amplia y estructural de los problemas que enfrentamos como sociedad._x000a__x000a_Me visualizo como un economista comprometido con el análisis riguroso de la realidad del país, capaz de interpretar datos, formular políticas y proponer soluciones que impulsen el desarrollo regional. Quiero trabajar en proyectos que ayuden a reducir la desigualdad, mejorar la educación financiera en comunidades vulnerables y fomentar el crecimiento de economías locales a través del emprendimiento y la innovación_x000a_La beca representa mucho más que un apoyo económico: es un puente hacia el conocimiento que me permitirá retribuir a mi comunidad con herramientas concretas. Con este respaldo, podría dedicarme por completo a mi formación académica y participar en proyectos de investigación, voluntariados y prácticas que me conecten con las realidades del país."/>
    <s v="Página WEB"/>
    <s v="Por la calidad académica."/>
    <s v="Vocación."/>
    <n v="0"/>
    <s v="1"/>
    <s v="SI"/>
    <s v="NO"/>
    <s v="Entre 1 y 2 millones"/>
    <s v="No"/>
    <n v="0"/>
    <n v="0"/>
    <m/>
    <s v="SI"/>
    <s v="Beca"/>
    <s v="NO"/>
    <s v=""/>
    <s v=""/>
    <s v="Sin información"/>
    <n v="0"/>
    <m/>
    <m/>
    <m/>
    <s v=""/>
    <s v=""/>
    <m/>
    <s v=""/>
    <m/>
    <s v=""/>
    <m/>
    <m/>
    <s v="Mi mama y ella se separaron hace mucho tiempo y económicamente ni paternalmente, no se hizo cargo de mi, el vive, y hablo con el de vez en cuando sin embargo no hay una relacion solida"/>
    <s v="Si"/>
    <s v="Gloria Sánchez Agudelo"/>
    <s v="Soltero"/>
    <s v="TECNOLOGÍA"/>
    <s v="45"/>
    <s v="Tecnóloga en gestión medio ambiente, calidad y salud y seguridad en el trabajo"/>
    <s v="Empleado (con contrato laboral)"/>
    <s v="SUPERVISORA HSE."/>
    <s v="ROCK DRILL GROUP S.A.S"/>
    <n v="1900000"/>
    <s v="No"/>
    <s v="NO"/>
    <s v="NO"/>
    <s v="Mi madre se radica en el lugar donde este laborando, es por eso que no vivo con ella y como ella trabajan en obras civiles"/>
    <n v="1900000"/>
    <s v="No, vivo solo"/>
    <s v=""/>
    <s v=""/>
    <s v=""/>
    <s v=""/>
    <s v=""/>
    <m/>
    <s v=""/>
    <s v=""/>
    <s v=""/>
    <s v=""/>
    <s v=""/>
    <s v=""/>
    <m/>
    <s v=""/>
    <s v=""/>
    <s v=""/>
    <s v=""/>
    <s v=""/>
    <s v=""/>
    <m/>
    <s v=""/>
    <s v=""/>
    <n v="0"/>
    <n v="0"/>
    <n v="0"/>
    <n v="0"/>
    <n v="0"/>
    <s v="No"/>
    <s v=""/>
    <s v=""/>
    <n v="0"/>
    <s v="No"/>
    <s v=""/>
    <s v=""/>
    <n v="0"/>
    <s v="No"/>
    <s v=""/>
    <s v=""/>
    <s v=""/>
    <n v="0"/>
    <m/>
    <n v="4"/>
    <n v="4"/>
    <n v="4"/>
    <n v="4"/>
    <n v="3"/>
    <n v="4"/>
    <n v="3"/>
    <n v="4"/>
    <n v="4"/>
    <n v="4"/>
    <n v="38"/>
    <s v="SI"/>
    <m/>
    <s v="SI, SON PRI"/>
    <s v="ok tienen todos los datos"/>
    <e v="#N/A"/>
    <e v="#N/A"/>
    <m/>
    <n v="2"/>
    <n v="10"/>
    <n v="10"/>
    <n v="5"/>
    <n v="20"/>
    <n v="15"/>
    <n v="10"/>
    <n v="20"/>
    <n v="20"/>
    <n v="80"/>
    <s v="80 - 100%"/>
    <m/>
    <n v="3.5"/>
    <n v="4.5"/>
    <n v="8"/>
    <n v="4"/>
    <n v="3.5"/>
    <n v="4"/>
    <n v="8"/>
    <n v="4.5"/>
    <n v="80"/>
    <s v="80 - 100%"/>
    <n v="0.7"/>
    <e v="#N/A"/>
    <s v="se baja 1 cupo del 100% por pregrado"/>
    <m/>
    <n v="0"/>
    <m/>
    <m/>
    <s v="Economía"/>
    <e v="#N/A"/>
    <s v="003"/>
    <e v="#N/A"/>
  </r>
  <r>
    <s v="TI"/>
    <n v="1192463281"/>
    <s v="1000404521"/>
    <s v="JERONIMO CASTAÑEDA VELÁSQUEZ"/>
    <s v="Estudios por primera vez"/>
    <x v="1"/>
    <s v="Descartado por ingresos altos"/>
    <m/>
    <s v="En publico objetivo"/>
    <s v="1er Cohorte"/>
    <s v="Admitido"/>
    <s v="jcastanev1@eafit.edu.co"/>
    <e v="#N/A"/>
    <s v="casta.11924@gmail.com"/>
    <s v="311/639-0334"/>
    <d v="2025-04-25T00:00:00"/>
    <s v="Activo en Programa"/>
    <s v="010-Ingeniería de Sistemas"/>
    <s v="E Ciencias Aplic e Ingeniería"/>
    <d v="2008-11-04T00:00:00"/>
    <n v="17"/>
    <s v="Antioquia"/>
    <s v="Medellín"/>
    <s v="Hombre"/>
    <s v="Soltero"/>
    <s v="NO"/>
    <s v="NO"/>
    <n v="0"/>
    <s v="NO"/>
    <s v="NA"/>
    <s v="SI"/>
    <s v="Afrocolombianos"/>
    <s v="NO"/>
    <s v="NA"/>
    <s v="No"/>
    <s v="311/639-0334"/>
    <s v="311/639-0334"/>
    <s v="Estrato 3"/>
    <s v="CL 34 B #113 D- 64"/>
    <s v="Antioquia"/>
    <s v="Medellín"/>
    <s v="Si"/>
    <s v="Arriendo"/>
    <s v="SI"/>
    <s v="2024"/>
    <s v="AC202430113497"/>
    <n v="340"/>
    <n v="77"/>
    <n v="59"/>
    <s v="Pública"/>
    <s v="I.E. GONZALO MEJIA"/>
    <n v="2024"/>
    <s v="Antioquia"/>
    <s v="Chigorodó"/>
    <s v="BACHILLER"/>
    <s v="ACAD"/>
    <s v="TIPO: Pública, INSTITUCION: I.E. GONZALO MEJIA, AÑO: 2024, CIUDAD: Chigorodó, TITULO: BACHILLER"/>
    <s v="11"/>
    <s v="Escala de 0 - 5"/>
    <s v="Escala de 0 - 5"/>
    <s v="4"/>
    <s v="3,8"/>
    <m/>
    <s v="4"/>
    <s v="3,9"/>
    <m/>
    <n v="4.3"/>
    <n v="4"/>
    <m/>
    <n v="4.7"/>
    <n v="3.7"/>
    <m/>
    <s v="4,7"/>
    <s v="3,7"/>
    <m/>
    <s v="3,4"/>
    <s v="3,4"/>
    <m/>
    <s v="4,5"/>
    <s v="4"/>
    <m/>
    <s v="De 9 y 10"/>
    <n v="4.1749999999999998"/>
    <s v="NO"/>
    <s v="NA"/>
    <n v="0"/>
    <n v="0"/>
    <s v="No"/>
    <n v="50"/>
    <m/>
    <n v="50"/>
    <m/>
    <n v="45"/>
    <m/>
    <s v="Aspirante con un proceso de trabajo con EAFIT Social, personero en su colegio y líder de proyectos en tecnología, muy convencido e informado del pregrado en Ingeniería de Sistemas.  Aplicó en el 2023 a la beca talento pero algo pasó en su proceso pues no fue informado de los resultados"/>
    <n v="48.333333333333336"/>
    <s v="Con detalle por componente"/>
    <s v="Deportistas de alto rendimiento o representativo,Trabajo social o comunitario"/>
    <s v="Ahora que fui admitido a la universidad de EAFIT, en el pregrado de ingeniería en sistemas, quisiera inspirar a mi región a través de la sistematización y creación de nuevas tecnologías, para poder impactar a mi Urabá Antioqueño._x000a__x000a_El Urabá cada vez más genera más necesidad en el sentido de crear sistemas eficientes, accesibles, prácticos y sencillos, como el puerto marítimo en turbo dónde se necesitan procedimientos tecnológicos de alto nivel, o por otro lado, está la producción de banano, dónde con ayuda de herramientas tecnológicas lograr transformar la producción, almacenamiento y contabilidad de las bananeras aledañas a la región será la meta._x000a__x000a_A falta de profesionales en la zona, con esta beca, no sólo me ayudan a mí, sé que mi conocimiento va a ser útil para transformar muchísimas más personas de mi subregión, mi departamento, el país, y para el mundo entero. Quiero estudiar en la ciudad de Medellín, pero sé que cuando termine, tomaré retorno a mi subregión para seguir contribuyendo con el cambio en mi región desde un ámbito más técnico y desarrollado, apoyado y mediado por un profesional egresado de la universidad EAFIT."/>
    <s v="EAFIT es una experiencia"/>
    <s v="Por la calidad académica."/>
    <s v="Vocación."/>
    <n v="2"/>
    <s v="0"/>
    <s v="SI"/>
    <s v="NO"/>
    <s v="Entre 5 y 6 millones"/>
    <s v="No"/>
    <n v="0"/>
    <n v="0"/>
    <m/>
    <s v="SI"/>
    <s v="Beca"/>
    <s v="NO"/>
    <s v=""/>
    <s v=""/>
    <s v="Sin información"/>
    <n v="0"/>
    <m/>
    <m/>
    <m/>
    <s v=""/>
    <s v=""/>
    <m/>
    <s v=""/>
    <m/>
    <s v=""/>
    <m/>
    <m/>
    <s v="Toda mi vida he crecido y he estado junto a mi mamá, tengo poco contacto con él, pero siempre ha existido la ausencia de él."/>
    <s v="Si"/>
    <s v="Liliana Velásquez Vanegas"/>
    <s v="Otro"/>
    <m/>
    <s v="46"/>
    <s v="Licenciada en educación con énfasis en lenguaje"/>
    <s v="Empleado (con contrato laboral)"/>
    <s v="Docente"/>
    <s v="Institución Educativa Agrícola de Urabá"/>
    <n v="6000000"/>
    <s v="Si"/>
    <s v="NO"/>
    <s v="NO"/>
    <m/>
    <n v="6000000"/>
    <s v="No, solo vivo con mis padres"/>
    <s v=""/>
    <s v=""/>
    <s v=""/>
    <s v=""/>
    <s v=""/>
    <m/>
    <s v=""/>
    <s v=""/>
    <s v=""/>
    <s v=""/>
    <s v=""/>
    <s v=""/>
    <m/>
    <s v=""/>
    <s v=""/>
    <s v=""/>
    <s v=""/>
    <s v=""/>
    <s v=""/>
    <m/>
    <s v=""/>
    <s v=""/>
    <n v="0"/>
    <n v="0"/>
    <n v="0"/>
    <n v="0"/>
    <n v="1"/>
    <s v="No"/>
    <s v=""/>
    <s v=""/>
    <n v="0"/>
    <s v="No"/>
    <s v=""/>
    <s v=""/>
    <n v="0"/>
    <s v="No"/>
    <s v=""/>
    <s v=""/>
    <s v=""/>
    <n v="0"/>
    <m/>
    <n v="3"/>
    <n v="4"/>
    <n v="4"/>
    <n v="4"/>
    <n v="4"/>
    <n v="3"/>
    <n v="4"/>
    <n v="4"/>
    <n v="4"/>
    <n v="3"/>
    <n v="37"/>
    <s v="SI"/>
    <m/>
    <s v="SI, SON PRI"/>
    <s v="ok tienen todos los datos"/>
    <s v="Negada"/>
    <n v="20251"/>
    <m/>
    <n v="3"/>
    <n v="10"/>
    <n v="8"/>
    <n v="10"/>
    <n v="15"/>
    <n v="15"/>
    <n v="20"/>
    <n v="15"/>
    <n v="14"/>
    <n v="84"/>
    <n v="0.4"/>
    <m/>
    <n v="3.5"/>
    <n v="4.5"/>
    <n v="3"/>
    <n v="3"/>
    <n v="3.5"/>
    <n v="4"/>
    <n v="3"/>
    <n v="4.5"/>
    <n v="83"/>
    <n v="0.5"/>
    <n v="0.5"/>
    <e v="#N/A"/>
    <m/>
    <m/>
    <n v="0"/>
    <m/>
    <m/>
    <s v="Ingeniería de Sistemas"/>
    <e v="#N/A"/>
    <s v="010"/>
    <e v="#N/A"/>
  </r>
  <r>
    <s v="CC"/>
    <n v="1193133349"/>
    <s v="1000336429"/>
    <s v="JUAN DAVID CARVAJAL OSORNO"/>
    <s v="Transferencia Externa"/>
    <x v="2"/>
    <s v="No cumple, puntaje ICFES menor a 300"/>
    <s v="Marco si finalizo pregrado, se evidencia que es tecnologo"/>
    <s v="En publico objetivo"/>
    <s v="3ra Cohorte"/>
    <s v="Admitido"/>
    <s v="jdcarvajao@eafit.edu.co"/>
    <s v="jdcarvajao@eafit.edu.co"/>
    <s v="juandanes401@gmail.com"/>
    <s v="573016723486"/>
    <d v="2025-05-30T00:00:00"/>
    <s v="Activo en Programa"/>
    <s v="010-Ingeniería de Sistemas"/>
    <s v="E Ciencias Aplic e Ingeniería"/>
    <d v="2003-07-14T00:00:00"/>
    <n v="22"/>
    <s v="Antioquia"/>
    <s v="Medellín"/>
    <s v="Hombre"/>
    <s v="Soltero"/>
    <s v="NO"/>
    <s v="NO"/>
    <n v="0"/>
    <s v="NO"/>
    <s v="NA"/>
    <s v="NO"/>
    <s v="NA"/>
    <s v="NO"/>
    <s v="NA"/>
    <s v="No"/>
    <s v="508-1690"/>
    <s v="573016723486"/>
    <s v="Estrato 3"/>
    <s v="CR 88 #92 F 03"/>
    <s v="Antioquia"/>
    <s v="Medellín"/>
    <s v="No aplica, no soy foráneo"/>
    <s v="Propio"/>
    <s v="SI"/>
    <s v="2020"/>
    <s v="AC202040715920"/>
    <n v="248"/>
    <n v="63"/>
    <n v="62"/>
    <s v="Pública"/>
    <s v="INS TEC INDUSTRIAL PASCUAL BRA"/>
    <n v="2020"/>
    <m/>
    <s v="Medellín"/>
    <s v="Técnico"/>
    <s v="BACHILLER"/>
    <s v="TIPO: Pública, INSTITUCION: INS TEC INDUSTRIAL PASCUAL BRA, AÑO: 2020, CIUDAD: Medellín, TITULO: BACHILLER"/>
    <n v="0"/>
    <n v="0"/>
    <s v="PCA TEX"/>
    <m/>
    <m/>
    <m/>
    <m/>
    <m/>
    <m/>
    <m/>
    <m/>
    <m/>
    <m/>
    <m/>
    <m/>
    <m/>
    <m/>
    <m/>
    <m/>
    <m/>
    <m/>
    <m/>
    <m/>
    <m/>
    <s v="Ver PCA TEX"/>
    <n v="4"/>
    <s v="SI"/>
    <s v="TIPO: Pública, INSTITUCION: POLITECN  COLOMB JAIME ISAZA C, AÑO: 2023, CIUDAD: Medellín, TITULO: TECNÓLOGO (A) EN SISTEMATIZACION DE DATOS (Medellín) | TIPO: Pública, INSTITUCION: POLITECN  COLOMB JAIME ISAZA C, AÑO: 0, CIUDAD: Medellín, TITULO: TECNOLOGO EN SISTEMATIZACION DE DATOS (Medellín) | TIPO: Pública, INSTITUCION: POLITECN  COLOMB JAIME ISAZA C, AÑO: 2023, CIUDAD: Medellín, TITULO: TÉCNICO (A) PROFESIONAL EN PROGRAMACIÓN DE SISTEMAS DE INFORMACIÓN (Medellín)"/>
    <s v="TECNOLOGIA"/>
    <s v=" TITULO: TECNÓLOGO (A) EN SISTEMATIZACION DE DATOS (Medellín) | TIPO: Pública"/>
    <s v="No"/>
    <n v="45"/>
    <m/>
    <n v="50"/>
    <m/>
    <n v="50"/>
    <m/>
    <m/>
    <n v="48.333333333333336"/>
    <s v="Con detalle por componente"/>
    <s v="Espacios de liderazgo o representación social,Artísticas o culturales"/>
    <s v="Me visualizo siendo un profesional en el campo del software con una gran capacidad de liderazgo y pensamiento crítico, aportando no solo a la(s) organización(es) sino también a la sociedad, también me visualizo como emprendedor, creando empresa para así ofrecer soluciones tecnológicas a la sociedad y por otro lado aportar al crecimiento de la economía a través del empleo. Del mismo modo, quisiera poder aportar significativamente a la universidad EAFIT, universidad a la que admiro y respeto por el gran aporte que brinda no solo a los estudiantes sino también a la ciudad y al país, representar a la universidad EAFIT en proyectos locales e internacionales con mucho orgullo._x000a_A través de esta beca tendré la habilidad y capacidad de poder aportar no solo a mi barrio ni a la ciudad que me vio crecer, sino también a nivel nacional e incluso internacionalmente de resolver los problemas tecnológicos que se presenten en la sociedad._x000a_Al obtener esta beca mi objetivo es muy claro, es poder obtener los conocimientos que me brinda la universidad gracias a su calidad académica, capacitarme en emprendimiento y liderazgo, aportar significativamente a la universidad, crecer personal y profesionalmente, ejercer la profesión con las mejores habilidades obtenidas durante el periodo universitario y finalmente aportar de mejor manera a la sociedad con soluciones tecnológicas que impacten al ecosistema."/>
    <s v="Redes sociales"/>
    <s v="Por la calidad académica."/>
    <s v="Vocación."/>
    <n v="2"/>
    <s v="1"/>
    <s v="NO"/>
    <s v="NO"/>
    <s v="Entre 1 y 2 millones"/>
    <s v="No"/>
    <s v="NO"/>
    <n v="0"/>
    <m/>
    <s v="SI"/>
    <s v="Beca"/>
    <s v="NO"/>
    <s v=""/>
    <s v=""/>
    <s v="No, fallecido"/>
    <n v="0"/>
    <m/>
    <m/>
    <m/>
    <s v=""/>
    <s v=""/>
    <m/>
    <s v=""/>
    <m/>
    <s v=""/>
    <m/>
    <m/>
    <s v="Lubin Alberto Carvajal Rueda, con CC 14873598 nació en Tonusco el 17 de Agosto de 1952 (aunque en su registro civil aparece de Santafé de Antioquia, Antioquia).Murió el 23 de Noviembre de 2009 (a sus 57 años), dejando viuda a mi madre a los 31 años, a mi hermano y a mí de 6 años de edad.Gracias a él, mi madre recibe la pensión que él dejó, y también el hogar.Fue comerciante textil, iba a diferentes ciudades del país con el fin de hacer ventas de ropa en otros almacenes."/>
    <s v="Si"/>
    <s v="Claudia Patricia Osorno Ocampo"/>
    <s v="Otro"/>
    <s v="PRIMARIA"/>
    <s v="47"/>
    <s v="Confeccionista"/>
    <s v="Independiente (trabaja por cuenta propia)"/>
    <s v="Confeccionista"/>
    <s v="Independiente"/>
    <n v="2000000"/>
    <s v="Si"/>
    <s v="NO"/>
    <s v="NO"/>
    <s v="Claudia Patricia Osorno Ocampo, con CC 43625269, nació en Pueblorrico, Antioquia el 17 de Febrero de 1978.Es confeccionista independiente y es quien lleva la responsabilidad económica al hogar, con ingreso mensual alrededor de 2'000.000 (incluyendo la pensión que nos dejó mi padre), es también quien me apoya para la Universidad.Es quien me ha dado el apoyo en la universidad desde los inicios."/>
    <n v="2000000"/>
    <s v="Si"/>
    <s v="Juan Camilo Carvajal Osorno"/>
    <s v="Hermano / Hermana"/>
    <s v="21"/>
    <s v="Estudiante"/>
    <s v="Politécnico Colombiano Jaime Isaza Cadavid"/>
    <n v="0"/>
    <s v="No"/>
    <s v=""/>
    <s v=""/>
    <s v=""/>
    <s v=""/>
    <s v=""/>
    <m/>
    <s v=""/>
    <s v=""/>
    <s v=""/>
    <s v=""/>
    <s v=""/>
    <s v=""/>
    <m/>
    <s v=""/>
    <s v="Juan Camilo Carvajal Osorno (Mi hermano), con CC 1193133348, 21 años de edad, nació en Medellín, Antioquia.Actualmente estudia Tecnología en Sistematización de Datos en el Politécnico Colombiano Jaime Isaza Cadavid."/>
    <n v="0"/>
    <n v="89269000"/>
    <n v="0"/>
    <n v="0"/>
    <n v="0"/>
    <s v="No"/>
    <s v=""/>
    <s v=""/>
    <n v="0"/>
    <s v="No"/>
    <s v=""/>
    <s v=""/>
    <n v="0"/>
    <s v="No"/>
    <s v=""/>
    <s v=""/>
    <s v=""/>
    <n v="0"/>
    <s v="El apartamento que nos dejó mi padre con un avaluó total de&amp;#58; 89.269.000En el barrio brisas de robledo, Medellín."/>
    <n v="4"/>
    <n v="4"/>
    <n v="3"/>
    <n v="4"/>
    <n v="3"/>
    <n v="4"/>
    <n v="4"/>
    <n v="4"/>
    <n v="2"/>
    <n v="3"/>
    <n v="35"/>
    <s v="SI"/>
    <m/>
    <s v="SI, SON TEX, EN LUGAR DE NOTAS TIENEN PCA"/>
    <s v="ok se valida por llamada, hizo tecnologia"/>
    <e v="#N/A"/>
    <e v="#N/A"/>
    <m/>
    <n v="3"/>
    <n v="10"/>
    <n v="8"/>
    <n v="0"/>
    <n v="15"/>
    <n v="15"/>
    <n v="20"/>
    <n v="17"/>
    <n v="17"/>
    <n v="77"/>
    <n v="0.5"/>
    <m/>
    <n v="3.5"/>
    <n v="2.5"/>
    <n v="8"/>
    <n v="3"/>
    <n v="3.5"/>
    <n v="2.5"/>
    <n v="8"/>
    <n v="3"/>
    <n v="75"/>
    <n v="0.6"/>
    <s v="Negado"/>
    <e v="#N/A"/>
    <m/>
    <m/>
    <n v="0"/>
    <m/>
    <m/>
    <s v="Ingeniería de Sistemas"/>
    <e v="#N/A"/>
    <m/>
    <e v="#N/A"/>
  </r>
  <r>
    <s v="TI"/>
    <n v="1201262300"/>
    <s v="1000387409"/>
    <s v="GABRIEL ALEJANDRO BARRIOS INFANTE"/>
    <s v="Estudios por primera vez"/>
    <x v="1"/>
    <s v="Descartado por notas"/>
    <m/>
    <s v="En publico objetivo"/>
    <s v="1er Cohorte"/>
    <s v="Admitido"/>
    <s v="gabarriosi@eafit.edu.co"/>
    <s v="gabarriosi@eafit.edu.co"/>
    <s v="gabrielalejandro0711pc@gmail.com"/>
    <s v="301/456-2205"/>
    <d v="2025-04-28T00:00:00"/>
    <s v="Activo en Programa"/>
    <s v="001-Administración de Negocios"/>
    <s v="Escuela de Administración"/>
    <d v="2007-03-25T00:00:00"/>
    <n v="18"/>
    <s v="Bolívar"/>
    <s v="Cartagena"/>
    <s v="Hombre"/>
    <s v="Soltero"/>
    <s v="NO"/>
    <s v="NO"/>
    <n v="0"/>
    <s v="NO"/>
    <s v="NA"/>
    <s v="NO"/>
    <s v="NA"/>
    <s v="NO"/>
    <s v="NA"/>
    <s v="No"/>
    <s v="301/456-2205"/>
    <s v="NA"/>
    <s v="Estrato 1"/>
    <s v="CL 62 C #92 A- 35 ROBLEDO FUENTE CLARA"/>
    <s v="Antioquia"/>
    <s v="Medellín"/>
    <s v="No aplica, no soy foráneo"/>
    <s v="Familiar"/>
    <s v="SI"/>
    <s v="2024"/>
    <s v="AC202435957089"/>
    <n v="346"/>
    <n v="70"/>
    <n v="72"/>
    <s v="Pública"/>
    <s v="I.E. INEM JOSE FELIX DE RESTRE"/>
    <n v="2024"/>
    <s v="Antioquia"/>
    <s v="Medellín"/>
    <s v="BACHILLER"/>
    <s v="ACAD"/>
    <s v="TIPO: Pública, INSTITUCION: I.E. INEM JOSE FELIX DE RESTRE, AÑO: 2024, CIUDAD: Medellín, TITULO: BACHILLER"/>
    <s v="11"/>
    <s v="Escala de 0 - 5"/>
    <s v="Escala de 0 - 5"/>
    <s v="4"/>
    <s v="4"/>
    <m/>
    <s v="3,8"/>
    <s v="4"/>
    <m/>
    <n v="4"/>
    <n v="4"/>
    <m/>
    <n v="4"/>
    <n v="3.4"/>
    <m/>
    <s v="4,5"/>
    <s v="4"/>
    <m/>
    <s v="3,3"/>
    <s v="3,3"/>
    <m/>
    <s v="4,2"/>
    <s v="4,2"/>
    <m/>
    <s v="De 9 y 10"/>
    <n v="3.85"/>
    <s v="NO"/>
    <s v="NA"/>
    <n v="0"/>
    <n v="0"/>
    <s v="No"/>
    <n v="50"/>
    <m/>
    <n v="50"/>
    <m/>
    <n v="50"/>
    <m/>
    <s v="le gusta aprender de diferentes cosas por autodidacta, ha hecho varias diplomaturas, le gusta practicar  taekwondo, le gusta Administración porque su mamá es administradora y ella es inspiracional para el, pero ademas piensa que la carrera tiene muchos campos de acción. le gusta EAFIT por las clases abiertas y el campus"/>
    <n v="50"/>
    <s v="Con detalle por componente"/>
    <s v="Artísticas o culturales,Deportistas de alto rendimiento o representativo,Trabajo social o comunitario"/>
    <s v="Me visualizo como un administrador de negocios con una visión innovadora y socialmente responsable, donde lidere proyectos que impulsen el desarrollo económico y social de nuestra ciudad y sus comunidades. Desde que elegí esta carrera, he estado motivado por el deseo de crear empresas y organizaciones que no solo sean rentables, sino también sostenibles, inclusivas y comprometidas con el bienestar colectivo._x000a__x000a_Mi propósito es utilizar los conocimientos adquiridos en la universidad para fomentar el emprendimiento local, apoyar a emprendedores, y promover modelos de negocio que generen empleo digno, permitan la reducción significativa de las desigualdades y aprovechen el talento de los jóvenes en mi ciudad. Medellín es una ciudad que aun con defectos, se mantiene en constante transformación; quiero ser parte de ese cambio desde el liderazgo empresarial consciente y ético._x000a__x000a_Obtener esta beca representa una oportunidad transformadora. No solo me permitirá acceder a una educación de calidad sin que las limitaciones económicas sean un obstáculo, sino que también fortalecerá mi formación como líder con sentido social. Gracias a esta ayuda, podré dedicarme plenamente a mis estudios, participar en proyectos de impacto y,retribuirle a la sociedad ese apoyo creando valor para mi comunidad a través de iniciativas empresariales que contribuyan a una Medellín más equitativa, competitiva y solidaria."/>
    <s v="A través del Colegio"/>
    <s v="Por la calidad académica."/>
    <s v="Vocación."/>
    <n v="2"/>
    <s v="1"/>
    <s v="SI"/>
    <s v="NO"/>
    <s v="Entre 1 y 2 millones"/>
    <s v="No"/>
    <n v="0"/>
    <n v="0"/>
    <m/>
    <s v="SI"/>
    <s v="Beca"/>
    <s v="NO"/>
    <s v=""/>
    <s v=""/>
    <s v="Si"/>
    <s v="Edwin James Barrios Zabaleta"/>
    <s v="Casado"/>
    <s v="BACHILLERATO"/>
    <s v="45"/>
    <s v="Conductor"/>
    <s v="Otra"/>
    <s v="conductor"/>
    <s v="Cuenta propia"/>
    <n v="2500000"/>
    <s v="No"/>
    <s v="NO"/>
    <s v="NO"/>
    <s v="Estuvo hasta hace poco en Colombia, empleado y vivia conmigo pero en la actualidad; se encuentra fuera del pais, trabajando por cuenta propia."/>
    <s v="Si"/>
    <s v="Carmen Elizabeth Infante Perez"/>
    <s v="Casado"/>
    <s v="UNIVERSITARIOS"/>
    <s v="45"/>
    <s v="Administradora"/>
    <s v="Empleado (con contrato laboral)"/>
    <s v="Asistente Administrativo"/>
    <s v="Nalanda Colombia"/>
    <n v="1623500"/>
    <s v="Si"/>
    <s v="SI"/>
    <s v="NO"/>
    <s v="Mi madre trabaja como asistente administrativo para una empresa; pero, adicionalmente realiza otras actividades informales para ganar dinero extra."/>
    <n v="4123500"/>
    <s v="Si"/>
    <s v="Adrian Axel Barrios Infante"/>
    <s v="Hermano / Hermana"/>
    <s v="10"/>
    <s v="Estudiante"/>
    <s v="Inem"/>
    <n v="0"/>
    <s v="No"/>
    <s v=""/>
    <s v=""/>
    <s v=""/>
    <s v=""/>
    <s v=""/>
    <m/>
    <s v=""/>
    <s v=""/>
    <s v=""/>
    <s v=""/>
    <s v=""/>
    <s v=""/>
    <m/>
    <s v=""/>
    <s v=""/>
    <n v="0"/>
    <n v="0"/>
    <n v="0"/>
    <n v="0"/>
    <n v="0"/>
    <s v="Si"/>
    <s v="FOTON"/>
    <s v="2017"/>
    <n v="35000000"/>
    <s v="No"/>
    <s v=""/>
    <s v=""/>
    <n v="0"/>
    <s v="No"/>
    <s v=""/>
    <s v=""/>
    <s v=""/>
    <n v="0"/>
    <s v="No"/>
    <n v="4"/>
    <n v="4"/>
    <n v="4"/>
    <n v="4"/>
    <n v="4"/>
    <n v="4"/>
    <n v="4"/>
    <n v="4"/>
    <n v="4"/>
    <n v="4"/>
    <n v="40"/>
    <s v="SI"/>
    <m/>
    <s v="SI, SON PRI"/>
    <s v="ok tienen todos los datos"/>
    <e v="#N/A"/>
    <e v="#N/A"/>
    <m/>
    <n v="3"/>
    <n v="6"/>
    <n v="6"/>
    <n v="10"/>
    <n v="10"/>
    <n v="15"/>
    <n v="20"/>
    <n v="18.5"/>
    <n v="17"/>
    <n v="78"/>
    <n v="0.5"/>
    <m/>
    <n v="3.5"/>
    <n v="3.5"/>
    <n v="6"/>
    <n v="4"/>
    <n v="3.5"/>
    <n v="3.5"/>
    <n v="7"/>
    <n v="4.5"/>
    <n v="79.5"/>
    <n v="0.7"/>
    <n v="0.7"/>
    <e v="#N/A"/>
    <m/>
    <m/>
    <n v="0"/>
    <m/>
    <m/>
    <s v="Administración de Negocios"/>
    <e v="#N/A"/>
    <s v="001"/>
    <e v="#N/A"/>
  </r>
  <r>
    <s v="TI"/>
    <n v="1025891306"/>
    <s v="1000403542"/>
    <s v="JOSE DAVID AGUIAR CÁRDENAS"/>
    <s v="Estudios por primera vez"/>
    <x v="6"/>
    <s v="Descartado por ingresos altos"/>
    <s v="Pendiente por admision"/>
    <s v="Pendiente admision"/>
    <e v="#N/A"/>
    <s v="Solicitante finalizo formulario realizo pago"/>
    <s v="jdaguiarc@eafit.edu.co"/>
    <s v="jdaguiarc@eafit.edu.co"/>
    <s v="josedavidaguiar5@gmail.com"/>
    <s v="310/617-0872"/>
    <d v="2025-05-09T00:00:00"/>
    <s v="Solicitante"/>
    <s v="002-Negocios Internacionales"/>
    <s v="Escuela de Administración"/>
    <d v="2007-09-04T00:00:00"/>
    <n v="18"/>
    <s v="Antioquia"/>
    <s v="Medellín"/>
    <s v="Hombre"/>
    <s v="Soltero"/>
    <s v="NO"/>
    <s v="NO"/>
    <n v="0"/>
    <s v="NO"/>
    <s v="NA"/>
    <s v="NO"/>
    <s v="NA"/>
    <s v="NO"/>
    <s v="NA"/>
    <s v="No"/>
    <s v="311/604-8294"/>
    <s v="310/617-0872"/>
    <s v="Estrato 3"/>
    <s v="CL 40 CR 101 A 243"/>
    <s v="Antioquia"/>
    <s v="Medellín"/>
    <s v="No aplica, no soy foráneo"/>
    <s v="Propio"/>
    <s v="SI"/>
    <s v="2024"/>
    <s v="AC202433356409"/>
    <n v="329"/>
    <n v="70"/>
    <n v="60"/>
    <s v="Pública"/>
    <s v="INST EDUC CARLOS VIECO ORTIZ"/>
    <n v="2024"/>
    <s v="Antioquia"/>
    <s v="Medellín"/>
    <s v="BACHILLER"/>
    <s v="TECN"/>
    <s v="TIPO: Pública, INSTITUCION: INST EDUC CARLOS VIECO ORTIZ, AÑO: 2024, CIUDAD: Medellín, TITULO: BACHILLER"/>
    <s v="11"/>
    <s v="Escala de 0 - 5"/>
    <s v="Escala de 0 - 5"/>
    <s v="4,2"/>
    <s v="5"/>
    <m/>
    <s v="4,5"/>
    <s v="4"/>
    <m/>
    <n v="5"/>
    <n v="4.5"/>
    <m/>
    <n v="4.8"/>
    <n v="4.5"/>
    <m/>
    <s v="4"/>
    <s v="4,5"/>
    <m/>
    <s v="3,7"/>
    <s v="3,7"/>
    <m/>
    <s v="4,5"/>
    <s v="4,2"/>
    <m/>
    <s v="De 9 y 10"/>
    <n v="4.7"/>
    <s v="NO"/>
    <s v="NA"/>
    <n v="0"/>
    <n v="0"/>
    <s v="No"/>
    <n v="50"/>
    <m/>
    <n v="50"/>
    <m/>
    <n v="50"/>
    <m/>
    <m/>
    <n v="50"/>
    <s v="Con detalle por componente"/>
    <s v="Artísticas o culturales,Deportistas de alto rendimiento o representativo,Espacios de liderazgo o representación social"/>
    <s v="Me visualizo ejerciendo la carrera de negocios internacionales como un agente de cambio activo en mi comunidad y país, siendo también una persona que realiza diferencias reales por y para su comunidad. Aspiro a ser un líder que promueva el desarrollo económico, social, político, y cultural impulsando proyectos que generen oportunidades y fomenten la inclusión y unificación laboral. Gracias a la formación académica que podre recibir en EAFIT, quiero adquirir y aprender respecto a habilidades como el análisis global, la negociación y la gestión intercultural, para aportar y promover soluciones innovadoras a los diferentes desafíos que enfrenta mi país._x000a__x000a_Con la obtención de esta beca, no solo aliviaré la carga económica para mi familia, sino que también podré dedicarme con mayor intensidad a mis estudios, perfeccionando habilidades de liderazgo, trabajo en equipo y pensamiento estratégico. De esta manera, podré transformar mi entorno, impulsadno y ayudando a que muchos emprendimeintos en Colombia emprendimientos generen impacto social positivo, además de motivar y ser de ejemplo para muchos jóvenes y futuras generaciones._x000a__x000a_Por otra parte, mi experiencia deportiva, académica y de liderazgo me han preparado para afrontar retos y buscar siempre el bienestar colectivo. Quiero devolverle a mi comunidad lo que me ha brindado, siendo un ejemplo de dedicación y compromiso. La educación en EAFIT me permitirá ampliar mi visión global y desarrollar soluciones que impulsen el crecimiento de mi región y del país, aportandome también al desarrollo de mi sueño de convertirme en un agente de cambio y, eventualmente, en un referente en el ámbito político y empresarial."/>
    <s v="A través del Colegio"/>
    <s v="Proyección laboral."/>
    <s v="Vocación."/>
    <n v="3"/>
    <s v="1"/>
    <s v="SI"/>
    <s v="NO"/>
    <s v="Entre 12 y 13 millones"/>
    <s v="No"/>
    <s v="SI"/>
    <s v="SI"/>
    <s v="Crédito entidad externa"/>
    <s v="SI"/>
    <s v="Beca"/>
    <s v="NO"/>
    <s v=""/>
    <s v=""/>
    <s v="Si"/>
    <s v="Darley Aguiar Bedoya"/>
    <s v="Casado"/>
    <s v="BACHILLERATO"/>
    <s v="46"/>
    <s v="Pastor"/>
    <s v="Independiente (trabaja por cuenta propia)"/>
    <s v="Pastor"/>
    <s v="Iglesia Pentecostal Unida de Colombia (IPUC)"/>
    <n v="14067000"/>
    <s v="Si"/>
    <s v="SI"/>
    <s v="NO"/>
    <s v=""/>
    <s v="Si"/>
    <s v="Eliana Marcela Cárdenas Porras"/>
    <s v="Casado"/>
    <s v="BACHILLERATO"/>
    <s v="38"/>
    <s v="ama de casa"/>
    <s v="Labores del hogar y cuidado"/>
    <s v="Ama de casa"/>
    <s v="NO APLICA"/>
    <n v="0"/>
    <s v="Si"/>
    <s v="NO"/>
    <s v="NO"/>
    <s v="El trabajo de mi madre se ejerce en mi hogar, por lo tanto no cuenta con ninguna empresa o institución en la cuál ella trabaje,"/>
    <n v="14067000"/>
    <s v="Si"/>
    <s v="Nayive Cárdenas Porras"/>
    <s v="Tío / Tía"/>
    <s v="36"/>
    <s v="Ama de casa"/>
    <s v="No aplica"/>
    <n v="0"/>
    <s v="No"/>
    <s v="Julian Moreno Moreno"/>
    <s v="Tío / Tía"/>
    <s v="47"/>
    <s v="Pensionado (Regimen especial)"/>
    <s v="Policía Nacional de Colombia"/>
    <n v="5000000"/>
    <s v="No"/>
    <s v="Andres Felipe Aguiar Bedoya"/>
    <s v="Tío / Tía"/>
    <s v="44"/>
    <s v="Supervisor de vigilancia"/>
    <s v="Cotraser C.T.A"/>
    <n v="3600000"/>
    <s v="No"/>
    <s v="Mi tio Julian Moreno trabaja de manera independiente en su automovil, además, se pensiono de la Policia Nacional."/>
    <n v="133583000"/>
    <n v="0"/>
    <n v="0"/>
    <n v="0"/>
    <n v="0"/>
    <s v="No"/>
    <s v=""/>
    <s v=""/>
    <n v="0"/>
    <s v="No"/>
    <s v=""/>
    <s v=""/>
    <n v="0"/>
    <s v="Si"/>
    <s v="Motocicleta"/>
    <s v="Royal Enfield Himalayan"/>
    <s v="2019"/>
    <n v="9450000"/>
    <m/>
    <n v="4"/>
    <n v="4"/>
    <n v="3"/>
    <n v="4"/>
    <n v="4"/>
    <n v="3"/>
    <n v="4"/>
    <n v="3"/>
    <n v="3"/>
    <n v="4"/>
    <n v="36"/>
    <s v="SI"/>
    <m/>
    <s v="SI, SON LOS PENDIENTES DE ADMISION"/>
    <s v="ok tienen todos los datos"/>
    <e v="#N/A"/>
    <e v="#N/A"/>
    <m/>
    <n v="3"/>
    <n v="10"/>
    <n v="8"/>
    <n v="5"/>
    <n v="20"/>
    <n v="15"/>
    <n v="20"/>
    <n v="8"/>
    <n v="8"/>
    <n v="78"/>
    <n v="0.4"/>
    <m/>
    <n v="3.5"/>
    <n v="2.5"/>
    <n v="0"/>
    <n v="2"/>
    <n v="3.5"/>
    <n v="2.5"/>
    <n v="0"/>
    <n v="2"/>
    <n v="76"/>
    <n v="0.4"/>
    <s v="Negado"/>
    <e v="#N/A"/>
    <m/>
    <m/>
    <n v="0"/>
    <m/>
    <m/>
    <s v="Negocios Internacionales"/>
    <e v="#N/A"/>
    <m/>
    <e v="#N/A"/>
  </r>
  <r>
    <s v="CC"/>
    <n v="1019843731"/>
    <s v="1000402036"/>
    <s v="NADIA CAMILA PEREZ PEREZ"/>
    <s v="Estudios por primera vez"/>
    <x v="9"/>
    <s v="No cumple, estrato 5 o 6"/>
    <m/>
    <s v="Pendiente admision"/>
    <e v="#N/A"/>
    <s v="Solicitante finalizo formulario realizo pago"/>
    <s v="ncperez@eafit.edu.co"/>
    <s v="ncperez1@eafit.edu.co"/>
    <s v="nanys330@gmail.com"/>
    <s v="573041166500"/>
    <d v="2025-03-05T00:00:00"/>
    <s v="Solicitante"/>
    <s v="010-Ingeniería de Sistemas"/>
    <s v="E Ciencias Aplic e Ingeniería"/>
    <d v="2007-05-08T00:00:00"/>
    <n v="18"/>
    <s v="Bogotá"/>
    <s v="Bogotá D.C."/>
    <s v="Mujer"/>
    <s v="Soltero"/>
    <s v="NO"/>
    <s v="NO"/>
    <n v="0"/>
    <s v="NO"/>
    <s v="NA"/>
    <s v="NO"/>
    <s v="NA"/>
    <s v="NO"/>
    <s v="NA"/>
    <s v="No"/>
    <s v="304/116-6500"/>
    <s v="573041166500"/>
    <s v="Estrato 5"/>
    <s v="CL 18 A SUR #38 350"/>
    <s v="Antioquia"/>
    <s v="Medellín"/>
    <s v="No aplica, no soy foráneo"/>
    <s v="Arriendo"/>
    <s v="NO"/>
    <n v="2025"/>
    <s v="AC202510509273"/>
    <s v="NA"/>
    <s v="NA"/>
    <s v="NA"/>
    <s v="Privada"/>
    <s v="CORPORACION COLEGIO CUMBRES"/>
    <n v="2025"/>
    <s v="Antioquia"/>
    <s v="Envigado"/>
    <s v="BACHILLER"/>
    <s v="ACAD"/>
    <s v="TIPO: Privada, INSTITUCION: CORPORACION COLEGIO CUMBRES, AÑO: 2025, CIUDAD: Envigado, TITULO: BACHILLER"/>
    <s v="12"/>
    <s v="Escala de 0 - 100"/>
    <s v="Escala de 0 - 100"/>
    <m/>
    <s v="90"/>
    <s v="80"/>
    <m/>
    <s v="80"/>
    <s v="69"/>
    <m/>
    <n v="80"/>
    <n v="80"/>
    <m/>
    <n v="80"/>
    <n v="69"/>
    <m/>
    <s v="90"/>
    <s v="80"/>
    <m/>
    <s v="100"/>
    <s v="100"/>
    <m/>
    <s v="100"/>
    <s v="80"/>
    <s v="De 10 y 11"/>
    <n v="77.25"/>
    <s v="NO"/>
    <s v="NA"/>
    <n v="0"/>
    <n v="0"/>
    <s v="No"/>
    <n v="40"/>
    <m/>
    <n v="50"/>
    <m/>
    <n v="50"/>
    <m/>
    <m/>
    <n v="46.666666666666664"/>
    <s v="Con detalle por componente"/>
    <s v="Ninguna"/>
    <s v="La Ingeniería de Sistemas ha estado conmigo desde que nací, debido a que mi papá es ingeniero de sistemas. Él me ha mostrado su mundo, del cual yo quiero ser partícipe y, como dije desde que era pequeña, revolucionar el mundo._x000a__x000a_A pesar de haber podido estudiar en un colegio como Cumbres, para mis papás no fue nada fácil pagarlo debido a la crisis económica; fue más bien un reto que cada año tuvieron que enfrentar con valentía y esfuerzo, y finalmente pude terminar mis estudios en ese gran colegio. Quiero aliviar un poco la carga de mis papás, que ya se han esforzado bastante y aún deben seguir haciéndolo por mis hermanas._x000a__x000a_Es por esto que deseo esta beca. Con esta misma, mis papás podrían enfocarse mayormente en mis hermanas, que aún están chiquitas, y tener una menor preocupación, y yo, en un punto, cuando ya sea egresada de EAFIT, poder retribuirles._x000a__x000a_Adicionalmente, esta carrera para mí la veo como el futuro y la parte esencial de lo que nos depara de aquí para adelante. Yo me visualizo revolucionando lo que ya existe hoy en día y aportando al avance tecnológico, de esta forma poder facilitar la vida cotidiana y poniendo como prioridad claramente la ciberseguridad, creando soluciones innovadoras que impacten de forma positiva y segura a la sociedad._x000a__x000a_Finalmente, quiero estudiar específicamente en EAFIT debido a los distintos eventos y formación profesional que da la universidad, como el CONAMERC, que fue la mejor experiencia que he tenido y, se podría decir, la más cercana al mundo real. Cada una de estas experiencias me fue mostrando un poco de lo que era esta gran universidad, y cada que voy, me imagino estudiando en la que hoy es la universidad de mis sueños._x000a__x000a_Espero que puedan tener en cuenta mi petición y me ayuden a poder estudiar la carrera y en el lugar de mis sueños._x000a_Muchas gracias."/>
    <s v="A través del Colegio"/>
    <s v="Por la calidad académica."/>
    <s v="Alta empleabilidad."/>
    <n v="4"/>
    <s v="2"/>
    <s v="SI"/>
    <s v="NO"/>
    <s v="Entre 1 y 2 millones"/>
    <s v="Si"/>
    <n v="0"/>
    <s v="SI"/>
    <s v="Crédito educativo propio"/>
    <s v="SI"/>
    <s v="Beca"/>
    <s v="NO"/>
    <s v=""/>
    <s v=""/>
    <s v="Si"/>
    <s v="Luis Fernando Perez Angarita"/>
    <s v="Soltero"/>
    <s v="ESPECIALIZACIÓN"/>
    <s v="51"/>
    <s v="Ingeniero de Sistemas"/>
    <s v="Independiente (trabaja por cuenta propia)"/>
    <s v="Ingeniero de sistemas"/>
    <s v="Independiente"/>
    <n v="5100000"/>
    <s v="Si"/>
    <s v="SI"/>
    <s v="NO"/>
    <s v=""/>
    <s v="Si"/>
    <s v="Eva Marilu Perez del Mazo"/>
    <s v="Casado"/>
    <s v="TÉCNICA"/>
    <s v="50"/>
    <s v="Visitadora médica"/>
    <s v="Labores del hogar y cuidado"/>
    <s v="N/A"/>
    <s v="N/A"/>
    <n v="0"/>
    <s v="Si"/>
    <s v="NO"/>
    <s v="NO"/>
    <s v=""/>
    <n v="5100000"/>
    <s v="Si"/>
    <s v="Lia Sofia Perez Perez"/>
    <s v="Hermano / Hermana"/>
    <s v="15"/>
    <s v="Estudiante"/>
    <s v="Colegio Benedictinos de Santa Maria"/>
    <n v="0"/>
    <s v="No"/>
    <s v="Dana Lucia Perez Perez"/>
    <s v="Hermano / Hermana"/>
    <s v="12"/>
    <s v="Estudiante"/>
    <s v="Colegio Gimnasio Los Cedros"/>
    <n v="0"/>
    <s v="No"/>
    <s v=""/>
    <s v=""/>
    <s v=""/>
    <s v=""/>
    <s v=""/>
    <m/>
    <s v=""/>
    <s v="Ninguna"/>
    <n v="0"/>
    <n v="0"/>
    <n v="0"/>
    <n v="0"/>
    <n v="9"/>
    <s v="No"/>
    <s v=""/>
    <s v=""/>
    <n v="0"/>
    <s v="No"/>
    <s v=""/>
    <s v=""/>
    <n v="0"/>
    <s v="No"/>
    <s v=""/>
    <s v=""/>
    <s v=""/>
    <n v="0"/>
    <s v=""/>
    <n v="4"/>
    <n v="4"/>
    <n v="4"/>
    <n v="4"/>
    <n v="3"/>
    <n v="4"/>
    <n v="4"/>
    <n v="4"/>
    <n v="3"/>
    <n v="4"/>
    <n v="38"/>
    <s v="SI"/>
    <m/>
    <s v="SI, SON LOS PENDIENTES DE ADMISION"/>
    <s v="ok tienen todos los datos"/>
    <e v="#N/A"/>
    <e v="#N/A"/>
    <m/>
    <n v="3"/>
    <s v="NA"/>
    <s v="NA"/>
    <s v="NA"/>
    <s v="NA"/>
    <s v="NA"/>
    <s v="NA"/>
    <e v="#VALUE!"/>
    <e v="#VALUE!"/>
    <e v="#VALUE!"/>
    <s v="NCR"/>
    <m/>
    <s v="NA"/>
    <s v="NA"/>
    <s v="NA"/>
    <s v="NA"/>
    <s v="NA"/>
    <s v="NA"/>
    <s v="NA"/>
    <s v="NA"/>
    <e v="#VALUE!"/>
    <s v="NCR"/>
    <s v="Negado"/>
    <e v="#N/A"/>
    <m/>
    <m/>
    <n v="0"/>
    <m/>
    <m/>
    <s v="Ingeniería de Sistemas"/>
    <e v="#N/A"/>
    <m/>
    <s v="NC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BCBE90-7E41-4B03-A11F-1E5A3361A13A}" name="TablaDinámica2" cacheId="24"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B44:C57" firstHeaderRow="1" firstDataRow="1" firstDataCol="1"/>
  <pivotFields count="238">
    <pivotField showAll="0"/>
    <pivotField showAll="0"/>
    <pivotField showAll="0"/>
    <pivotField dataField="1" showAll="0"/>
    <pivotField showAll="0"/>
    <pivotField axis="axisRow" showAll="0">
      <items count="19">
        <item h="1" x="5"/>
        <item x="1"/>
        <item x="16"/>
        <item x="6"/>
        <item x="7"/>
        <item x="12"/>
        <item x="11"/>
        <item x="4"/>
        <item x="3"/>
        <item x="2"/>
        <item x="14"/>
        <item x="10"/>
        <item x="17"/>
        <item h="1" x="9"/>
        <item h="1" x="15"/>
        <item h="1" x="0"/>
        <item h="1" x="8"/>
        <item h="1" x="13"/>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showAll="0"/>
    <pivotField showAll="0"/>
    <pivotField showAll="0"/>
    <pivotField numFmtId="165" showAll="0"/>
    <pivotField showAll="0"/>
    <pivotField showAll="0"/>
    <pivotField showAll="0"/>
    <pivotField numFmtId="165"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3">
    <i>
      <x v="1"/>
    </i>
    <i>
      <x v="2"/>
    </i>
    <i>
      <x v="3"/>
    </i>
    <i>
      <x v="4"/>
    </i>
    <i>
      <x v="5"/>
    </i>
    <i>
      <x v="6"/>
    </i>
    <i>
      <x v="7"/>
    </i>
    <i>
      <x v="8"/>
    </i>
    <i>
      <x v="9"/>
    </i>
    <i>
      <x v="10"/>
    </i>
    <i>
      <x v="11"/>
    </i>
    <i>
      <x v="12"/>
    </i>
    <i t="grand">
      <x/>
    </i>
  </rowItems>
  <colItems count="1">
    <i/>
  </colItems>
  <dataFields count="1">
    <dataField name="Cuenta de Nombre completo"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A54D-5E48-4AA3-9E6B-9DE19C695875}">
  <dimension ref="B2:D63"/>
  <sheetViews>
    <sheetView topLeftCell="A10" workbookViewId="0">
      <selection activeCell="J13" sqref="J13"/>
    </sheetView>
  </sheetViews>
  <sheetFormatPr baseColWidth="10" defaultColWidth="11.42578125" defaultRowHeight="15" x14ac:dyDescent="0.25"/>
  <cols>
    <col min="1" max="1" width="11.42578125" style="115"/>
    <col min="2" max="2" width="42.5703125" style="115" customWidth="1"/>
    <col min="3" max="3" width="19.28515625" style="115" customWidth="1"/>
    <col min="4" max="4" width="11.42578125" style="115"/>
    <col min="5" max="5" width="33.85546875" style="115" customWidth="1"/>
    <col min="6" max="6" width="7.5703125" style="115" customWidth="1"/>
    <col min="7" max="7" width="6.5703125" style="115" customWidth="1"/>
    <col min="8" max="8" width="24.85546875" style="115" customWidth="1"/>
    <col min="9" max="16384" width="11.42578125" style="115"/>
  </cols>
  <sheetData>
    <row r="2" spans="2:2" x14ac:dyDescent="0.25">
      <c r="B2" s="116"/>
    </row>
    <row r="32" spans="2:2" x14ac:dyDescent="0.25">
      <c r="B32" s="116" t="s">
        <v>271</v>
      </c>
    </row>
    <row r="33" spans="2:4" x14ac:dyDescent="0.25">
      <c r="B33" s="115" t="s">
        <v>272</v>
      </c>
    </row>
    <row r="34" spans="2:4" x14ac:dyDescent="0.25">
      <c r="B34" s="115" t="s">
        <v>273</v>
      </c>
    </row>
    <row r="35" spans="2:4" x14ac:dyDescent="0.25">
      <c r="B35" s="115" t="s">
        <v>274</v>
      </c>
    </row>
    <row r="36" spans="2:4" x14ac:dyDescent="0.25">
      <c r="B36" s="115" t="s">
        <v>275</v>
      </c>
    </row>
    <row r="37" spans="2:4" x14ac:dyDescent="0.25">
      <c r="B37" s="115" t="s">
        <v>276</v>
      </c>
    </row>
    <row r="38" spans="2:4" x14ac:dyDescent="0.25">
      <c r="B38" s="115" t="s">
        <v>277</v>
      </c>
    </row>
    <row r="39" spans="2:4" x14ac:dyDescent="0.25">
      <c r="B39" s="115" t="s">
        <v>278</v>
      </c>
    </row>
    <row r="44" spans="2:4" x14ac:dyDescent="0.25">
      <c r="B44" t="s">
        <v>279</v>
      </c>
      <c r="C44" t="s">
        <v>280</v>
      </c>
      <c r="D44"/>
    </row>
    <row r="45" spans="2:4" x14ac:dyDescent="0.25">
      <c r="B45" s="81" t="s">
        <v>281</v>
      </c>
      <c r="C45">
        <v>309</v>
      </c>
      <c r="D45"/>
    </row>
    <row r="46" spans="2:4" x14ac:dyDescent="0.25">
      <c r="B46" s="81" t="s">
        <v>282</v>
      </c>
      <c r="C46">
        <v>1</v>
      </c>
      <c r="D46"/>
    </row>
    <row r="47" spans="2:4" x14ac:dyDescent="0.25">
      <c r="B47" s="81" t="s">
        <v>283</v>
      </c>
      <c r="C47">
        <v>6</v>
      </c>
      <c r="D47"/>
    </row>
    <row r="48" spans="2:4" x14ac:dyDescent="0.25">
      <c r="B48" s="81" t="s">
        <v>284</v>
      </c>
      <c r="C48">
        <v>16</v>
      </c>
      <c r="D48"/>
    </row>
    <row r="49" spans="2:4" x14ac:dyDescent="0.25">
      <c r="B49" s="81" t="s">
        <v>285</v>
      </c>
      <c r="C49">
        <v>3</v>
      </c>
      <c r="D49"/>
    </row>
    <row r="50" spans="2:4" x14ac:dyDescent="0.25">
      <c r="B50" s="81" t="s">
        <v>286</v>
      </c>
      <c r="C50">
        <v>3</v>
      </c>
      <c r="D50"/>
    </row>
    <row r="51" spans="2:4" x14ac:dyDescent="0.25">
      <c r="B51" s="81" t="s">
        <v>287</v>
      </c>
      <c r="C51">
        <v>13</v>
      </c>
      <c r="D51"/>
    </row>
    <row r="52" spans="2:4" x14ac:dyDescent="0.25">
      <c r="B52" s="81" t="s">
        <v>288</v>
      </c>
      <c r="C52">
        <v>3</v>
      </c>
      <c r="D52"/>
    </row>
    <row r="53" spans="2:4" x14ac:dyDescent="0.25">
      <c r="B53" s="81" t="s">
        <v>289</v>
      </c>
      <c r="C53">
        <v>14</v>
      </c>
      <c r="D53"/>
    </row>
    <row r="54" spans="2:4" x14ac:dyDescent="0.25">
      <c r="B54" s="81" t="s">
        <v>290</v>
      </c>
      <c r="C54">
        <v>2</v>
      </c>
      <c r="D54"/>
    </row>
    <row r="55" spans="2:4" x14ac:dyDescent="0.25">
      <c r="B55" s="81" t="s">
        <v>291</v>
      </c>
      <c r="C55">
        <v>10</v>
      </c>
      <c r="D55"/>
    </row>
    <row r="56" spans="2:4" x14ac:dyDescent="0.25">
      <c r="B56" s="81" t="s">
        <v>292</v>
      </c>
      <c r="C56">
        <v>1</v>
      </c>
      <c r="D56"/>
    </row>
    <row r="57" spans="2:4" x14ac:dyDescent="0.25">
      <c r="B57" s="81" t="s">
        <v>155</v>
      </c>
      <c r="C57">
        <v>381</v>
      </c>
      <c r="D57"/>
    </row>
    <row r="58" spans="2:4" x14ac:dyDescent="0.25">
      <c r="B58"/>
      <c r="C58"/>
      <c r="D58"/>
    </row>
    <row r="59" spans="2:4" x14ac:dyDescent="0.25">
      <c r="B59"/>
      <c r="C59"/>
      <c r="D59"/>
    </row>
    <row r="60" spans="2:4" x14ac:dyDescent="0.25">
      <c r="B60"/>
      <c r="C60"/>
      <c r="D60"/>
    </row>
    <row r="61" spans="2:4" x14ac:dyDescent="0.25">
      <c r="B61"/>
      <c r="C61"/>
      <c r="D61"/>
    </row>
    <row r="62" spans="2:4" x14ac:dyDescent="0.25">
      <c r="B62"/>
      <c r="C62"/>
    </row>
    <row r="63" spans="2:4" x14ac:dyDescent="0.25">
      <c r="B63"/>
      <c r="C6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ABDC-B1BF-47FD-8BE2-6CE60F6D59F5}">
  <dimension ref="A3:O73"/>
  <sheetViews>
    <sheetView showGridLines="0" topLeftCell="A53" zoomScale="110" zoomScaleNormal="110" workbookViewId="0">
      <selection activeCell="D52" sqref="D52"/>
    </sheetView>
  </sheetViews>
  <sheetFormatPr baseColWidth="10" defaultColWidth="11.42578125" defaultRowHeight="15" x14ac:dyDescent="0.25"/>
  <cols>
    <col min="1" max="1" width="29.5703125" style="1" customWidth="1"/>
    <col min="2" max="2" width="22.42578125" style="1" customWidth="1"/>
    <col min="3" max="4" width="23.28515625" style="1" customWidth="1"/>
    <col min="5" max="5" width="14.140625" style="1" customWidth="1"/>
    <col min="6" max="7" width="11.42578125" style="1"/>
    <col min="8" max="8" width="17.140625" style="1" customWidth="1"/>
    <col min="9" max="9" width="11.42578125" style="1"/>
    <col min="10" max="10" width="15.28515625" style="1" customWidth="1"/>
    <col min="11" max="16384" width="11.42578125" style="1"/>
  </cols>
  <sheetData>
    <row r="3" spans="1:6" ht="21" x14ac:dyDescent="0.25">
      <c r="A3" s="101" t="s">
        <v>0</v>
      </c>
      <c r="B3" s="101"/>
      <c r="C3" s="101"/>
      <c r="D3" s="101"/>
      <c r="F3" s="1" t="s">
        <v>264</v>
      </c>
    </row>
    <row r="4" spans="1:6" x14ac:dyDescent="0.25">
      <c r="A4" s="2"/>
      <c r="D4" s="2"/>
    </row>
    <row r="5" spans="1:6" x14ac:dyDescent="0.25">
      <c r="A5" s="3" t="s">
        <v>1</v>
      </c>
      <c r="B5" s="3" t="s">
        <v>2</v>
      </c>
    </row>
    <row r="6" spans="1:6" x14ac:dyDescent="0.25">
      <c r="A6" s="4" t="s">
        <v>3</v>
      </c>
      <c r="B6" s="5">
        <v>20</v>
      </c>
      <c r="C6" s="6"/>
    </row>
    <row r="7" spans="1:6" x14ac:dyDescent="0.25">
      <c r="A7" s="4" t="s">
        <v>4</v>
      </c>
      <c r="B7" s="5">
        <v>15</v>
      </c>
    </row>
    <row r="8" spans="1:6" x14ac:dyDescent="0.25">
      <c r="A8" s="4" t="s">
        <v>5</v>
      </c>
      <c r="B8" s="5">
        <v>10</v>
      </c>
    </row>
    <row r="9" spans="1:6" x14ac:dyDescent="0.25">
      <c r="A9" s="4" t="s">
        <v>6</v>
      </c>
      <c r="B9" s="5">
        <v>20</v>
      </c>
      <c r="C9" s="7" t="s">
        <v>7</v>
      </c>
    </row>
    <row r="10" spans="1:6" x14ac:dyDescent="0.25">
      <c r="A10" s="4" t="s">
        <v>8</v>
      </c>
      <c r="B10" s="5">
        <v>20</v>
      </c>
      <c r="C10" s="7" t="s">
        <v>9</v>
      </c>
    </row>
    <row r="11" spans="1:6" x14ac:dyDescent="0.25">
      <c r="A11" s="4" t="s">
        <v>10</v>
      </c>
      <c r="B11" s="5">
        <v>15</v>
      </c>
      <c r="C11" s="7" t="s">
        <v>11</v>
      </c>
    </row>
    <row r="12" spans="1:6" x14ac:dyDescent="0.25">
      <c r="A12" s="8" t="s">
        <v>12</v>
      </c>
      <c r="B12" s="9">
        <f>SUM(B6:B11)</f>
        <v>100</v>
      </c>
    </row>
    <row r="13" spans="1:6" x14ac:dyDescent="0.25">
      <c r="A13" s="2"/>
      <c r="B13" s="10"/>
    </row>
    <row r="14" spans="1:6" x14ac:dyDescent="0.25">
      <c r="B14" s="11"/>
    </row>
    <row r="15" spans="1:6" x14ac:dyDescent="0.25">
      <c r="A15" s="12" t="s">
        <v>5</v>
      </c>
      <c r="B15" s="13">
        <f>+B8</f>
        <v>10</v>
      </c>
      <c r="C15" s="7"/>
    </row>
    <row r="16" spans="1:6" x14ac:dyDescent="0.25">
      <c r="A16" s="11" t="s">
        <v>13</v>
      </c>
      <c r="B16" s="14">
        <v>6</v>
      </c>
    </row>
    <row r="17" spans="1:10" x14ac:dyDescent="0.25">
      <c r="A17" s="11" t="s">
        <v>14</v>
      </c>
      <c r="B17" s="15">
        <v>10</v>
      </c>
      <c r="J17" s="2"/>
    </row>
    <row r="18" spans="1:10" x14ac:dyDescent="0.25">
      <c r="A18" s="11" t="s">
        <v>15</v>
      </c>
      <c r="B18" s="15">
        <v>8</v>
      </c>
    </row>
    <row r="19" spans="1:10" x14ac:dyDescent="0.25">
      <c r="A19" s="11" t="s">
        <v>16</v>
      </c>
      <c r="B19" s="15">
        <v>4</v>
      </c>
    </row>
    <row r="20" spans="1:10" x14ac:dyDescent="0.25">
      <c r="A20" s="11"/>
      <c r="B20" s="15"/>
    </row>
    <row r="21" spans="1:10" x14ac:dyDescent="0.25">
      <c r="A21" s="11"/>
    </row>
    <row r="22" spans="1:10" x14ac:dyDescent="0.25">
      <c r="A22" s="12" t="s">
        <v>17</v>
      </c>
      <c r="B22" s="13">
        <f>+B7</f>
        <v>15</v>
      </c>
    </row>
    <row r="23" spans="1:10" x14ac:dyDescent="0.25">
      <c r="A23" s="11" t="s">
        <v>18</v>
      </c>
      <c r="B23" s="14">
        <v>15</v>
      </c>
    </row>
    <row r="24" spans="1:10" x14ac:dyDescent="0.25">
      <c r="A24" s="11" t="s">
        <v>19</v>
      </c>
      <c r="B24" s="15">
        <v>10</v>
      </c>
    </row>
    <row r="25" spans="1:10" x14ac:dyDescent="0.25">
      <c r="A25" s="11" t="s">
        <v>20</v>
      </c>
      <c r="B25" s="15">
        <v>5</v>
      </c>
    </row>
    <row r="26" spans="1:10" x14ac:dyDescent="0.25">
      <c r="A26" s="11" t="s">
        <v>21</v>
      </c>
      <c r="B26" s="15">
        <v>0</v>
      </c>
    </row>
    <row r="27" spans="1:10" x14ac:dyDescent="0.25">
      <c r="B27" s="16"/>
      <c r="E27" s="17"/>
    </row>
    <row r="28" spans="1:10" x14ac:dyDescent="0.25">
      <c r="A28" s="102" t="s">
        <v>22</v>
      </c>
      <c r="B28" s="102"/>
      <c r="C28" s="102"/>
      <c r="D28" s="13">
        <f>+B6</f>
        <v>20</v>
      </c>
      <c r="E28" s="13"/>
      <c r="F28" s="13"/>
    </row>
    <row r="29" spans="1:10" x14ac:dyDescent="0.25">
      <c r="A29" s="18" t="s">
        <v>23</v>
      </c>
      <c r="B29" s="18" t="s">
        <v>24</v>
      </c>
      <c r="C29" s="18" t="s">
        <v>25</v>
      </c>
      <c r="D29" s="18" t="s">
        <v>26</v>
      </c>
      <c r="E29" s="18" t="s">
        <v>27</v>
      </c>
      <c r="F29" s="19" t="s">
        <v>28</v>
      </c>
    </row>
    <row r="30" spans="1:10" x14ac:dyDescent="0.25">
      <c r="A30" s="1" t="s">
        <v>29</v>
      </c>
      <c r="B30" s="1" t="s">
        <v>30</v>
      </c>
      <c r="C30" s="1" t="s">
        <v>31</v>
      </c>
      <c r="D30" s="1" t="s">
        <v>32</v>
      </c>
      <c r="E30" s="1" t="s">
        <v>33</v>
      </c>
      <c r="F30" s="20">
        <v>20</v>
      </c>
    </row>
    <row r="31" spans="1:10" x14ac:dyDescent="0.25">
      <c r="A31" s="1" t="s">
        <v>34</v>
      </c>
      <c r="B31" s="1" t="s">
        <v>35</v>
      </c>
      <c r="C31" s="1" t="s">
        <v>36</v>
      </c>
      <c r="D31" s="1" t="s">
        <v>37</v>
      </c>
      <c r="E31" s="1" t="s">
        <v>38</v>
      </c>
      <c r="F31" s="20">
        <v>15</v>
      </c>
    </row>
    <row r="32" spans="1:10" x14ac:dyDescent="0.25">
      <c r="A32" s="21" t="s">
        <v>39</v>
      </c>
      <c r="B32" s="21" t="s">
        <v>40</v>
      </c>
      <c r="C32" s="21" t="s">
        <v>41</v>
      </c>
      <c r="D32" s="21" t="s">
        <v>42</v>
      </c>
      <c r="E32" s="1" t="s">
        <v>43</v>
      </c>
      <c r="F32" s="20">
        <v>10</v>
      </c>
      <c r="H32" s="17"/>
    </row>
    <row r="33" spans="1:6" x14ac:dyDescent="0.25">
      <c r="A33" s="21" t="s">
        <v>44</v>
      </c>
      <c r="B33" s="21" t="s">
        <v>45</v>
      </c>
      <c r="C33" s="21" t="s">
        <v>46</v>
      </c>
      <c r="D33" s="21" t="s">
        <v>47</v>
      </c>
      <c r="E33" s="1" t="s">
        <v>48</v>
      </c>
      <c r="F33" s="20">
        <v>5</v>
      </c>
    </row>
    <row r="34" spans="1:6" x14ac:dyDescent="0.25">
      <c r="A34" s="21" t="s">
        <v>49</v>
      </c>
      <c r="B34" s="21" t="s">
        <v>50</v>
      </c>
      <c r="C34" s="21" t="s">
        <v>51</v>
      </c>
      <c r="D34" s="21" t="s">
        <v>52</v>
      </c>
      <c r="E34" s="1" t="s">
        <v>53</v>
      </c>
      <c r="F34" s="20">
        <v>0</v>
      </c>
    </row>
    <row r="35" spans="1:6" x14ac:dyDescent="0.25">
      <c r="A35" s="21"/>
      <c r="B35" s="21"/>
      <c r="C35" s="21"/>
      <c r="D35" s="21"/>
      <c r="F35" s="20"/>
    </row>
    <row r="36" spans="1:6" x14ac:dyDescent="0.25">
      <c r="A36" s="22" t="s">
        <v>54</v>
      </c>
      <c r="B36" s="21"/>
      <c r="C36" s="21"/>
      <c r="D36" s="21"/>
      <c r="F36" s="20"/>
    </row>
    <row r="37" spans="1:6" x14ac:dyDescent="0.25">
      <c r="A37" s="22" t="s">
        <v>55</v>
      </c>
      <c r="B37" s="21"/>
      <c r="C37" s="21"/>
      <c r="D37" s="21"/>
      <c r="F37" s="20"/>
    </row>
    <row r="38" spans="1:6" x14ac:dyDescent="0.25">
      <c r="A38" s="21"/>
      <c r="B38" s="21"/>
      <c r="C38" s="21"/>
      <c r="D38" s="23"/>
    </row>
    <row r="39" spans="1:6" x14ac:dyDescent="0.25">
      <c r="A39" s="18" t="s">
        <v>6</v>
      </c>
      <c r="B39" s="19">
        <f>+B9</f>
        <v>20</v>
      </c>
      <c r="C39" s="7"/>
      <c r="D39" s="23"/>
    </row>
    <row r="40" spans="1:6" x14ac:dyDescent="0.25">
      <c r="A40" s="21" t="s">
        <v>56</v>
      </c>
      <c r="B40" s="21"/>
      <c r="C40" s="21"/>
      <c r="D40" s="23"/>
    </row>
    <row r="41" spans="1:6" x14ac:dyDescent="0.25">
      <c r="A41" s="24"/>
      <c r="D41" s="11"/>
    </row>
    <row r="43" spans="1:6" x14ac:dyDescent="0.25">
      <c r="A43" s="18" t="s">
        <v>57</v>
      </c>
      <c r="B43" s="19">
        <f>+B11</f>
        <v>15</v>
      </c>
      <c r="C43" s="7"/>
    </row>
    <row r="44" spans="1:6" x14ac:dyDescent="0.25">
      <c r="A44" s="1" t="s">
        <v>58</v>
      </c>
      <c r="B44" s="25">
        <v>15</v>
      </c>
    </row>
    <row r="45" spans="1:6" x14ac:dyDescent="0.25">
      <c r="A45" s="1" t="s">
        <v>59</v>
      </c>
      <c r="B45" s="25">
        <v>10</v>
      </c>
    </row>
    <row r="46" spans="1:6" x14ac:dyDescent="0.25">
      <c r="A46" s="1" t="s">
        <v>60</v>
      </c>
      <c r="B46" s="25">
        <v>5</v>
      </c>
    </row>
    <row r="47" spans="1:6" x14ac:dyDescent="0.25">
      <c r="A47" s="1" t="s">
        <v>61</v>
      </c>
      <c r="B47" s="11">
        <v>0</v>
      </c>
      <c r="C47" s="2" t="s">
        <v>62</v>
      </c>
    </row>
    <row r="48" spans="1:6" x14ac:dyDescent="0.25">
      <c r="A48" s="2"/>
    </row>
    <row r="49" spans="1:15" x14ac:dyDescent="0.25">
      <c r="A49" s="102" t="s">
        <v>63</v>
      </c>
      <c r="B49" s="102"/>
      <c r="C49" s="19">
        <f>+B10</f>
        <v>20</v>
      </c>
    </row>
    <row r="50" spans="1:15" ht="30" x14ac:dyDescent="0.25">
      <c r="A50" s="18" t="s">
        <v>64</v>
      </c>
      <c r="B50" s="18" t="s">
        <v>65</v>
      </c>
      <c r="C50" s="19" t="s">
        <v>28</v>
      </c>
      <c r="F50" s="26"/>
    </row>
    <row r="51" spans="1:15" x14ac:dyDescent="0.25">
      <c r="A51" s="26" t="s">
        <v>66</v>
      </c>
      <c r="B51" s="26" t="s">
        <v>67</v>
      </c>
      <c r="C51" s="11">
        <v>20</v>
      </c>
    </row>
    <row r="52" spans="1:15" x14ac:dyDescent="0.25">
      <c r="A52" s="26" t="s">
        <v>68</v>
      </c>
      <c r="B52" s="26" t="s">
        <v>69</v>
      </c>
      <c r="C52" s="11">
        <v>15</v>
      </c>
      <c r="G52" s="27"/>
    </row>
    <row r="53" spans="1:15" x14ac:dyDescent="0.25">
      <c r="A53" s="26" t="s">
        <v>70</v>
      </c>
      <c r="B53" s="26" t="s">
        <v>71</v>
      </c>
      <c r="C53" s="11">
        <v>10</v>
      </c>
    </row>
    <row r="54" spans="1:15" x14ac:dyDescent="0.25">
      <c r="A54" s="26" t="s">
        <v>72</v>
      </c>
      <c r="B54" s="26" t="s">
        <v>73</v>
      </c>
      <c r="C54" s="11">
        <v>5</v>
      </c>
    </row>
    <row r="55" spans="1:15" x14ac:dyDescent="0.25">
      <c r="A55" s="26" t="s">
        <v>74</v>
      </c>
      <c r="B55" s="26" t="s">
        <v>75</v>
      </c>
      <c r="C55" s="11">
        <v>0</v>
      </c>
    </row>
    <row r="56" spans="1:15" x14ac:dyDescent="0.25">
      <c r="B56" s="26"/>
      <c r="C56" s="26"/>
      <c r="D56" s="11"/>
    </row>
    <row r="58" spans="1:15" x14ac:dyDescent="0.25">
      <c r="A58" s="28"/>
      <c r="B58" s="29"/>
      <c r="C58" s="29"/>
      <c r="D58" s="29"/>
      <c r="E58" s="29"/>
      <c r="F58" s="29"/>
      <c r="G58" s="29"/>
      <c r="H58" s="29"/>
      <c r="I58" s="29"/>
      <c r="J58" s="29"/>
      <c r="K58" s="29"/>
      <c r="L58" s="29"/>
      <c r="M58" s="29"/>
      <c r="N58" s="29"/>
      <c r="O58" s="29"/>
    </row>
    <row r="59" spans="1:15" ht="30" x14ac:dyDescent="0.25">
      <c r="A59" s="30" t="s">
        <v>76</v>
      </c>
    </row>
    <row r="60" spans="1:15" x14ac:dyDescent="0.25">
      <c r="A60" s="31" t="s">
        <v>78</v>
      </c>
      <c r="B60" s="29" t="s">
        <v>79</v>
      </c>
      <c r="C60" s="29">
        <v>3.5</v>
      </c>
      <c r="D60" s="29" t="s">
        <v>80</v>
      </c>
      <c r="E60" s="29">
        <v>2</v>
      </c>
      <c r="F60" s="29"/>
      <c r="G60" s="29"/>
      <c r="H60" s="29"/>
      <c r="I60" s="29"/>
      <c r="J60" s="29"/>
      <c r="K60" s="29"/>
      <c r="L60" s="29"/>
      <c r="M60" s="29"/>
      <c r="N60" s="29"/>
      <c r="O60" s="29"/>
    </row>
    <row r="61" spans="1:15" x14ac:dyDescent="0.25">
      <c r="A61" s="31" t="s">
        <v>81</v>
      </c>
      <c r="B61" s="29" t="s">
        <v>82</v>
      </c>
      <c r="C61" s="29">
        <v>4</v>
      </c>
      <c r="D61" s="29" t="s">
        <v>83</v>
      </c>
      <c r="E61" s="29">
        <v>3.5</v>
      </c>
      <c r="F61" s="29" t="s">
        <v>84</v>
      </c>
      <c r="G61" s="29">
        <v>2.5</v>
      </c>
      <c r="H61" s="29"/>
      <c r="I61" s="29"/>
      <c r="J61" s="29"/>
      <c r="K61" s="29"/>
      <c r="L61" s="29"/>
      <c r="M61" s="29"/>
      <c r="N61" s="29"/>
      <c r="O61" s="29"/>
    </row>
    <row r="62" spans="1:15" x14ac:dyDescent="0.25">
      <c r="A62" s="31" t="s">
        <v>85</v>
      </c>
      <c r="B62" s="29" t="s">
        <v>86</v>
      </c>
      <c r="C62" s="29">
        <v>8</v>
      </c>
      <c r="D62" s="1" t="s">
        <v>87</v>
      </c>
      <c r="E62" s="1">
        <v>7</v>
      </c>
      <c r="F62" s="29" t="s">
        <v>88</v>
      </c>
      <c r="G62" s="29">
        <v>6</v>
      </c>
      <c r="H62" s="32" t="s">
        <v>89</v>
      </c>
      <c r="I62" s="29">
        <v>3</v>
      </c>
      <c r="J62" s="32" t="s">
        <v>90</v>
      </c>
      <c r="K62" s="29">
        <v>1</v>
      </c>
      <c r="L62" s="32" t="s">
        <v>91</v>
      </c>
      <c r="M62" s="29">
        <v>0</v>
      </c>
      <c r="N62" s="29"/>
      <c r="O62" s="29"/>
    </row>
    <row r="63" spans="1:15" s="34" customFormat="1" ht="45" x14ac:dyDescent="0.25">
      <c r="A63" s="33" t="s">
        <v>92</v>
      </c>
      <c r="B63" s="34" t="s">
        <v>93</v>
      </c>
      <c r="C63" s="34">
        <v>4.5</v>
      </c>
      <c r="D63" s="34" t="s">
        <v>94</v>
      </c>
      <c r="E63" s="34">
        <v>3</v>
      </c>
      <c r="F63" s="34" t="s">
        <v>95</v>
      </c>
      <c r="G63" s="34">
        <v>0</v>
      </c>
      <c r="H63" s="34" t="s">
        <v>96</v>
      </c>
      <c r="I63" s="34">
        <v>3</v>
      </c>
      <c r="J63" s="34" t="s">
        <v>97</v>
      </c>
      <c r="K63" s="34">
        <v>2</v>
      </c>
      <c r="L63" s="34" t="s">
        <v>98</v>
      </c>
      <c r="M63" s="34">
        <v>1</v>
      </c>
      <c r="N63" s="34" t="s">
        <v>99</v>
      </c>
      <c r="O63" s="34">
        <v>0</v>
      </c>
    </row>
    <row r="64" spans="1:15" x14ac:dyDescent="0.25">
      <c r="A64" s="24" t="s">
        <v>77</v>
      </c>
      <c r="B64" s="29"/>
      <c r="C64" s="35"/>
      <c r="D64" s="29"/>
      <c r="E64" s="29"/>
      <c r="F64" s="29"/>
      <c r="G64" s="29"/>
      <c r="H64" s="29"/>
      <c r="I64" s="29"/>
      <c r="J64" s="29"/>
      <c r="K64" s="29"/>
      <c r="L64" s="29"/>
      <c r="M64" s="29"/>
      <c r="N64" s="29"/>
      <c r="O64" s="29"/>
    </row>
    <row r="65" spans="1:15" x14ac:dyDescent="0.25">
      <c r="A65" s="28"/>
      <c r="B65" s="29"/>
      <c r="C65" s="29"/>
      <c r="D65" s="29"/>
      <c r="E65" s="29"/>
      <c r="F65" s="29"/>
      <c r="G65" s="29"/>
      <c r="H65" s="29"/>
      <c r="I65" s="29"/>
      <c r="J65" s="29"/>
      <c r="K65" s="29"/>
      <c r="L65" s="29"/>
      <c r="M65" s="29"/>
      <c r="N65" s="29"/>
      <c r="O65" s="29"/>
    </row>
    <row r="67" spans="1:15" x14ac:dyDescent="0.25">
      <c r="A67" s="36" t="s">
        <v>100</v>
      </c>
      <c r="B67" s="37"/>
    </row>
    <row r="68" spans="1:15" x14ac:dyDescent="0.25">
      <c r="A68" s="1" t="s">
        <v>101</v>
      </c>
      <c r="B68" s="35" t="s">
        <v>102</v>
      </c>
    </row>
    <row r="69" spans="1:15" x14ac:dyDescent="0.25">
      <c r="A69" s="29" t="s">
        <v>103</v>
      </c>
      <c r="B69" s="38">
        <v>0.7</v>
      </c>
    </row>
    <row r="70" spans="1:15" x14ac:dyDescent="0.25">
      <c r="A70" s="29" t="s">
        <v>104</v>
      </c>
      <c r="B70" s="38">
        <v>0.6</v>
      </c>
    </row>
    <row r="71" spans="1:15" x14ac:dyDescent="0.25">
      <c r="A71" s="1" t="s">
        <v>105</v>
      </c>
      <c r="B71" s="38">
        <v>0.5</v>
      </c>
    </row>
    <row r="72" spans="1:15" x14ac:dyDescent="0.25">
      <c r="A72" s="1" t="s">
        <v>106</v>
      </c>
      <c r="B72" s="38">
        <v>0.4</v>
      </c>
      <c r="E72" s="24"/>
    </row>
    <row r="73" spans="1:15" x14ac:dyDescent="0.25">
      <c r="A73" s="29"/>
      <c r="B73" s="29"/>
      <c r="C73" s="29"/>
    </row>
  </sheetData>
  <mergeCells count="3">
    <mergeCell ref="A3:D3"/>
    <mergeCell ref="A28:C28"/>
    <mergeCell ref="A49:B49"/>
  </mergeCell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BE4B1-B4C3-4FA1-99E1-DEF81459CCD7}">
  <dimension ref="B3:F27"/>
  <sheetViews>
    <sheetView topLeftCell="A11" workbookViewId="0">
      <selection activeCell="B22" sqref="B22:B24"/>
    </sheetView>
  </sheetViews>
  <sheetFormatPr baseColWidth="10" defaultRowHeight="15" x14ac:dyDescent="0.25"/>
  <cols>
    <col min="3" max="3" width="10.85546875" style="56"/>
    <col min="4" max="4" width="12.5703125" customWidth="1"/>
    <col min="6" max="6" width="22.140625" customWidth="1"/>
  </cols>
  <sheetData>
    <row r="3" spans="2:6" ht="15" customHeight="1" x14ac:dyDescent="0.25">
      <c r="B3" s="105" t="s">
        <v>107</v>
      </c>
      <c r="C3" s="105"/>
    </row>
    <row r="4" spans="2:6" ht="30" x14ac:dyDescent="0.25">
      <c r="B4" s="39" t="s">
        <v>108</v>
      </c>
      <c r="C4" s="40" t="s">
        <v>109</v>
      </c>
      <c r="D4" s="39" t="s">
        <v>110</v>
      </c>
      <c r="E4" s="39" t="s">
        <v>269</v>
      </c>
      <c r="F4" s="39" t="s">
        <v>265</v>
      </c>
    </row>
    <row r="5" spans="2:6" ht="30" x14ac:dyDescent="0.25">
      <c r="B5" s="41">
        <v>1</v>
      </c>
      <c r="C5" s="42">
        <v>30</v>
      </c>
      <c r="D5" s="43" t="s">
        <v>102</v>
      </c>
      <c r="E5" s="44" t="s">
        <v>111</v>
      </c>
      <c r="F5" s="45" t="s">
        <v>112</v>
      </c>
    </row>
    <row r="6" spans="2:6" ht="30" x14ac:dyDescent="0.25">
      <c r="B6" s="106">
        <v>0.8</v>
      </c>
      <c r="C6" s="108">
        <v>30</v>
      </c>
      <c r="D6" s="46">
        <v>0.7</v>
      </c>
      <c r="E6" s="47" t="s">
        <v>113</v>
      </c>
      <c r="F6" s="45" t="s">
        <v>114</v>
      </c>
    </row>
    <row r="7" spans="2:6" ht="30" x14ac:dyDescent="0.25">
      <c r="B7" s="107"/>
      <c r="C7" s="109"/>
      <c r="D7" s="43" t="s">
        <v>102</v>
      </c>
      <c r="E7" s="44" t="s">
        <v>115</v>
      </c>
      <c r="F7" s="45" t="s">
        <v>114</v>
      </c>
    </row>
    <row r="8" spans="2:6" ht="45" x14ac:dyDescent="0.25">
      <c r="B8" s="103">
        <v>0.7</v>
      </c>
      <c r="C8" s="104">
        <v>20</v>
      </c>
      <c r="D8" s="43" t="s">
        <v>102</v>
      </c>
      <c r="E8" s="44" t="s">
        <v>116</v>
      </c>
      <c r="F8" s="45" t="s">
        <v>117</v>
      </c>
    </row>
    <row r="9" spans="2:6" ht="30" x14ac:dyDescent="0.25">
      <c r="B9" s="103"/>
      <c r="C9" s="104"/>
      <c r="D9" s="46">
        <v>0.7</v>
      </c>
      <c r="E9" s="47" t="s">
        <v>118</v>
      </c>
      <c r="F9" s="45" t="s">
        <v>117</v>
      </c>
    </row>
    <row r="10" spans="2:6" ht="30" x14ac:dyDescent="0.25">
      <c r="B10" s="103"/>
      <c r="C10" s="104"/>
      <c r="D10" s="48">
        <v>0.6</v>
      </c>
      <c r="E10" s="49" t="s">
        <v>32</v>
      </c>
      <c r="F10" s="45" t="s">
        <v>117</v>
      </c>
    </row>
    <row r="11" spans="2:6" ht="45" x14ac:dyDescent="0.25">
      <c r="B11" s="110">
        <v>0.6</v>
      </c>
      <c r="C11" s="111">
        <v>20</v>
      </c>
      <c r="D11" s="43" t="s">
        <v>102</v>
      </c>
      <c r="E11" s="44" t="s">
        <v>119</v>
      </c>
      <c r="F11" s="45" t="s">
        <v>120</v>
      </c>
    </row>
    <row r="12" spans="2:6" ht="30" x14ac:dyDescent="0.25">
      <c r="B12" s="110"/>
      <c r="C12" s="111"/>
      <c r="D12" s="46">
        <v>0.7</v>
      </c>
      <c r="E12" s="47" t="s">
        <v>121</v>
      </c>
      <c r="F12" s="45" t="s">
        <v>120</v>
      </c>
    </row>
    <row r="13" spans="2:6" ht="30" x14ac:dyDescent="0.25">
      <c r="B13" s="110"/>
      <c r="C13" s="111"/>
      <c r="D13" s="48">
        <v>0.6</v>
      </c>
      <c r="E13" s="49" t="s">
        <v>122</v>
      </c>
      <c r="F13" s="45" t="s">
        <v>120</v>
      </c>
    </row>
    <row r="14" spans="2:6" ht="30" x14ac:dyDescent="0.25">
      <c r="B14" s="103">
        <v>0.5</v>
      </c>
      <c r="C14" s="104">
        <v>80</v>
      </c>
      <c r="D14" s="48">
        <v>0.6</v>
      </c>
      <c r="E14" s="49" t="s">
        <v>123</v>
      </c>
      <c r="F14" s="45" t="s">
        <v>124</v>
      </c>
    </row>
    <row r="15" spans="2:6" ht="30" x14ac:dyDescent="0.25">
      <c r="B15" s="103"/>
      <c r="C15" s="104"/>
      <c r="D15" s="50">
        <v>0.5</v>
      </c>
      <c r="E15" s="51" t="s">
        <v>125</v>
      </c>
      <c r="F15" s="45" t="s">
        <v>124</v>
      </c>
    </row>
    <row r="16" spans="2:6" ht="30" x14ac:dyDescent="0.25">
      <c r="B16" s="103"/>
      <c r="C16" s="104"/>
      <c r="D16" s="52">
        <v>0.4</v>
      </c>
      <c r="E16" s="53" t="s">
        <v>266</v>
      </c>
      <c r="F16" s="45" t="s">
        <v>124</v>
      </c>
    </row>
    <row r="17" spans="2:6" ht="45" x14ac:dyDescent="0.25">
      <c r="B17" s="103">
        <v>0.4</v>
      </c>
      <c r="C17" s="104">
        <v>123</v>
      </c>
      <c r="D17" s="50">
        <v>0.5</v>
      </c>
      <c r="E17" s="51" t="s">
        <v>267</v>
      </c>
      <c r="F17" s="45" t="s">
        <v>126</v>
      </c>
    </row>
    <row r="18" spans="2:6" ht="30" x14ac:dyDescent="0.25">
      <c r="B18" s="103"/>
      <c r="C18" s="104"/>
      <c r="D18" s="52">
        <v>0.4</v>
      </c>
      <c r="E18" s="53" t="s">
        <v>268</v>
      </c>
      <c r="F18" s="45" t="s">
        <v>126</v>
      </c>
    </row>
    <row r="19" spans="2:6" x14ac:dyDescent="0.25">
      <c r="B19" s="54"/>
      <c r="C19" s="40">
        <v>303</v>
      </c>
    </row>
    <row r="26" spans="2:6" x14ac:dyDescent="0.25">
      <c r="B26" s="55"/>
    </row>
    <row r="27" spans="2:6" x14ac:dyDescent="0.25">
      <c r="B27" s="55"/>
    </row>
  </sheetData>
  <mergeCells count="11">
    <mergeCell ref="B14:B16"/>
    <mergeCell ref="C14:C16"/>
    <mergeCell ref="B17:B18"/>
    <mergeCell ref="C17:C18"/>
    <mergeCell ref="B3:C3"/>
    <mergeCell ref="B6:B7"/>
    <mergeCell ref="C6:C7"/>
    <mergeCell ref="B8:B10"/>
    <mergeCell ref="C8:C10"/>
    <mergeCell ref="B11:B13"/>
    <mergeCell ref="C11:C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A677-1AB7-45CF-8B47-B820B3113583}">
  <dimension ref="A1:L53"/>
  <sheetViews>
    <sheetView tabSelected="1" workbookViewId="0">
      <selection activeCell="L1" sqref="L1:L1048576"/>
    </sheetView>
  </sheetViews>
  <sheetFormatPr baseColWidth="10" defaultColWidth="11.42578125" defaultRowHeight="15" x14ac:dyDescent="0.25"/>
  <cols>
    <col min="1" max="1" width="30.140625" style="57" customWidth="1"/>
    <col min="2" max="2" width="16.140625" style="59" customWidth="1"/>
    <col min="3" max="5" width="11.28515625" style="57" customWidth="1"/>
    <col min="6" max="6" width="16.85546875" style="57" customWidth="1"/>
    <col min="7" max="7" width="16.85546875" style="57" hidden="1" customWidth="1"/>
    <col min="8" max="9" width="12" style="59" customWidth="1"/>
    <col min="10" max="10" width="17.5703125" style="57" customWidth="1"/>
    <col min="11" max="11" width="0" style="57" hidden="1" customWidth="1"/>
    <col min="12" max="16384" width="11.42578125" style="57"/>
  </cols>
  <sheetData>
    <row r="1" spans="1:12" x14ac:dyDescent="0.25">
      <c r="B1" s="112" t="s">
        <v>158</v>
      </c>
      <c r="C1" s="112"/>
      <c r="D1" s="112"/>
      <c r="E1" s="112"/>
    </row>
    <row r="2" spans="1:12" s="62" customFormat="1" ht="45" x14ac:dyDescent="0.25">
      <c r="A2" s="60" t="s">
        <v>127</v>
      </c>
      <c r="B2" s="60">
        <v>20232</v>
      </c>
      <c r="C2" s="60">
        <v>20241</v>
      </c>
      <c r="D2" s="60">
        <v>20242</v>
      </c>
      <c r="E2" s="60">
        <v>20251</v>
      </c>
      <c r="F2" s="61" t="s">
        <v>128</v>
      </c>
      <c r="G2" s="61" t="s">
        <v>161</v>
      </c>
      <c r="H2" s="60" t="s">
        <v>159</v>
      </c>
      <c r="I2" s="60" t="s">
        <v>160</v>
      </c>
      <c r="J2" s="73" t="s">
        <v>163</v>
      </c>
      <c r="K2" s="73" t="s">
        <v>162</v>
      </c>
    </row>
    <row r="3" spans="1:12" x14ac:dyDescent="0.25">
      <c r="A3" s="57" t="s">
        <v>129</v>
      </c>
      <c r="B3" s="59">
        <v>32</v>
      </c>
      <c r="C3" s="59">
        <v>38</v>
      </c>
      <c r="D3" s="59">
        <v>60</v>
      </c>
      <c r="E3" s="59">
        <v>41</v>
      </c>
      <c r="F3" s="63">
        <f>+AVERAGE(B3,C3,E3)</f>
        <v>37</v>
      </c>
      <c r="G3" s="63"/>
      <c r="H3" s="58">
        <v>32</v>
      </c>
      <c r="I3" s="59">
        <v>41</v>
      </c>
      <c r="J3" s="64">
        <v>32</v>
      </c>
      <c r="L3" s="62"/>
    </row>
    <row r="4" spans="1:12" x14ac:dyDescent="0.25">
      <c r="A4" s="57" t="s">
        <v>130</v>
      </c>
      <c r="B4" s="59">
        <v>14</v>
      </c>
      <c r="C4" s="59">
        <v>18</v>
      </c>
      <c r="D4" s="59">
        <v>25</v>
      </c>
      <c r="E4" s="59">
        <v>22</v>
      </c>
      <c r="F4" s="63">
        <f t="shared" ref="F4:F16" si="0">+AVERAGE(B4,C4,E4)</f>
        <v>18</v>
      </c>
      <c r="G4" s="63"/>
      <c r="H4" s="58">
        <v>7</v>
      </c>
      <c r="I4" s="59">
        <v>11</v>
      </c>
      <c r="J4" s="64">
        <v>10</v>
      </c>
      <c r="L4" s="62"/>
    </row>
    <row r="5" spans="1:12" x14ac:dyDescent="0.25">
      <c r="A5" s="57" t="s">
        <v>131</v>
      </c>
      <c r="B5" s="59">
        <v>15</v>
      </c>
      <c r="C5" s="59">
        <v>14</v>
      </c>
      <c r="D5" s="59">
        <v>14</v>
      </c>
      <c r="E5" s="59">
        <v>21</v>
      </c>
      <c r="F5" s="63">
        <f t="shared" si="0"/>
        <v>16.666666666666668</v>
      </c>
      <c r="G5" s="63"/>
      <c r="H5" s="58">
        <v>16</v>
      </c>
      <c r="I5" s="59">
        <v>3</v>
      </c>
      <c r="J5" s="64">
        <v>2</v>
      </c>
      <c r="L5" s="62"/>
    </row>
    <row r="6" spans="1:12" x14ac:dyDescent="0.25">
      <c r="A6" s="57" t="s">
        <v>132</v>
      </c>
      <c r="B6" s="59">
        <v>20</v>
      </c>
      <c r="C6" s="59">
        <v>20</v>
      </c>
      <c r="D6" s="59">
        <v>33</v>
      </c>
      <c r="E6" s="59">
        <v>21</v>
      </c>
      <c r="F6" s="63">
        <f t="shared" si="0"/>
        <v>20.333333333333332</v>
      </c>
      <c r="G6" s="63"/>
      <c r="H6" s="58">
        <v>12</v>
      </c>
      <c r="I6" s="59">
        <v>18</v>
      </c>
      <c r="J6" s="64">
        <v>15</v>
      </c>
      <c r="L6" s="62"/>
    </row>
    <row r="7" spans="1:12" x14ac:dyDescent="0.25">
      <c r="A7" s="57" t="s">
        <v>133</v>
      </c>
      <c r="B7" s="59">
        <v>5</v>
      </c>
      <c r="C7" s="59">
        <v>22</v>
      </c>
      <c r="D7" s="59">
        <v>20</v>
      </c>
      <c r="E7" s="59">
        <v>21</v>
      </c>
      <c r="F7" s="63">
        <f t="shared" si="0"/>
        <v>16</v>
      </c>
      <c r="G7" s="63"/>
      <c r="H7" s="58">
        <v>16</v>
      </c>
      <c r="I7" s="59">
        <v>6</v>
      </c>
      <c r="J7" s="64">
        <v>6</v>
      </c>
      <c r="L7" s="62"/>
    </row>
    <row r="8" spans="1:12" x14ac:dyDescent="0.25">
      <c r="A8" s="57" t="s">
        <v>134</v>
      </c>
      <c r="B8" s="59">
        <v>38</v>
      </c>
      <c r="C8" s="59">
        <v>33</v>
      </c>
      <c r="D8" s="59">
        <v>51</v>
      </c>
      <c r="E8" s="59">
        <v>38</v>
      </c>
      <c r="F8" s="63">
        <f t="shared" si="0"/>
        <v>36.333333333333336</v>
      </c>
      <c r="G8" s="63"/>
      <c r="H8" s="58">
        <v>16</v>
      </c>
      <c r="I8" s="59">
        <v>33</v>
      </c>
      <c r="J8" s="64">
        <v>28</v>
      </c>
      <c r="L8" s="62"/>
    </row>
    <row r="9" spans="1:12" x14ac:dyDescent="0.25">
      <c r="A9" s="117" t="s">
        <v>135</v>
      </c>
      <c r="B9" s="59">
        <v>28</v>
      </c>
      <c r="C9" s="59">
        <v>31</v>
      </c>
      <c r="D9" s="59">
        <v>41</v>
      </c>
      <c r="E9" s="59">
        <v>32</v>
      </c>
      <c r="F9" s="63">
        <f t="shared" si="0"/>
        <v>30.333333333333332</v>
      </c>
      <c r="G9" s="63"/>
      <c r="H9" s="58">
        <v>10</v>
      </c>
      <c r="I9" s="59">
        <v>23</v>
      </c>
      <c r="J9" s="64">
        <v>15</v>
      </c>
      <c r="L9" s="62"/>
    </row>
    <row r="10" spans="1:12" x14ac:dyDescent="0.25">
      <c r="A10" s="118" t="s">
        <v>136</v>
      </c>
      <c r="B10" s="59">
        <v>0</v>
      </c>
      <c r="C10" s="59">
        <v>5</v>
      </c>
      <c r="D10" s="59">
        <v>5</v>
      </c>
      <c r="E10" s="59">
        <v>9</v>
      </c>
      <c r="F10" s="63">
        <f t="shared" si="0"/>
        <v>4.666666666666667</v>
      </c>
      <c r="G10" s="63"/>
      <c r="H10" s="58">
        <v>0</v>
      </c>
      <c r="I10" s="59">
        <v>3</v>
      </c>
      <c r="J10" s="64">
        <v>2</v>
      </c>
      <c r="L10" s="62"/>
    </row>
    <row r="11" spans="1:12" x14ac:dyDescent="0.25">
      <c r="A11" s="57" t="s">
        <v>137</v>
      </c>
      <c r="B11" s="59">
        <v>13</v>
      </c>
      <c r="C11" s="59">
        <v>17</v>
      </c>
      <c r="D11" s="59">
        <v>20</v>
      </c>
      <c r="E11" s="59">
        <v>17</v>
      </c>
      <c r="F11" s="63">
        <f t="shared" si="0"/>
        <v>15.666666666666666</v>
      </c>
      <c r="G11" s="63"/>
      <c r="H11" s="58">
        <v>12</v>
      </c>
      <c r="I11" s="59">
        <v>13</v>
      </c>
      <c r="J11" s="64">
        <v>9</v>
      </c>
      <c r="L11" s="62"/>
    </row>
    <row r="12" spans="1:12" x14ac:dyDescent="0.25">
      <c r="A12" s="57" t="s">
        <v>138</v>
      </c>
      <c r="B12" s="59">
        <v>17</v>
      </c>
      <c r="C12" s="59">
        <v>25</v>
      </c>
      <c r="D12" s="59">
        <v>23</v>
      </c>
      <c r="E12" s="59">
        <v>24</v>
      </c>
      <c r="F12" s="63">
        <f t="shared" si="0"/>
        <v>22</v>
      </c>
      <c r="G12" s="63"/>
      <c r="H12" s="58">
        <v>15</v>
      </c>
      <c r="I12" s="59">
        <v>31</v>
      </c>
      <c r="J12" s="64">
        <v>24</v>
      </c>
      <c r="L12" s="62"/>
    </row>
    <row r="13" spans="1:12" x14ac:dyDescent="0.25">
      <c r="A13" s="57" t="s">
        <v>139</v>
      </c>
      <c r="B13" s="59">
        <v>6</v>
      </c>
      <c r="C13" s="59">
        <v>14</v>
      </c>
      <c r="D13" s="59">
        <v>15</v>
      </c>
      <c r="E13" s="59">
        <v>13</v>
      </c>
      <c r="F13" s="63">
        <f t="shared" si="0"/>
        <v>11</v>
      </c>
      <c r="G13" s="63"/>
      <c r="H13" s="58">
        <v>10</v>
      </c>
      <c r="I13" s="59">
        <v>2</v>
      </c>
      <c r="J13" s="64">
        <v>2</v>
      </c>
      <c r="L13" s="62"/>
    </row>
    <row r="14" spans="1:12" x14ac:dyDescent="0.25">
      <c r="A14" s="119" t="s">
        <v>140</v>
      </c>
      <c r="B14" s="59">
        <v>4</v>
      </c>
      <c r="C14" s="59">
        <v>5</v>
      </c>
      <c r="D14" s="59">
        <v>4</v>
      </c>
      <c r="E14" s="59">
        <v>9</v>
      </c>
      <c r="F14" s="63">
        <f t="shared" si="0"/>
        <v>6</v>
      </c>
      <c r="G14" s="63"/>
      <c r="H14" s="58">
        <v>1</v>
      </c>
      <c r="I14" s="59">
        <v>2</v>
      </c>
      <c r="J14" s="64">
        <v>1</v>
      </c>
      <c r="L14" s="62"/>
    </row>
    <row r="15" spans="1:12" x14ac:dyDescent="0.25">
      <c r="A15" s="57" t="s">
        <v>141</v>
      </c>
      <c r="B15" s="59">
        <v>18</v>
      </c>
      <c r="C15" s="59">
        <v>21</v>
      </c>
      <c r="D15" s="59">
        <v>29</v>
      </c>
      <c r="E15" s="59">
        <v>26</v>
      </c>
      <c r="F15" s="63">
        <f t="shared" si="0"/>
        <v>21.666666666666668</v>
      </c>
      <c r="G15" s="63"/>
      <c r="H15" s="58">
        <v>16</v>
      </c>
      <c r="I15" s="59">
        <v>8</v>
      </c>
      <c r="J15" s="64">
        <v>7</v>
      </c>
      <c r="L15" s="62"/>
    </row>
    <row r="16" spans="1:12" x14ac:dyDescent="0.25">
      <c r="A16" s="119" t="s">
        <v>142</v>
      </c>
      <c r="B16" s="59">
        <v>9</v>
      </c>
      <c r="C16" s="59">
        <v>16</v>
      </c>
      <c r="D16" s="59">
        <v>17</v>
      </c>
      <c r="E16" s="59">
        <v>20</v>
      </c>
      <c r="F16" s="63">
        <f t="shared" si="0"/>
        <v>15</v>
      </c>
      <c r="G16" s="63"/>
      <c r="H16" s="58">
        <v>1</v>
      </c>
      <c r="I16" s="59">
        <v>20</v>
      </c>
      <c r="J16" s="64">
        <v>10</v>
      </c>
      <c r="L16" s="62"/>
    </row>
    <row r="17" spans="1:12" x14ac:dyDescent="0.25">
      <c r="A17" s="57" t="s">
        <v>143</v>
      </c>
      <c r="B17" s="59">
        <v>3</v>
      </c>
      <c r="C17" s="59">
        <v>12</v>
      </c>
      <c r="D17" s="59">
        <v>13</v>
      </c>
      <c r="E17" s="59">
        <v>17</v>
      </c>
      <c r="F17" s="65">
        <f>+H17</f>
        <v>15</v>
      </c>
      <c r="G17" s="65"/>
      <c r="H17" s="58">
        <v>15</v>
      </c>
      <c r="I17" s="59">
        <v>1</v>
      </c>
      <c r="J17" s="64">
        <v>0</v>
      </c>
      <c r="L17" s="62"/>
    </row>
    <row r="18" spans="1:12" x14ac:dyDescent="0.25">
      <c r="A18" s="57" t="s">
        <v>144</v>
      </c>
      <c r="B18" s="59">
        <v>7</v>
      </c>
      <c r="C18" s="59">
        <v>9</v>
      </c>
      <c r="D18" s="59">
        <v>5</v>
      </c>
      <c r="E18" s="59">
        <v>13</v>
      </c>
      <c r="F18" s="63">
        <f>+AVERAGE(B18,C18,E18)</f>
        <v>9.6666666666666661</v>
      </c>
      <c r="G18" s="63"/>
      <c r="H18" s="58">
        <v>10</v>
      </c>
      <c r="I18" s="59">
        <v>2</v>
      </c>
      <c r="J18" s="64">
        <v>2</v>
      </c>
      <c r="L18" s="62"/>
    </row>
    <row r="19" spans="1:12" x14ac:dyDescent="0.25">
      <c r="A19" s="117" t="s">
        <v>145</v>
      </c>
      <c r="B19" s="59">
        <v>55</v>
      </c>
      <c r="C19" s="59">
        <v>49</v>
      </c>
      <c r="D19" s="59">
        <v>65</v>
      </c>
      <c r="E19" s="59">
        <v>68</v>
      </c>
      <c r="F19" s="63">
        <f>+AVERAGE(B19,C19,E19)</f>
        <v>57.333333333333336</v>
      </c>
      <c r="G19" s="63"/>
      <c r="H19" s="58">
        <v>16</v>
      </c>
      <c r="I19" s="59">
        <v>71</v>
      </c>
      <c r="J19" s="64">
        <v>52</v>
      </c>
      <c r="L19" s="62"/>
    </row>
    <row r="20" spans="1:12" x14ac:dyDescent="0.25">
      <c r="A20" s="57" t="s">
        <v>146</v>
      </c>
      <c r="B20" s="59">
        <v>5</v>
      </c>
      <c r="C20" s="59">
        <v>21</v>
      </c>
      <c r="D20" s="59">
        <v>14</v>
      </c>
      <c r="E20" s="59">
        <v>20</v>
      </c>
      <c r="F20" s="65">
        <f>+H20</f>
        <v>16</v>
      </c>
      <c r="G20" s="65"/>
      <c r="H20" s="58">
        <v>16</v>
      </c>
      <c r="I20" s="59">
        <v>3</v>
      </c>
      <c r="J20" s="64">
        <v>2</v>
      </c>
      <c r="L20" s="62"/>
    </row>
    <row r="21" spans="1:12" x14ac:dyDescent="0.25">
      <c r="A21" s="57" t="s">
        <v>147</v>
      </c>
      <c r="B21" s="59">
        <v>6</v>
      </c>
      <c r="C21" s="59">
        <v>16</v>
      </c>
      <c r="D21" s="59">
        <v>8</v>
      </c>
      <c r="E21" s="59">
        <v>22</v>
      </c>
      <c r="F21" s="63">
        <f>+AVERAGE(B21,C21,E21)</f>
        <v>14.666666666666666</v>
      </c>
      <c r="G21" s="63"/>
      <c r="H21" s="58">
        <v>15</v>
      </c>
      <c r="I21" s="59">
        <v>2</v>
      </c>
      <c r="J21" s="64">
        <v>1</v>
      </c>
      <c r="L21" s="62"/>
    </row>
    <row r="22" spans="1:12" x14ac:dyDescent="0.25">
      <c r="A22" s="57" t="s">
        <v>148</v>
      </c>
      <c r="B22" s="59">
        <v>12</v>
      </c>
      <c r="C22" s="59">
        <v>19</v>
      </c>
      <c r="D22" s="59">
        <v>22</v>
      </c>
      <c r="E22" s="59">
        <v>18</v>
      </c>
      <c r="F22" s="63">
        <f>+AVERAGE(B22,C22,E22)</f>
        <v>16.333333333333332</v>
      </c>
      <c r="G22" s="63"/>
      <c r="H22" s="58">
        <v>16</v>
      </c>
      <c r="I22" s="59">
        <v>12</v>
      </c>
      <c r="J22" s="64">
        <v>8</v>
      </c>
      <c r="L22" s="62"/>
    </row>
    <row r="23" spans="1:12" x14ac:dyDescent="0.25">
      <c r="A23" s="57" t="s">
        <v>149</v>
      </c>
      <c r="B23" s="59">
        <v>14</v>
      </c>
      <c r="C23" s="59">
        <v>13</v>
      </c>
      <c r="D23" s="59">
        <v>11</v>
      </c>
      <c r="E23" s="59">
        <v>13</v>
      </c>
      <c r="F23" s="65">
        <f>+H23</f>
        <v>20</v>
      </c>
      <c r="G23" s="65"/>
      <c r="H23" s="58">
        <v>20</v>
      </c>
      <c r="I23" s="59">
        <v>2</v>
      </c>
      <c r="J23" s="64">
        <v>1</v>
      </c>
      <c r="L23" s="62"/>
    </row>
    <row r="24" spans="1:12" x14ac:dyDescent="0.25">
      <c r="A24" s="117" t="s">
        <v>150</v>
      </c>
      <c r="B24" s="59">
        <v>8</v>
      </c>
      <c r="C24" s="59">
        <v>17</v>
      </c>
      <c r="D24" s="59">
        <v>30</v>
      </c>
      <c r="E24" s="59">
        <v>21</v>
      </c>
      <c r="F24" s="63">
        <f>+AVERAGE(B24,C24,E24)</f>
        <v>15.333333333333334</v>
      </c>
      <c r="G24" s="63"/>
      <c r="H24" s="58">
        <v>5</v>
      </c>
      <c r="I24" s="59">
        <v>45</v>
      </c>
      <c r="J24" s="64">
        <v>34</v>
      </c>
      <c r="L24" s="62"/>
    </row>
    <row r="25" spans="1:12" x14ac:dyDescent="0.25">
      <c r="A25" s="119" t="s">
        <v>151</v>
      </c>
      <c r="B25" s="59">
        <v>5</v>
      </c>
      <c r="C25" s="59">
        <v>5</v>
      </c>
      <c r="D25" s="59">
        <v>5</v>
      </c>
      <c r="E25" s="59">
        <v>8</v>
      </c>
      <c r="F25" s="63">
        <f>+AVERAGE(B25,C25,E25)</f>
        <v>6</v>
      </c>
      <c r="G25" s="63"/>
      <c r="H25" s="58">
        <v>1</v>
      </c>
      <c r="I25" s="59">
        <v>8</v>
      </c>
      <c r="J25" s="64">
        <v>8</v>
      </c>
      <c r="L25" s="62"/>
    </row>
    <row r="26" spans="1:12" x14ac:dyDescent="0.25">
      <c r="A26" s="117" t="s">
        <v>152</v>
      </c>
      <c r="B26" s="59">
        <v>27</v>
      </c>
      <c r="C26" s="59">
        <v>29</v>
      </c>
      <c r="D26" s="59">
        <v>41</v>
      </c>
      <c r="E26" s="59">
        <v>13</v>
      </c>
      <c r="F26" s="63">
        <f>+AVERAGE(B26,C26,E26)</f>
        <v>23</v>
      </c>
      <c r="G26" s="63"/>
      <c r="H26" s="58">
        <v>10</v>
      </c>
      <c r="I26" s="59">
        <v>37</v>
      </c>
      <c r="J26" s="64">
        <v>24</v>
      </c>
      <c r="L26" s="62"/>
    </row>
    <row r="27" spans="1:12" x14ac:dyDescent="0.25">
      <c r="A27" s="57" t="s">
        <v>153</v>
      </c>
      <c r="B27" s="59">
        <v>24</v>
      </c>
      <c r="C27" s="59">
        <v>26</v>
      </c>
      <c r="D27" s="59">
        <v>41</v>
      </c>
      <c r="E27" s="59">
        <v>26</v>
      </c>
      <c r="F27" s="63">
        <f>+AVERAGE(B27,C27,E27)</f>
        <v>25.333333333333332</v>
      </c>
      <c r="G27" s="63"/>
      <c r="H27" s="58">
        <v>15</v>
      </c>
      <c r="I27" s="59">
        <v>9</v>
      </c>
      <c r="J27" s="64">
        <v>6</v>
      </c>
      <c r="L27" s="62"/>
    </row>
    <row r="28" spans="1:12" x14ac:dyDescent="0.25">
      <c r="A28" s="118" t="s">
        <v>154</v>
      </c>
      <c r="B28" s="59">
        <v>0</v>
      </c>
      <c r="C28" s="59">
        <v>0</v>
      </c>
      <c r="D28" s="59">
        <v>0</v>
      </c>
      <c r="E28" s="59">
        <v>0</v>
      </c>
      <c r="F28" s="63">
        <f>+AVERAGE(B28,C28,E28)</f>
        <v>0</v>
      </c>
      <c r="G28" s="63"/>
      <c r="H28" s="58">
        <v>0</v>
      </c>
      <c r="I28" s="59">
        <v>7</v>
      </c>
      <c r="J28" s="64">
        <v>7</v>
      </c>
      <c r="L28" s="62"/>
    </row>
    <row r="29" spans="1:12" x14ac:dyDescent="0.25">
      <c r="A29" s="66" t="s">
        <v>155</v>
      </c>
      <c r="B29" s="67">
        <f>SUM(B3:B28)</f>
        <v>385</v>
      </c>
      <c r="C29" s="67">
        <f t="shared" ref="C29:D29" si="1">SUM(C3:C28)</f>
        <v>495</v>
      </c>
      <c r="D29" s="67">
        <f t="shared" si="1"/>
        <v>612</v>
      </c>
      <c r="E29" s="67">
        <f>SUM(E3:E28)</f>
        <v>553</v>
      </c>
      <c r="F29" s="68">
        <f>SUM(F3:F28)</f>
        <v>489.33333333333326</v>
      </c>
      <c r="G29" s="68"/>
      <c r="H29" s="68">
        <f t="shared" ref="H29" si="2">SUM(H3:H28)</f>
        <v>303</v>
      </c>
      <c r="I29" s="68">
        <f>SUM(I3:I28)</f>
        <v>413</v>
      </c>
      <c r="J29" s="68">
        <f>SUM(J3:J28)</f>
        <v>308</v>
      </c>
    </row>
    <row r="30" spans="1:12" ht="14.45" customHeight="1" x14ac:dyDescent="0.25"/>
    <row r="31" spans="1:12" x14ac:dyDescent="0.25">
      <c r="A31" s="72" t="s">
        <v>157</v>
      </c>
    </row>
    <row r="35" spans="1:3" x14ac:dyDescent="0.25">
      <c r="A35" s="69" t="s">
        <v>108</v>
      </c>
      <c r="B35" s="69" t="s">
        <v>109</v>
      </c>
    </row>
    <row r="36" spans="1:3" x14ac:dyDescent="0.25">
      <c r="A36" s="70">
        <v>0.4</v>
      </c>
      <c r="B36" s="71">
        <v>123</v>
      </c>
    </row>
    <row r="37" spans="1:3" x14ac:dyDescent="0.25">
      <c r="A37" s="70">
        <v>0.5</v>
      </c>
      <c r="B37" s="71">
        <v>80</v>
      </c>
    </row>
    <row r="38" spans="1:3" x14ac:dyDescent="0.25">
      <c r="A38" s="70">
        <v>0.6</v>
      </c>
      <c r="B38" s="71">
        <v>20</v>
      </c>
    </row>
    <row r="39" spans="1:3" x14ac:dyDescent="0.25">
      <c r="A39" s="70">
        <v>0.7</v>
      </c>
      <c r="B39" s="71">
        <v>20</v>
      </c>
    </row>
    <row r="40" spans="1:3" x14ac:dyDescent="0.25">
      <c r="A40" s="70">
        <v>0.8</v>
      </c>
      <c r="B40" s="71">
        <v>30</v>
      </c>
    </row>
    <row r="41" spans="1:3" x14ac:dyDescent="0.25">
      <c r="A41" s="70">
        <v>1</v>
      </c>
      <c r="B41" s="71">
        <v>30</v>
      </c>
    </row>
    <row r="42" spans="1:3" x14ac:dyDescent="0.25">
      <c r="A42" s="87" t="s">
        <v>156</v>
      </c>
      <c r="B42" s="88">
        <v>303</v>
      </c>
    </row>
    <row r="43" spans="1:3" x14ac:dyDescent="0.25">
      <c r="A43" s="57" t="s">
        <v>164</v>
      </c>
      <c r="B43" s="99">
        <f>+SUMPRODUCT(A36:A41,B36:B41)/B42</f>
        <v>0.55841584158415836</v>
      </c>
      <c r="C43" s="57" t="s">
        <v>270</v>
      </c>
    </row>
    <row r="44" spans="1:3" x14ac:dyDescent="0.25">
      <c r="A44" s="57" t="s">
        <v>165</v>
      </c>
      <c r="B44" s="100">
        <f>1-B43</f>
        <v>0.44158415841584164</v>
      </c>
    </row>
    <row r="47" spans="1:3" x14ac:dyDescent="0.25">
      <c r="A47" s="55" t="s">
        <v>293</v>
      </c>
    </row>
    <row r="48" spans="1:3" x14ac:dyDescent="0.25">
      <c r="A48" t="s">
        <v>294</v>
      </c>
    </row>
    <row r="49" spans="1:1" x14ac:dyDescent="0.25">
      <c r="A49" t="s">
        <v>295</v>
      </c>
    </row>
    <row r="50" spans="1:1" x14ac:dyDescent="0.25">
      <c r="A50" s="57" t="s">
        <v>296</v>
      </c>
    </row>
    <row r="51" spans="1:1" x14ac:dyDescent="0.25">
      <c r="A51" s="117" t="s">
        <v>297</v>
      </c>
    </row>
    <row r="52" spans="1:1" x14ac:dyDescent="0.25">
      <c r="A52" s="118" t="s">
        <v>298</v>
      </c>
    </row>
    <row r="53" spans="1:1" x14ac:dyDescent="0.25">
      <c r="A53" s="119" t="s">
        <v>299</v>
      </c>
    </row>
  </sheetData>
  <autoFilter ref="A2:K31" xr:uid="{4D523E07-4194-4454-A78D-48583291BB05}"/>
  <mergeCells count="1">
    <mergeCell ref="B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8921-07C1-468C-8D04-5D8CCA0BDB60}">
  <dimension ref="A2:N31"/>
  <sheetViews>
    <sheetView workbookViewId="0">
      <selection activeCell="I28" sqref="I28"/>
    </sheetView>
  </sheetViews>
  <sheetFormatPr baseColWidth="10" defaultRowHeight="15" x14ac:dyDescent="0.25"/>
  <cols>
    <col min="1" max="1" width="25.140625" customWidth="1"/>
    <col min="2" max="8" width="6.42578125" customWidth="1"/>
    <col min="9" max="10" width="10.42578125" customWidth="1"/>
    <col min="12" max="12" width="13.7109375" customWidth="1"/>
  </cols>
  <sheetData>
    <row r="2" spans="1:14" ht="30" x14ac:dyDescent="0.25">
      <c r="A2" s="82" t="s">
        <v>127</v>
      </c>
      <c r="B2" s="83">
        <v>0.4</v>
      </c>
      <c r="C2" s="83">
        <v>0.5</v>
      </c>
      <c r="D2" s="83">
        <v>0.6</v>
      </c>
      <c r="E2" s="83">
        <v>0.7</v>
      </c>
      <c r="F2" s="83">
        <v>0.8</v>
      </c>
      <c r="G2" s="83">
        <v>1</v>
      </c>
      <c r="H2" s="82" t="s">
        <v>12</v>
      </c>
      <c r="I2" s="74" t="s">
        <v>164</v>
      </c>
      <c r="J2" s="74" t="s">
        <v>165</v>
      </c>
      <c r="K2" s="75" t="s">
        <v>166</v>
      </c>
      <c r="L2" s="75" t="s">
        <v>167</v>
      </c>
      <c r="M2" s="75" t="s">
        <v>169</v>
      </c>
      <c r="N2" s="75" t="s">
        <v>168</v>
      </c>
    </row>
    <row r="3" spans="1:14" x14ac:dyDescent="0.25">
      <c r="A3" s="81" t="s">
        <v>170</v>
      </c>
      <c r="B3" s="56">
        <v>13</v>
      </c>
      <c r="C3" s="56">
        <v>12</v>
      </c>
      <c r="D3" s="56">
        <v>3</v>
      </c>
      <c r="E3" s="56">
        <v>2</v>
      </c>
      <c r="F3" s="56">
        <v>1</v>
      </c>
      <c r="G3" s="56">
        <v>1</v>
      </c>
      <c r="H3" s="56">
        <v>32</v>
      </c>
      <c r="I3" s="76">
        <f>+SUMPRODUCT($B$2:$G$2,B3:G3)/H3</f>
        <v>0.50625000000000009</v>
      </c>
      <c r="J3" s="77">
        <f>1-I3</f>
        <v>0.49374999999999991</v>
      </c>
      <c r="K3" s="56">
        <f>+VLOOKUP(A3,[2]Caracterizacion!$A$6:$B$32,2,0)</f>
        <v>41</v>
      </c>
      <c r="L3" s="56">
        <v>1</v>
      </c>
      <c r="M3" s="56">
        <f>+VLOOKUP(A3,[2]Cupos!$I$2:$O$26,7,0)</f>
        <v>32</v>
      </c>
      <c r="N3" s="56">
        <f t="shared" ref="N3:N27" si="0">+M3-H3</f>
        <v>0</v>
      </c>
    </row>
    <row r="4" spans="1:14" x14ac:dyDescent="0.25">
      <c r="A4" s="81" t="s">
        <v>171</v>
      </c>
      <c r="B4" s="56">
        <v>15</v>
      </c>
      <c r="C4" s="56">
        <v>5</v>
      </c>
      <c r="D4" s="56">
        <v>2</v>
      </c>
      <c r="E4" s="56">
        <v>1</v>
      </c>
      <c r="F4" s="56"/>
      <c r="G4" s="56">
        <v>1</v>
      </c>
      <c r="H4" s="56">
        <v>24</v>
      </c>
      <c r="I4" s="76">
        <f t="shared" ref="I4:I27" si="1">+SUMPRODUCT($B$2:$G$2,B4:G4)/H4</f>
        <v>0.47499999999999992</v>
      </c>
      <c r="J4" s="77">
        <f t="shared" ref="J4:J28" si="2">1-I4</f>
        <v>0.52500000000000013</v>
      </c>
      <c r="K4" s="56">
        <f>+VLOOKUP(A4,[2]Caracterizacion!$A$6:$B$32,2,0)</f>
        <v>37</v>
      </c>
      <c r="L4" s="56">
        <v>3</v>
      </c>
      <c r="M4" s="56">
        <f>+VLOOKUP(A4,[2]Cupos!$I$2:$O$26,7,0)</f>
        <v>10</v>
      </c>
      <c r="N4" s="56">
        <f t="shared" si="0"/>
        <v>-14</v>
      </c>
    </row>
    <row r="5" spans="1:14" x14ac:dyDescent="0.25">
      <c r="A5" s="81" t="s">
        <v>172</v>
      </c>
      <c r="B5" s="56">
        <v>4</v>
      </c>
      <c r="C5" s="56">
        <v>2</v>
      </c>
      <c r="D5" s="56"/>
      <c r="E5" s="56">
        <v>1</v>
      </c>
      <c r="F5" s="56">
        <v>1</v>
      </c>
      <c r="G5" s="56">
        <v>1</v>
      </c>
      <c r="H5" s="56">
        <v>9</v>
      </c>
      <c r="I5" s="76">
        <f t="shared" si="1"/>
        <v>0.56666666666666665</v>
      </c>
      <c r="J5" s="77">
        <f t="shared" si="2"/>
        <v>0.43333333333333335</v>
      </c>
      <c r="K5" s="56">
        <f>+VLOOKUP(A5,[2]Caracterizacion!$A$6:$B$32,2,0)</f>
        <v>13</v>
      </c>
      <c r="L5" s="56">
        <v>1</v>
      </c>
      <c r="M5" s="56">
        <f>+VLOOKUP(A5,[2]Cupos!$I$2:$O$26,7,0)</f>
        <v>12</v>
      </c>
      <c r="N5" s="56">
        <f t="shared" si="0"/>
        <v>3</v>
      </c>
    </row>
    <row r="6" spans="1:14" x14ac:dyDescent="0.25">
      <c r="A6" s="81" t="s">
        <v>173</v>
      </c>
      <c r="B6" s="56">
        <v>17</v>
      </c>
      <c r="C6" s="56">
        <v>16</v>
      </c>
      <c r="D6" s="56">
        <v>7</v>
      </c>
      <c r="E6" s="56">
        <v>7</v>
      </c>
      <c r="F6" s="56">
        <v>3</v>
      </c>
      <c r="G6" s="56">
        <v>2</v>
      </c>
      <c r="H6" s="56">
        <v>52</v>
      </c>
      <c r="I6" s="76">
        <f t="shared" si="1"/>
        <v>0.54423076923076918</v>
      </c>
      <c r="J6" s="77">
        <f t="shared" si="2"/>
        <v>0.45576923076923082</v>
      </c>
      <c r="K6" s="56">
        <f>+VLOOKUP(A6,[2]Caracterizacion!$A$6:$B$32,2,0)</f>
        <v>71</v>
      </c>
      <c r="L6" s="56">
        <v>3</v>
      </c>
      <c r="M6" s="56">
        <f>+VLOOKUP(A6,[2]Cupos!$I$2:$O$26,7,0)</f>
        <v>16</v>
      </c>
      <c r="N6" s="56">
        <f t="shared" si="0"/>
        <v>-36</v>
      </c>
    </row>
    <row r="7" spans="1:14" x14ac:dyDescent="0.25">
      <c r="A7" s="81" t="s">
        <v>174</v>
      </c>
      <c r="B7" s="56">
        <v>1</v>
      </c>
      <c r="C7" s="56">
        <v>1</v>
      </c>
      <c r="D7" s="56">
        <v>2</v>
      </c>
      <c r="E7" s="56"/>
      <c r="F7" s="56">
        <v>1</v>
      </c>
      <c r="G7" s="56">
        <v>1</v>
      </c>
      <c r="H7" s="56">
        <v>6</v>
      </c>
      <c r="I7" s="76">
        <f t="shared" si="1"/>
        <v>0.65</v>
      </c>
      <c r="J7" s="77">
        <f t="shared" si="2"/>
        <v>0.35</v>
      </c>
      <c r="K7" s="56">
        <f>+VLOOKUP(A7,[2]Caracterizacion!$A$6:$B$32,2,0)</f>
        <v>6</v>
      </c>
      <c r="L7" s="56">
        <v>0</v>
      </c>
      <c r="M7" s="56">
        <f>+VLOOKUP(A7,[2]Cupos!$I$2:$O$26,7,0)</f>
        <v>16</v>
      </c>
      <c r="N7" s="56">
        <f t="shared" si="0"/>
        <v>10</v>
      </c>
    </row>
    <row r="8" spans="1:14" x14ac:dyDescent="0.25">
      <c r="A8" s="81" t="s">
        <v>175</v>
      </c>
      <c r="B8" s="56">
        <v>1</v>
      </c>
      <c r="C8" s="56"/>
      <c r="D8" s="56">
        <v>1</v>
      </c>
      <c r="E8" s="56"/>
      <c r="F8" s="56"/>
      <c r="G8" s="56"/>
      <c r="H8" s="56">
        <v>2</v>
      </c>
      <c r="I8" s="76">
        <f t="shared" si="1"/>
        <v>0.5</v>
      </c>
      <c r="J8" s="77">
        <f t="shared" si="2"/>
        <v>0.5</v>
      </c>
      <c r="K8" s="56">
        <f>+VLOOKUP(A8,[2]Caracterizacion!$A$6:$B$32,2,0)</f>
        <v>2</v>
      </c>
      <c r="L8" s="56">
        <v>0</v>
      </c>
      <c r="M8" s="56">
        <f>+VLOOKUP(A8,[2]Cupos!$I$2:$O$26,7,0)</f>
        <v>10</v>
      </c>
      <c r="N8" s="56">
        <f t="shared" si="0"/>
        <v>8</v>
      </c>
    </row>
    <row r="9" spans="1:14" x14ac:dyDescent="0.25">
      <c r="A9" s="81" t="s">
        <v>176</v>
      </c>
      <c r="B9" s="56">
        <v>4</v>
      </c>
      <c r="C9" s="56"/>
      <c r="D9" s="56"/>
      <c r="E9" s="56">
        <v>1</v>
      </c>
      <c r="F9" s="56">
        <v>2</v>
      </c>
      <c r="G9" s="56"/>
      <c r="H9" s="56">
        <v>7</v>
      </c>
      <c r="I9" s="76">
        <f t="shared" si="1"/>
        <v>0.55714285714285716</v>
      </c>
      <c r="J9" s="77">
        <f t="shared" si="2"/>
        <v>0.44285714285714284</v>
      </c>
      <c r="K9" s="56">
        <f>+VLOOKUP(A9,[2]Caracterizacion!$A$6:$B$32,2,0)</f>
        <v>8</v>
      </c>
      <c r="L9" s="56">
        <v>0</v>
      </c>
      <c r="M9" s="56">
        <f>+VLOOKUP(A9,[2]Cupos!$I$2:$O$26,7,0)</f>
        <v>16</v>
      </c>
      <c r="N9" s="56">
        <f t="shared" si="0"/>
        <v>9</v>
      </c>
    </row>
    <row r="10" spans="1:14" x14ac:dyDescent="0.25">
      <c r="A10" s="81" t="s">
        <v>177</v>
      </c>
      <c r="B10" s="56">
        <v>3</v>
      </c>
      <c r="C10" s="56">
        <v>1</v>
      </c>
      <c r="D10" s="56">
        <v>2</v>
      </c>
      <c r="E10" s="56">
        <v>1</v>
      </c>
      <c r="F10" s="56"/>
      <c r="G10" s="56">
        <v>1</v>
      </c>
      <c r="H10" s="56">
        <v>8</v>
      </c>
      <c r="I10" s="76">
        <f t="shared" si="1"/>
        <v>0.57500000000000007</v>
      </c>
      <c r="J10" s="77">
        <f t="shared" si="2"/>
        <v>0.42499999999999993</v>
      </c>
      <c r="K10" s="56">
        <f>+VLOOKUP(A10,[2]Caracterizacion!$A$6:$B$32,2,0)</f>
        <v>12</v>
      </c>
      <c r="L10" s="56">
        <v>2</v>
      </c>
      <c r="M10" s="56">
        <f>+VLOOKUP(A10,[2]Cupos!$I$2:$O$26,7,0)</f>
        <v>16</v>
      </c>
      <c r="N10" s="56">
        <f t="shared" si="0"/>
        <v>8</v>
      </c>
    </row>
    <row r="11" spans="1:14" x14ac:dyDescent="0.25">
      <c r="A11" s="81" t="s">
        <v>178</v>
      </c>
      <c r="B11" s="56">
        <v>1</v>
      </c>
      <c r="C11" s="56">
        <v>1</v>
      </c>
      <c r="D11" s="56"/>
      <c r="E11" s="56"/>
      <c r="F11" s="56"/>
      <c r="G11" s="56"/>
      <c r="H11" s="56">
        <v>2</v>
      </c>
      <c r="I11" s="76">
        <f t="shared" si="1"/>
        <v>0.45</v>
      </c>
      <c r="J11" s="77">
        <f t="shared" si="2"/>
        <v>0.55000000000000004</v>
      </c>
      <c r="K11" s="56">
        <f>+VLOOKUP(A11,[2]Caracterizacion!$A$6:$B$32,2,0)</f>
        <v>2</v>
      </c>
      <c r="L11" s="56">
        <v>0</v>
      </c>
      <c r="M11" s="56">
        <f>+VLOOKUP(A11,[2]Cupos!$I$2:$O$26,7,0)</f>
        <v>10</v>
      </c>
      <c r="N11" s="56">
        <f t="shared" si="0"/>
        <v>8</v>
      </c>
    </row>
    <row r="12" spans="1:14" x14ac:dyDescent="0.25">
      <c r="A12" s="81" t="s">
        <v>179</v>
      </c>
      <c r="B12" s="56">
        <v>4</v>
      </c>
      <c r="C12" s="56"/>
      <c r="D12" s="56">
        <v>1</v>
      </c>
      <c r="E12" s="56"/>
      <c r="F12" s="56">
        <v>2</v>
      </c>
      <c r="G12" s="56">
        <v>1</v>
      </c>
      <c r="H12" s="56">
        <v>8</v>
      </c>
      <c r="I12" s="76">
        <f t="shared" si="1"/>
        <v>0.60000000000000009</v>
      </c>
      <c r="J12" s="77">
        <f t="shared" si="2"/>
        <v>0.39999999999999991</v>
      </c>
      <c r="K12" s="56">
        <f>+VLOOKUP(A12,[2]Caracterizacion!$A$6:$B$32,2,0)</f>
        <v>8</v>
      </c>
      <c r="L12" s="56">
        <v>0</v>
      </c>
      <c r="M12" s="56">
        <f>+VLOOKUP(A12,[2]Cupos!$I$2:$O$26,7,0)</f>
        <v>1</v>
      </c>
      <c r="N12" s="56">
        <f t="shared" si="0"/>
        <v>-7</v>
      </c>
    </row>
    <row r="13" spans="1:14" x14ac:dyDescent="0.25">
      <c r="A13" s="81" t="s">
        <v>180</v>
      </c>
      <c r="B13" s="56">
        <v>12</v>
      </c>
      <c r="C13" s="56">
        <v>6</v>
      </c>
      <c r="D13" s="56">
        <v>3</v>
      </c>
      <c r="E13" s="56">
        <v>4</v>
      </c>
      <c r="F13" s="56">
        <v>2</v>
      </c>
      <c r="G13" s="56">
        <v>1</v>
      </c>
      <c r="H13" s="56">
        <v>28</v>
      </c>
      <c r="I13" s="76">
        <f t="shared" si="1"/>
        <v>0.53571428571428581</v>
      </c>
      <c r="J13" s="77">
        <f t="shared" si="2"/>
        <v>0.46428571428571419</v>
      </c>
      <c r="K13" s="56">
        <f>+VLOOKUP(A13,[2]Caracterizacion!$A$6:$B$32,2,0)</f>
        <v>33</v>
      </c>
      <c r="L13" s="56">
        <v>1</v>
      </c>
      <c r="M13" s="56">
        <f>+VLOOKUP(A13,[2]Cupos!$I$2:$O$26,7,0)</f>
        <v>16</v>
      </c>
      <c r="N13" s="56">
        <f t="shared" si="0"/>
        <v>-12</v>
      </c>
    </row>
    <row r="14" spans="1:14" x14ac:dyDescent="0.25">
      <c r="A14" s="81" t="s">
        <v>181</v>
      </c>
      <c r="B14" s="56">
        <v>6</v>
      </c>
      <c r="C14" s="56">
        <v>3</v>
      </c>
      <c r="D14" s="56"/>
      <c r="E14" s="56"/>
      <c r="F14" s="56"/>
      <c r="G14" s="56">
        <v>1</v>
      </c>
      <c r="H14" s="56">
        <v>10</v>
      </c>
      <c r="I14" s="76">
        <f t="shared" si="1"/>
        <v>0.49000000000000005</v>
      </c>
      <c r="J14" s="77">
        <f t="shared" si="2"/>
        <v>0.51</v>
      </c>
      <c r="K14" s="56">
        <f>+VLOOKUP(A14,[2]Caracterizacion!$A$6:$B$32,2,0)</f>
        <v>20</v>
      </c>
      <c r="L14" s="56">
        <v>3</v>
      </c>
      <c r="M14" s="56">
        <f>+VLOOKUP(A14,[2]Cupos!$I$2:$O$26,7,0)</f>
        <v>1</v>
      </c>
      <c r="N14" s="56">
        <f t="shared" si="0"/>
        <v>-9</v>
      </c>
    </row>
    <row r="15" spans="1:14" x14ac:dyDescent="0.25">
      <c r="A15" s="81" t="s">
        <v>182</v>
      </c>
      <c r="B15" s="56"/>
      <c r="C15" s="56"/>
      <c r="D15" s="56"/>
      <c r="E15" s="56"/>
      <c r="F15" s="56"/>
      <c r="G15" s="56">
        <v>1</v>
      </c>
      <c r="H15" s="56">
        <v>1</v>
      </c>
      <c r="I15" s="76">
        <f t="shared" si="1"/>
        <v>1</v>
      </c>
      <c r="J15" s="77">
        <f t="shared" si="2"/>
        <v>0</v>
      </c>
      <c r="K15" s="56">
        <f>+VLOOKUP(A15,[2]Caracterizacion!$A$6:$B$32,2,0)</f>
        <v>2</v>
      </c>
      <c r="L15" s="56">
        <v>1</v>
      </c>
      <c r="M15" s="56">
        <f>+VLOOKUP(A15,[2]Cupos!$I$2:$O$26,7,0)</f>
        <v>15</v>
      </c>
      <c r="N15" s="56">
        <f t="shared" si="0"/>
        <v>14</v>
      </c>
    </row>
    <row r="16" spans="1:14" x14ac:dyDescent="0.25">
      <c r="A16" s="81" t="s">
        <v>183</v>
      </c>
      <c r="B16" s="56"/>
      <c r="C16" s="56">
        <v>1</v>
      </c>
      <c r="D16" s="56"/>
      <c r="E16" s="56"/>
      <c r="F16" s="56">
        <v>1</v>
      </c>
      <c r="G16" s="56"/>
      <c r="H16" s="56">
        <v>2</v>
      </c>
      <c r="I16" s="76">
        <f t="shared" si="1"/>
        <v>0.65</v>
      </c>
      <c r="J16" s="77">
        <f t="shared" si="2"/>
        <v>0.35</v>
      </c>
      <c r="K16" s="56">
        <f>+VLOOKUP(A16,[2]Caracterizacion!$A$6:$B$32,2,0)</f>
        <v>3</v>
      </c>
      <c r="L16" s="56">
        <v>1</v>
      </c>
      <c r="M16" s="56">
        <f>+VLOOKUP(A16,[2]Cupos!$I$2:$O$26,7,0)</f>
        <v>16</v>
      </c>
      <c r="N16" s="56">
        <f t="shared" si="0"/>
        <v>14</v>
      </c>
    </row>
    <row r="17" spans="1:14" x14ac:dyDescent="0.25">
      <c r="A17" s="81" t="s">
        <v>184</v>
      </c>
      <c r="B17" s="56">
        <v>8</v>
      </c>
      <c r="C17" s="56">
        <v>3</v>
      </c>
      <c r="D17" s="56">
        <v>2</v>
      </c>
      <c r="E17" s="56"/>
      <c r="F17" s="56">
        <v>1</v>
      </c>
      <c r="G17" s="56">
        <v>1</v>
      </c>
      <c r="H17" s="56">
        <v>15</v>
      </c>
      <c r="I17" s="76">
        <f t="shared" si="1"/>
        <v>0.51333333333333331</v>
      </c>
      <c r="J17" s="77">
        <f t="shared" si="2"/>
        <v>0.48666666666666669</v>
      </c>
      <c r="K17" s="56">
        <f>+VLOOKUP(A17,[2]Caracterizacion!$A$6:$B$32,2,0)</f>
        <v>18</v>
      </c>
      <c r="L17" s="56">
        <v>0</v>
      </c>
      <c r="M17" s="56">
        <f>+VLOOKUP(A17,[2]Cupos!$I$2:$O$26,7,0)</f>
        <v>12</v>
      </c>
      <c r="N17" s="56">
        <f t="shared" si="0"/>
        <v>-3</v>
      </c>
    </row>
    <row r="18" spans="1:14" x14ac:dyDescent="0.25">
      <c r="A18" s="81" t="s">
        <v>185</v>
      </c>
      <c r="B18" s="56">
        <v>1</v>
      </c>
      <c r="C18" s="56"/>
      <c r="D18" s="56"/>
      <c r="E18" s="56"/>
      <c r="F18" s="56"/>
      <c r="G18" s="56">
        <v>1</v>
      </c>
      <c r="H18" s="56">
        <v>2</v>
      </c>
      <c r="I18" s="76">
        <f t="shared" si="1"/>
        <v>0.7</v>
      </c>
      <c r="J18" s="77">
        <f t="shared" si="2"/>
        <v>0.30000000000000004</v>
      </c>
      <c r="K18" s="56">
        <f>+VLOOKUP(A18,[2]Caracterizacion!$A$6:$B$32,2,0)</f>
        <v>3</v>
      </c>
      <c r="L18" s="56">
        <v>0</v>
      </c>
      <c r="M18" s="56">
        <f>+VLOOKUP(A18,[2]Cupos!$I$2:$O$26,7,0)</f>
        <v>16</v>
      </c>
      <c r="N18" s="56">
        <f t="shared" si="0"/>
        <v>14</v>
      </c>
    </row>
    <row r="19" spans="1:14" x14ac:dyDescent="0.25">
      <c r="A19" s="81" t="s">
        <v>186</v>
      </c>
      <c r="B19" s="56">
        <v>1</v>
      </c>
      <c r="C19" s="56">
        <v>2</v>
      </c>
      <c r="D19" s="56">
        <v>1</v>
      </c>
      <c r="E19" s="56">
        <v>1</v>
      </c>
      <c r="F19" s="56"/>
      <c r="G19" s="56">
        <v>1</v>
      </c>
      <c r="H19" s="56">
        <v>6</v>
      </c>
      <c r="I19" s="76">
        <f t="shared" si="1"/>
        <v>0.6166666666666667</v>
      </c>
      <c r="J19" s="77">
        <f t="shared" si="2"/>
        <v>0.3833333333333333</v>
      </c>
      <c r="K19" s="56">
        <f>+VLOOKUP(A19,[2]Caracterizacion!$A$6:$B$32,2,0)</f>
        <v>9</v>
      </c>
      <c r="L19" s="56">
        <v>0</v>
      </c>
      <c r="M19" s="56">
        <f>+VLOOKUP(A19,[2]Cupos!$I$2:$O$26,7,0)</f>
        <v>15</v>
      </c>
      <c r="N19" s="56">
        <f t="shared" si="0"/>
        <v>9</v>
      </c>
    </row>
    <row r="20" spans="1:14" x14ac:dyDescent="0.25">
      <c r="A20" s="81" t="s">
        <v>187</v>
      </c>
      <c r="B20" s="56">
        <v>14</v>
      </c>
      <c r="C20" s="56">
        <v>6</v>
      </c>
      <c r="D20" s="56">
        <v>6</v>
      </c>
      <c r="E20" s="56">
        <v>5</v>
      </c>
      <c r="F20" s="56">
        <v>2</v>
      </c>
      <c r="G20" s="56">
        <v>1</v>
      </c>
      <c r="H20" s="56">
        <v>34</v>
      </c>
      <c r="I20" s="76">
        <f t="shared" si="1"/>
        <v>0.53823529411764703</v>
      </c>
      <c r="J20" s="77">
        <f t="shared" si="2"/>
        <v>0.46176470588235297</v>
      </c>
      <c r="K20" s="56">
        <f>+VLOOKUP(A20,[2]Caracterizacion!$A$6:$B$32,2,0)</f>
        <v>45</v>
      </c>
      <c r="L20" s="56">
        <v>2</v>
      </c>
      <c r="M20" s="56">
        <f>+VLOOKUP(A20,[2]Cupos!$I$2:$O$26,7,0)</f>
        <v>5</v>
      </c>
      <c r="N20" s="56">
        <f t="shared" si="0"/>
        <v>-29</v>
      </c>
    </row>
    <row r="21" spans="1:14" x14ac:dyDescent="0.25">
      <c r="A21" s="81" t="s">
        <v>188</v>
      </c>
      <c r="B21" s="56">
        <v>3</v>
      </c>
      <c r="C21" s="56">
        <v>3</v>
      </c>
      <c r="D21" s="56">
        <v>2</v>
      </c>
      <c r="E21" s="56">
        <v>1</v>
      </c>
      <c r="F21" s="56"/>
      <c r="G21" s="56">
        <v>1</v>
      </c>
      <c r="H21" s="56">
        <v>10</v>
      </c>
      <c r="I21" s="76">
        <f t="shared" si="1"/>
        <v>0.56000000000000005</v>
      </c>
      <c r="J21" s="77">
        <f t="shared" si="2"/>
        <v>0.43999999999999995</v>
      </c>
      <c r="K21" s="56">
        <f>+VLOOKUP(A21,[2]Caracterizacion!$A$6:$B$32,2,0)</f>
        <v>11</v>
      </c>
      <c r="L21" s="56">
        <v>0</v>
      </c>
      <c r="M21" s="56">
        <f>+VLOOKUP(A21,[2]Cupos!$I$2:$O$26,7,0)</f>
        <v>7</v>
      </c>
      <c r="N21" s="56">
        <f t="shared" si="0"/>
        <v>-3</v>
      </c>
    </row>
    <row r="22" spans="1:14" x14ac:dyDescent="0.25">
      <c r="A22" s="81" t="s">
        <v>189</v>
      </c>
      <c r="B22" s="56">
        <v>10</v>
      </c>
      <c r="C22" s="56">
        <v>8</v>
      </c>
      <c r="D22" s="56">
        <v>2</v>
      </c>
      <c r="E22" s="56">
        <v>2</v>
      </c>
      <c r="F22" s="56">
        <v>1</v>
      </c>
      <c r="G22" s="56">
        <v>1</v>
      </c>
      <c r="H22" s="56">
        <v>24</v>
      </c>
      <c r="I22" s="76">
        <f t="shared" si="1"/>
        <v>0.51666666666666672</v>
      </c>
      <c r="J22" s="77">
        <f t="shared" si="2"/>
        <v>0.48333333333333328</v>
      </c>
      <c r="K22" s="56">
        <f>+VLOOKUP(A22,[2]Caracterizacion!$A$6:$B$32,2,0)</f>
        <v>31</v>
      </c>
      <c r="L22" s="56">
        <v>1</v>
      </c>
      <c r="M22" s="56">
        <f>+VLOOKUP(A22,[2]Cupos!$I$2:$O$26,7,0)</f>
        <v>15</v>
      </c>
      <c r="N22" s="56">
        <f t="shared" si="0"/>
        <v>-9</v>
      </c>
    </row>
    <row r="23" spans="1:14" x14ac:dyDescent="0.25">
      <c r="A23" s="81" t="s">
        <v>190</v>
      </c>
      <c r="B23" s="56"/>
      <c r="C23" s="56"/>
      <c r="D23" s="56"/>
      <c r="E23" s="56">
        <v>1</v>
      </c>
      <c r="F23" s="56"/>
      <c r="G23" s="56"/>
      <c r="H23" s="56">
        <v>1</v>
      </c>
      <c r="I23" s="76">
        <f t="shared" si="1"/>
        <v>0.7</v>
      </c>
      <c r="J23" s="77">
        <f t="shared" si="2"/>
        <v>0.30000000000000004</v>
      </c>
      <c r="K23" s="56">
        <f>+VLOOKUP(A23,[2]Caracterizacion!$A$6:$B$32,2,0)</f>
        <v>2</v>
      </c>
      <c r="L23" s="56">
        <v>0</v>
      </c>
      <c r="M23" s="56">
        <f>+VLOOKUP(A23,[2]Cupos!$I$2:$O$26,7,0)</f>
        <v>20</v>
      </c>
      <c r="N23" s="56">
        <f t="shared" si="0"/>
        <v>19</v>
      </c>
    </row>
    <row r="24" spans="1:14" x14ac:dyDescent="0.25">
      <c r="A24" s="81" t="s">
        <v>191</v>
      </c>
      <c r="B24" s="56"/>
      <c r="C24" s="56"/>
      <c r="D24" s="56"/>
      <c r="E24" s="56"/>
      <c r="F24" s="56">
        <v>1</v>
      </c>
      <c r="G24" s="56"/>
      <c r="H24" s="56">
        <v>1</v>
      </c>
      <c r="I24" s="76">
        <f t="shared" si="1"/>
        <v>0.8</v>
      </c>
      <c r="J24" s="77">
        <f t="shared" si="2"/>
        <v>0.19999999999999996</v>
      </c>
      <c r="K24" s="56">
        <f>+VLOOKUP(A24,[2]Caracterizacion!$A$6:$B$32,2,0)</f>
        <v>2</v>
      </c>
      <c r="L24" s="56">
        <v>0</v>
      </c>
      <c r="M24" s="56">
        <f>+VLOOKUP(A24,[2]Cupos!$I$2:$O$26,7,0)</f>
        <v>1</v>
      </c>
      <c r="N24" s="56">
        <f t="shared" si="0"/>
        <v>0</v>
      </c>
    </row>
    <row r="25" spans="1:14" x14ac:dyDescent="0.25">
      <c r="A25" s="81" t="s">
        <v>192</v>
      </c>
      <c r="B25" s="56">
        <v>10</v>
      </c>
      <c r="C25" s="56"/>
      <c r="D25" s="56">
        <v>1</v>
      </c>
      <c r="E25" s="56">
        <v>2</v>
      </c>
      <c r="F25" s="56">
        <v>1</v>
      </c>
      <c r="G25" s="56">
        <v>1</v>
      </c>
      <c r="H25" s="56">
        <v>15</v>
      </c>
      <c r="I25" s="76">
        <f t="shared" si="1"/>
        <v>0.52</v>
      </c>
      <c r="J25" s="77">
        <f t="shared" si="2"/>
        <v>0.48</v>
      </c>
      <c r="K25" s="56">
        <f>+VLOOKUP(A25,[2]Caracterizacion!$A$6:$B$32,2,0)</f>
        <v>23</v>
      </c>
      <c r="L25" s="56">
        <v>2</v>
      </c>
      <c r="M25" s="56">
        <f>+VLOOKUP(A25,[2]Cupos!$I$2:$O$26,7,0)</f>
        <v>10</v>
      </c>
      <c r="N25" s="56">
        <f t="shared" si="0"/>
        <v>-5</v>
      </c>
    </row>
    <row r="26" spans="1:14" x14ac:dyDescent="0.25">
      <c r="A26" s="81" t="s">
        <v>193</v>
      </c>
      <c r="B26" s="56"/>
      <c r="C26" s="56">
        <v>1</v>
      </c>
      <c r="D26" s="56">
        <v>1</v>
      </c>
      <c r="E26" s="56"/>
      <c r="F26" s="56"/>
      <c r="G26" s="56"/>
      <c r="H26" s="56">
        <v>2</v>
      </c>
      <c r="I26" s="76">
        <f t="shared" si="1"/>
        <v>0.55000000000000004</v>
      </c>
      <c r="J26" s="77">
        <f t="shared" si="2"/>
        <v>0.44999999999999996</v>
      </c>
      <c r="K26" s="56">
        <f>+VLOOKUP(A26,[2]Caracterizacion!$A$6:$B$32,2,0)</f>
        <v>3</v>
      </c>
      <c r="L26" s="56">
        <v>0</v>
      </c>
      <c r="M26" s="56">
        <f>+VLOOKUP(A26,[2]Cupos!$I$2:$O$26,7,0)</f>
        <v>0</v>
      </c>
      <c r="N26" s="56">
        <f t="shared" si="0"/>
        <v>-2</v>
      </c>
    </row>
    <row r="27" spans="1:14" x14ac:dyDescent="0.25">
      <c r="A27" s="81" t="s">
        <v>194</v>
      </c>
      <c r="B27" s="56">
        <v>5</v>
      </c>
      <c r="C27" s="56"/>
      <c r="D27" s="56"/>
      <c r="E27" s="56">
        <v>1</v>
      </c>
      <c r="F27" s="56"/>
      <c r="G27" s="56">
        <v>1</v>
      </c>
      <c r="H27" s="56">
        <v>7</v>
      </c>
      <c r="I27" s="76">
        <f t="shared" si="1"/>
        <v>0.52857142857142858</v>
      </c>
      <c r="J27" s="77">
        <f t="shared" si="2"/>
        <v>0.47142857142857142</v>
      </c>
      <c r="K27" s="56">
        <f>+VLOOKUP(A27,[2]Caracterizacion!$A$6:$B$32,2,0)</f>
        <v>7</v>
      </c>
      <c r="L27" s="56">
        <v>0</v>
      </c>
      <c r="M27" s="56">
        <f>+VLOOKUP(A27,[2]Cupos!$I$2:$O$26,7,0)</f>
        <v>0</v>
      </c>
      <c r="N27" s="56">
        <f t="shared" si="0"/>
        <v>-7</v>
      </c>
    </row>
    <row r="28" spans="1:14" x14ac:dyDescent="0.25">
      <c r="A28" s="84" t="s">
        <v>12</v>
      </c>
      <c r="B28" s="85">
        <v>133</v>
      </c>
      <c r="C28" s="85">
        <v>71</v>
      </c>
      <c r="D28" s="85">
        <v>36</v>
      </c>
      <c r="E28" s="85">
        <v>30</v>
      </c>
      <c r="F28" s="85">
        <v>19</v>
      </c>
      <c r="G28" s="85">
        <v>19</v>
      </c>
      <c r="H28" s="85">
        <v>308</v>
      </c>
      <c r="I28" s="79">
        <f>+SUMPRODUCT($B$2:$G$2,B28:G28)/H28</f>
        <v>0.53733766233766234</v>
      </c>
      <c r="J28" s="79">
        <f t="shared" si="2"/>
        <v>0.46266233766233766</v>
      </c>
      <c r="K28" s="56">
        <f>SUM(K3:K27)</f>
        <v>412</v>
      </c>
      <c r="L28" s="56">
        <f>SUM(L3:L27)</f>
        <v>21</v>
      </c>
    </row>
    <row r="29" spans="1:14" x14ac:dyDescent="0.25">
      <c r="A29" s="80" t="s">
        <v>195</v>
      </c>
      <c r="B29" s="78">
        <v>123</v>
      </c>
      <c r="C29" s="78">
        <v>80</v>
      </c>
      <c r="D29" s="78">
        <v>20</v>
      </c>
      <c r="E29" s="78">
        <v>20</v>
      </c>
      <c r="F29" s="78">
        <v>30</v>
      </c>
      <c r="G29" s="78">
        <v>30</v>
      </c>
      <c r="H29" s="78">
        <f>SUM(B29:G29)</f>
        <v>303</v>
      </c>
      <c r="I29" s="86">
        <f>+SUMPRODUCT($B$2:$G$2,B29:G29)/H29</f>
        <v>0.55841584158415836</v>
      </c>
      <c r="J29" s="86">
        <f t="shared" ref="J29" si="3">1-I29</f>
        <v>0.44158415841584164</v>
      </c>
      <c r="K29" s="56"/>
      <c r="L29" s="56"/>
    </row>
    <row r="30" spans="1:14" x14ac:dyDescent="0.25">
      <c r="B30" s="113" t="s">
        <v>196</v>
      </c>
      <c r="C30" s="113"/>
      <c r="D30" s="113"/>
      <c r="E30" s="113"/>
      <c r="F30" s="113"/>
      <c r="G30" s="113"/>
      <c r="H30" s="114">
        <f>+H28*0.5</f>
        <v>154</v>
      </c>
    </row>
    <row r="31" spans="1:14" x14ac:dyDescent="0.25">
      <c r="B31" s="113"/>
      <c r="C31" s="113"/>
      <c r="D31" s="113"/>
      <c r="E31" s="113"/>
      <c r="F31" s="113"/>
      <c r="G31" s="113"/>
      <c r="H31" s="114"/>
    </row>
  </sheetData>
  <mergeCells count="2">
    <mergeCell ref="B30:G31"/>
    <mergeCell ref="H30:H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973E-15F2-480E-A041-27A05B900F61}">
  <dimension ref="A3:O91"/>
  <sheetViews>
    <sheetView showGridLines="0" zoomScale="110" zoomScaleNormal="110" workbookViewId="0">
      <selection activeCell="C41" sqref="C41"/>
    </sheetView>
  </sheetViews>
  <sheetFormatPr baseColWidth="10" defaultColWidth="11.42578125" defaultRowHeight="15" x14ac:dyDescent="0.25"/>
  <cols>
    <col min="1" max="1" width="29.5703125" style="1" customWidth="1"/>
    <col min="2" max="2" width="22.42578125" style="1" customWidth="1"/>
    <col min="3" max="4" width="23.28515625" style="1" customWidth="1"/>
    <col min="5" max="5" width="12.42578125" style="1" customWidth="1"/>
    <col min="6" max="16384" width="11.42578125" style="1"/>
  </cols>
  <sheetData>
    <row r="3" spans="1:4" ht="21" x14ac:dyDescent="0.25">
      <c r="A3" s="101" t="s">
        <v>0</v>
      </c>
      <c r="B3" s="101"/>
      <c r="C3" s="101"/>
      <c r="D3" s="101"/>
    </row>
    <row r="5" spans="1:4" x14ac:dyDescent="0.25">
      <c r="A5" s="3" t="s">
        <v>1</v>
      </c>
      <c r="B5" s="3" t="s">
        <v>2</v>
      </c>
    </row>
    <row r="6" spans="1:4" x14ac:dyDescent="0.25">
      <c r="A6" s="4" t="s">
        <v>197</v>
      </c>
      <c r="B6" s="5">
        <v>20</v>
      </c>
      <c r="C6" s="6"/>
    </row>
    <row r="7" spans="1:4" x14ac:dyDescent="0.25">
      <c r="A7" s="4" t="s">
        <v>198</v>
      </c>
      <c r="B7" s="5">
        <v>15</v>
      </c>
    </row>
    <row r="8" spans="1:4" x14ac:dyDescent="0.25">
      <c r="A8" s="4" t="s">
        <v>199</v>
      </c>
      <c r="B8" s="5">
        <v>10</v>
      </c>
    </row>
    <row r="9" spans="1:4" x14ac:dyDescent="0.25">
      <c r="A9" s="4" t="s">
        <v>5</v>
      </c>
      <c r="B9" s="5">
        <v>10</v>
      </c>
    </row>
    <row r="10" spans="1:4" x14ac:dyDescent="0.25">
      <c r="A10" s="4" t="s">
        <v>6</v>
      </c>
      <c r="B10" s="5">
        <v>20</v>
      </c>
      <c r="C10" s="7" t="s">
        <v>7</v>
      </c>
    </row>
    <row r="11" spans="1:4" x14ac:dyDescent="0.25">
      <c r="A11" s="4" t="s">
        <v>200</v>
      </c>
      <c r="B11" s="5">
        <v>25</v>
      </c>
      <c r="C11" s="7" t="s">
        <v>201</v>
      </c>
    </row>
    <row r="12" spans="1:4" x14ac:dyDescent="0.25">
      <c r="A12" s="8" t="s">
        <v>12</v>
      </c>
      <c r="B12" s="9">
        <f>SUM(B6:B11)</f>
        <v>100</v>
      </c>
    </row>
    <row r="13" spans="1:4" x14ac:dyDescent="0.25">
      <c r="A13" s="2"/>
      <c r="B13" s="89"/>
    </row>
    <row r="14" spans="1:4" x14ac:dyDescent="0.25">
      <c r="B14" s="11"/>
    </row>
    <row r="15" spans="1:4" x14ac:dyDescent="0.25">
      <c r="A15" s="90" t="s">
        <v>5</v>
      </c>
      <c r="B15" s="91">
        <f>+B9</f>
        <v>10</v>
      </c>
      <c r="C15" s="7"/>
    </row>
    <row r="16" spans="1:4" x14ac:dyDescent="0.25">
      <c r="A16" s="92" t="s">
        <v>13</v>
      </c>
      <c r="B16" s="93">
        <v>6</v>
      </c>
    </row>
    <row r="17" spans="1:10" x14ac:dyDescent="0.25">
      <c r="A17" s="92" t="s">
        <v>14</v>
      </c>
      <c r="B17" s="94">
        <v>10</v>
      </c>
      <c r="J17" s="2"/>
    </row>
    <row r="18" spans="1:10" x14ac:dyDescent="0.25">
      <c r="A18" s="92" t="s">
        <v>15</v>
      </c>
      <c r="B18" s="94">
        <v>10</v>
      </c>
    </row>
    <row r="19" spans="1:10" x14ac:dyDescent="0.25">
      <c r="A19" s="92" t="s">
        <v>16</v>
      </c>
      <c r="B19" s="94">
        <v>4</v>
      </c>
    </row>
    <row r="21" spans="1:10" ht="18" customHeight="1" x14ac:dyDescent="0.25">
      <c r="A21" s="102" t="s">
        <v>17</v>
      </c>
      <c r="B21" s="102"/>
      <c r="C21" s="102"/>
      <c r="D21" s="7"/>
    </row>
    <row r="22" spans="1:10" ht="30" x14ac:dyDescent="0.25">
      <c r="A22" s="18" t="s">
        <v>202</v>
      </c>
      <c r="B22" s="18" t="s">
        <v>203</v>
      </c>
      <c r="C22" s="13">
        <f>+B7</f>
        <v>15</v>
      </c>
    </row>
    <row r="23" spans="1:10" x14ac:dyDescent="0.25">
      <c r="A23" s="1" t="s">
        <v>18</v>
      </c>
      <c r="B23" s="1" t="s">
        <v>204</v>
      </c>
      <c r="C23" s="11">
        <v>15</v>
      </c>
    </row>
    <row r="24" spans="1:10" x14ac:dyDescent="0.25">
      <c r="A24" s="1" t="s">
        <v>205</v>
      </c>
      <c r="B24" s="1" t="s">
        <v>206</v>
      </c>
      <c r="C24" s="11">
        <v>11</v>
      </c>
    </row>
    <row r="25" spans="1:10" x14ac:dyDescent="0.25">
      <c r="A25" s="1" t="s">
        <v>207</v>
      </c>
      <c r="B25" s="1" t="s">
        <v>208</v>
      </c>
      <c r="C25" s="11">
        <v>7</v>
      </c>
    </row>
    <row r="26" spans="1:10" x14ac:dyDescent="0.25">
      <c r="A26" s="1" t="s">
        <v>209</v>
      </c>
      <c r="B26" s="1" t="s">
        <v>210</v>
      </c>
      <c r="C26" s="11">
        <v>3</v>
      </c>
    </row>
    <row r="27" spans="1:10" x14ac:dyDescent="0.25">
      <c r="B27" s="16"/>
      <c r="E27" s="17"/>
    </row>
    <row r="28" spans="1:10" x14ac:dyDescent="0.25">
      <c r="A28" s="102" t="s">
        <v>211</v>
      </c>
      <c r="B28" s="102"/>
      <c r="C28" s="102"/>
      <c r="D28" s="102"/>
      <c r="E28" s="7"/>
    </row>
    <row r="29" spans="1:10" ht="30" x14ac:dyDescent="0.25">
      <c r="A29" s="18" t="s">
        <v>23</v>
      </c>
      <c r="B29" s="18" t="s">
        <v>25</v>
      </c>
      <c r="C29" s="18" t="s">
        <v>212</v>
      </c>
      <c r="D29" s="18">
        <f>+B6</f>
        <v>20</v>
      </c>
      <c r="E29" s="7" t="s">
        <v>27</v>
      </c>
      <c r="F29" s="7" t="s">
        <v>213</v>
      </c>
      <c r="G29" s="7" t="s">
        <v>55</v>
      </c>
    </row>
    <row r="30" spans="1:10" x14ac:dyDescent="0.25">
      <c r="A30" s="1" t="s">
        <v>29</v>
      </c>
      <c r="B30" s="1" t="s">
        <v>31</v>
      </c>
      <c r="C30" s="1" t="s">
        <v>214</v>
      </c>
      <c r="D30" s="20">
        <v>20</v>
      </c>
      <c r="E30" s="1" t="s">
        <v>33</v>
      </c>
      <c r="F30" s="1" t="s">
        <v>215</v>
      </c>
    </row>
    <row r="31" spans="1:10" x14ac:dyDescent="0.25">
      <c r="A31" s="1" t="s">
        <v>34</v>
      </c>
      <c r="B31" s="1" t="s">
        <v>36</v>
      </c>
      <c r="C31" s="1" t="s">
        <v>216</v>
      </c>
      <c r="D31" s="20">
        <v>18</v>
      </c>
      <c r="E31" s="1" t="s">
        <v>217</v>
      </c>
      <c r="F31" s="1" t="s">
        <v>218</v>
      </c>
    </row>
    <row r="32" spans="1:10" x14ac:dyDescent="0.25">
      <c r="A32" s="1" t="s">
        <v>219</v>
      </c>
      <c r="B32" s="1" t="s">
        <v>220</v>
      </c>
      <c r="C32" s="1" t="s">
        <v>221</v>
      </c>
      <c r="D32" s="20">
        <v>15</v>
      </c>
      <c r="F32" s="1" t="s">
        <v>222</v>
      </c>
    </row>
    <row r="33" spans="1:4" x14ac:dyDescent="0.25">
      <c r="A33" s="21" t="s">
        <v>223</v>
      </c>
      <c r="B33" s="21" t="s">
        <v>224</v>
      </c>
      <c r="C33" s="1" t="s">
        <v>221</v>
      </c>
      <c r="D33" s="20">
        <v>10</v>
      </c>
    </row>
    <row r="34" spans="1:4" x14ac:dyDescent="0.25">
      <c r="A34" s="21" t="s">
        <v>225</v>
      </c>
      <c r="B34" s="21" t="s">
        <v>226</v>
      </c>
      <c r="C34" s="1" t="s">
        <v>221</v>
      </c>
      <c r="D34" s="20">
        <v>5</v>
      </c>
    </row>
    <row r="35" spans="1:4" x14ac:dyDescent="0.25">
      <c r="A35" s="21" t="s">
        <v>49</v>
      </c>
      <c r="B35" s="21" t="s">
        <v>51</v>
      </c>
      <c r="C35" s="21" t="s">
        <v>227</v>
      </c>
      <c r="D35" s="20">
        <v>0</v>
      </c>
    </row>
    <row r="36" spans="1:4" x14ac:dyDescent="0.25">
      <c r="A36" s="21"/>
      <c r="B36" s="21"/>
      <c r="C36" s="21"/>
      <c r="D36" s="23"/>
    </row>
    <row r="37" spans="1:4" x14ac:dyDescent="0.25">
      <c r="A37" s="18" t="s">
        <v>6</v>
      </c>
      <c r="B37" s="19">
        <f>+B10</f>
        <v>20</v>
      </c>
      <c r="C37" s="7"/>
      <c r="D37" s="23"/>
    </row>
    <row r="38" spans="1:4" x14ac:dyDescent="0.25">
      <c r="A38" s="21" t="s">
        <v>56</v>
      </c>
      <c r="B38" s="21"/>
      <c r="C38" s="21"/>
      <c r="D38" s="23"/>
    </row>
    <row r="39" spans="1:4" x14ac:dyDescent="0.25">
      <c r="A39" s="24"/>
      <c r="D39" s="11"/>
    </row>
    <row r="41" spans="1:4" x14ac:dyDescent="0.25">
      <c r="A41" s="18" t="s">
        <v>199</v>
      </c>
      <c r="B41" s="18">
        <f>+B8</f>
        <v>10</v>
      </c>
      <c r="C41" s="7"/>
    </row>
    <row r="42" spans="1:4" x14ac:dyDescent="0.25">
      <c r="A42" s="1" t="s">
        <v>228</v>
      </c>
      <c r="B42" s="25">
        <v>0.5</v>
      </c>
    </row>
    <row r="43" spans="1:4" x14ac:dyDescent="0.25">
      <c r="A43" s="1" t="s">
        <v>229</v>
      </c>
      <c r="B43" s="25">
        <v>1.5</v>
      </c>
    </row>
    <row r="44" spans="1:4" x14ac:dyDescent="0.25">
      <c r="A44" s="1" t="s">
        <v>230</v>
      </c>
      <c r="B44" s="25">
        <v>4</v>
      </c>
    </row>
    <row r="45" spans="1:4" x14ac:dyDescent="0.25">
      <c r="A45" s="1" t="s">
        <v>231</v>
      </c>
      <c r="B45" s="25">
        <v>2.5</v>
      </c>
    </row>
    <row r="46" spans="1:4" x14ac:dyDescent="0.25">
      <c r="A46" s="1" t="s">
        <v>232</v>
      </c>
      <c r="B46" s="25">
        <v>1.5</v>
      </c>
    </row>
    <row r="47" spans="1:4" x14ac:dyDescent="0.25">
      <c r="A47" s="2" t="s">
        <v>12</v>
      </c>
      <c r="B47" s="11">
        <f>SUM(B42:B46)</f>
        <v>10</v>
      </c>
    </row>
    <row r="48" spans="1:4" x14ac:dyDescent="0.25">
      <c r="A48" s="2"/>
    </row>
    <row r="49" spans="1:15" x14ac:dyDescent="0.25">
      <c r="A49" s="18" t="s">
        <v>200</v>
      </c>
      <c r="B49" s="18">
        <f>+B11</f>
        <v>25</v>
      </c>
      <c r="C49" s="7"/>
    </row>
    <row r="50" spans="1:15" x14ac:dyDescent="0.25">
      <c r="A50" s="1" t="s">
        <v>233</v>
      </c>
      <c r="B50" s="16" t="s">
        <v>234</v>
      </c>
    </row>
    <row r="54" spans="1:15" ht="30" x14ac:dyDescent="0.25">
      <c r="A54" s="95" t="s">
        <v>76</v>
      </c>
      <c r="B54" s="24" t="s">
        <v>77</v>
      </c>
    </row>
    <row r="55" spans="1:15" x14ac:dyDescent="0.25">
      <c r="A55" s="96" t="s">
        <v>78</v>
      </c>
      <c r="B55" s="29" t="s">
        <v>79</v>
      </c>
      <c r="C55" s="29">
        <v>3.5</v>
      </c>
      <c r="D55" s="29" t="s">
        <v>80</v>
      </c>
      <c r="E55" s="29">
        <v>2</v>
      </c>
      <c r="F55" s="29"/>
      <c r="G55" s="29"/>
      <c r="H55" s="29"/>
      <c r="I55" s="29"/>
      <c r="J55" s="29"/>
      <c r="K55" s="29"/>
      <c r="L55" s="29"/>
      <c r="M55" s="29"/>
      <c r="N55" s="29"/>
      <c r="O55" s="29"/>
    </row>
    <row r="56" spans="1:15" x14ac:dyDescent="0.25">
      <c r="A56" s="96" t="s">
        <v>81</v>
      </c>
      <c r="B56" s="29" t="s">
        <v>82</v>
      </c>
      <c r="C56" s="29">
        <v>4.5</v>
      </c>
      <c r="D56" s="29" t="s">
        <v>235</v>
      </c>
      <c r="E56" s="29">
        <v>3.5</v>
      </c>
      <c r="H56" s="29"/>
      <c r="I56" s="29"/>
      <c r="J56" s="29"/>
      <c r="K56" s="29"/>
      <c r="L56" s="29"/>
      <c r="M56" s="29"/>
      <c r="N56" s="29"/>
      <c r="O56" s="29"/>
    </row>
    <row r="57" spans="1:15" x14ac:dyDescent="0.25">
      <c r="A57" s="96" t="s">
        <v>85</v>
      </c>
      <c r="B57" s="29" t="s">
        <v>236</v>
      </c>
      <c r="C57" s="29">
        <v>8</v>
      </c>
      <c r="D57" s="29" t="s">
        <v>237</v>
      </c>
      <c r="E57" s="29">
        <v>6</v>
      </c>
      <c r="F57" s="29" t="s">
        <v>238</v>
      </c>
      <c r="G57" s="29">
        <v>3</v>
      </c>
      <c r="H57" s="29" t="s">
        <v>239</v>
      </c>
      <c r="I57" s="29">
        <v>1</v>
      </c>
      <c r="J57" s="29" t="s">
        <v>240</v>
      </c>
      <c r="K57" s="29">
        <v>0</v>
      </c>
      <c r="L57" s="29"/>
      <c r="M57" s="29"/>
      <c r="N57" s="29"/>
      <c r="O57" s="29"/>
    </row>
    <row r="58" spans="1:15" x14ac:dyDescent="0.25">
      <c r="A58" s="96" t="s">
        <v>92</v>
      </c>
      <c r="B58" s="29" t="s">
        <v>241</v>
      </c>
      <c r="C58" s="29">
        <v>4</v>
      </c>
      <c r="D58" s="29" t="s">
        <v>94</v>
      </c>
      <c r="E58" s="29">
        <v>3</v>
      </c>
      <c r="F58" s="29" t="s">
        <v>95</v>
      </c>
      <c r="G58" s="29">
        <v>0</v>
      </c>
      <c r="H58" s="29" t="s">
        <v>242</v>
      </c>
      <c r="I58" s="29">
        <v>3</v>
      </c>
      <c r="J58" s="29" t="s">
        <v>97</v>
      </c>
      <c r="K58" s="29">
        <v>2</v>
      </c>
      <c r="L58" s="29" t="s">
        <v>98</v>
      </c>
      <c r="M58" s="29">
        <v>1</v>
      </c>
      <c r="N58" s="29" t="s">
        <v>99</v>
      </c>
      <c r="O58" s="29">
        <v>0</v>
      </c>
    </row>
    <row r="64" spans="1:15" x14ac:dyDescent="0.25">
      <c r="A64" s="97" t="s">
        <v>100</v>
      </c>
      <c r="B64" s="98"/>
      <c r="C64" s="29"/>
    </row>
    <row r="65" spans="1:3" x14ac:dyDescent="0.25">
      <c r="A65" s="29" t="s">
        <v>243</v>
      </c>
      <c r="B65" s="35" t="s">
        <v>102</v>
      </c>
      <c r="C65" s="29"/>
    </row>
    <row r="66" spans="1:3" x14ac:dyDescent="0.25">
      <c r="A66" s="29" t="s">
        <v>244</v>
      </c>
      <c r="B66" s="38">
        <v>0.7</v>
      </c>
      <c r="C66" s="29"/>
    </row>
    <row r="67" spans="1:3" x14ac:dyDescent="0.25">
      <c r="A67" s="29" t="s">
        <v>245</v>
      </c>
      <c r="B67" s="38">
        <v>0.6</v>
      </c>
      <c r="C67" s="29"/>
    </row>
    <row r="68" spans="1:3" x14ac:dyDescent="0.25">
      <c r="A68" s="29" t="s">
        <v>246</v>
      </c>
      <c r="B68" s="38">
        <v>0.5</v>
      </c>
      <c r="C68" s="29"/>
    </row>
    <row r="69" spans="1:3" x14ac:dyDescent="0.25">
      <c r="A69" s="29" t="s">
        <v>247</v>
      </c>
      <c r="B69" s="38">
        <v>0.4</v>
      </c>
      <c r="C69" s="29"/>
    </row>
    <row r="70" spans="1:3" x14ac:dyDescent="0.25">
      <c r="A70" s="29"/>
      <c r="B70" s="29"/>
      <c r="C70" s="29"/>
    </row>
    <row r="71" spans="1:3" x14ac:dyDescent="0.25">
      <c r="A71" s="7" t="s">
        <v>248</v>
      </c>
      <c r="B71" s="29"/>
      <c r="C71" s="29"/>
    </row>
    <row r="72" spans="1:3" x14ac:dyDescent="0.25">
      <c r="A72" s="7" t="s">
        <v>249</v>
      </c>
      <c r="B72" s="29"/>
      <c r="C72" s="29"/>
    </row>
    <row r="73" spans="1:3" x14ac:dyDescent="0.25">
      <c r="A73" s="7" t="s">
        <v>250</v>
      </c>
      <c r="B73" s="29"/>
      <c r="C73" s="29"/>
    </row>
    <row r="74" spans="1:3" x14ac:dyDescent="0.25">
      <c r="A74" s="29"/>
      <c r="B74" s="29"/>
      <c r="C74" s="29"/>
    </row>
    <row r="75" spans="1:3" x14ac:dyDescent="0.25">
      <c r="A75" s="29"/>
      <c r="B75" s="29"/>
      <c r="C75" s="29"/>
    </row>
    <row r="78" spans="1:3" x14ac:dyDescent="0.25">
      <c r="A78" s="2" t="s">
        <v>251</v>
      </c>
    </row>
    <row r="79" spans="1:3" x14ac:dyDescent="0.25">
      <c r="A79" s="1" t="s">
        <v>252</v>
      </c>
    </row>
    <row r="80" spans="1:3" x14ac:dyDescent="0.25">
      <c r="A80" s="1" t="s">
        <v>253</v>
      </c>
    </row>
    <row r="81" spans="1:1" x14ac:dyDescent="0.25">
      <c r="A81" s="21" t="s">
        <v>254</v>
      </c>
    </row>
    <row r="82" spans="1:1" x14ac:dyDescent="0.25">
      <c r="A82" s="1" t="s">
        <v>255</v>
      </c>
    </row>
    <row r="83" spans="1:1" x14ac:dyDescent="0.25">
      <c r="A83" s="1" t="s">
        <v>256</v>
      </c>
    </row>
    <row r="84" spans="1:1" x14ac:dyDescent="0.25">
      <c r="A84" s="1" t="s">
        <v>257</v>
      </c>
    </row>
    <row r="85" spans="1:1" x14ac:dyDescent="0.25">
      <c r="A85" s="1" t="s">
        <v>258</v>
      </c>
    </row>
    <row r="87" spans="1:1" x14ac:dyDescent="0.25">
      <c r="A87" s="2" t="s">
        <v>259</v>
      </c>
    </row>
    <row r="88" spans="1:1" x14ac:dyDescent="0.25">
      <c r="A88" s="1" t="s">
        <v>260</v>
      </c>
    </row>
    <row r="89" spans="1:1" x14ac:dyDescent="0.25">
      <c r="A89" s="1" t="s">
        <v>261</v>
      </c>
    </row>
    <row r="90" spans="1:1" x14ac:dyDescent="0.25">
      <c r="A90" s="1" t="s">
        <v>262</v>
      </c>
    </row>
    <row r="91" spans="1:1" x14ac:dyDescent="0.25">
      <c r="A91" s="1" t="s">
        <v>263</v>
      </c>
    </row>
  </sheetData>
  <mergeCells count="3">
    <mergeCell ref="A3:D3"/>
    <mergeCell ref="A21:C21"/>
    <mergeCell ref="A28:D28"/>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Flujo</vt:lpstr>
      <vt:lpstr>Matriz 20252</vt:lpstr>
      <vt:lpstr>Reglas</vt:lpstr>
      <vt:lpstr>Cupos</vt:lpstr>
      <vt:lpstr>TD asignacion</vt:lpstr>
      <vt:lpstr>Matriz 20251</vt:lpstr>
    </vt:vector>
  </TitlesOfParts>
  <Company>Universidad EAFIT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Maria Gil Zapata</dc:creator>
  <cp:lastModifiedBy>Ana Maria Gil Zapata</cp:lastModifiedBy>
  <dcterms:created xsi:type="dcterms:W3CDTF">2025-07-22T16:07:08Z</dcterms:created>
  <dcterms:modified xsi:type="dcterms:W3CDTF">2025-08-22T16:23:43Z</dcterms:modified>
</cp:coreProperties>
</file>